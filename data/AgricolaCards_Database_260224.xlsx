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202300"/>
  <mc:AlternateContent xmlns:mc="http://schemas.openxmlformats.org/markup-compatibility/2006">
    <mc:Choice Requires="x15">
      <x15ac:absPath xmlns:x15ac="http://schemas.microsoft.com/office/spreadsheetml/2010/11/ac" url="https://uio-my.sharepoint.com/personal/runeho_uio_no/Documents/Documents/Filer/PRIV/Agricola/Comp/"/>
    </mc:Choice>
  </mc:AlternateContent>
  <xr:revisionPtr revIDLastSave="545" documentId="8_{59FD4D98-B2F3-4A52-93EF-1ED8D1F3349E}" xr6:coauthVersionLast="47" xr6:coauthVersionMax="47" xr10:uidLastSave="{9193168B-DF2B-48D0-BBEA-B9506E991E77}"/>
  <bookViews>
    <workbookView xWindow="24" yWindow="744" windowWidth="23016" windowHeight="12216" xr2:uid="{2AE9DA51-4EE8-46C2-A255-EB6B828E5ADC}"/>
  </bookViews>
  <sheets>
    <sheet name="cards" sheetId="1" r:id="rId1"/>
    <sheet name="PWRdistr" sheetId="2" r:id="rId2"/>
  </sheets>
  <definedNames>
    <definedName name="_xlnm._FilterDatabase" localSheetId="0" hidden="1">cards!$C$1:$N$964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 i="2" l="1"/>
  <c r="J10" i="2"/>
  <c r="I10" i="2"/>
  <c r="H10" i="2"/>
  <c r="K9" i="2"/>
  <c r="J9" i="2"/>
  <c r="I9" i="2"/>
  <c r="H9" i="2"/>
  <c r="K8" i="2"/>
  <c r="J8" i="2"/>
  <c r="I8" i="2"/>
  <c r="H8" i="2"/>
  <c r="K7" i="2"/>
  <c r="J7" i="2"/>
  <c r="I7" i="2"/>
  <c r="H7" i="2"/>
  <c r="K6" i="2"/>
  <c r="J6" i="2"/>
  <c r="I6" i="2"/>
  <c r="H6" i="2"/>
  <c r="K5" i="2"/>
  <c r="J5" i="2"/>
  <c r="I5" i="2"/>
  <c r="H5" i="2"/>
  <c r="K4" i="2"/>
  <c r="J4" i="2"/>
  <c r="I4" i="2"/>
  <c r="H4" i="2"/>
  <c r="K3" i="2"/>
  <c r="J3" i="2"/>
  <c r="I3" i="2"/>
  <c r="H3" i="2"/>
  <c r="K2" i="2"/>
  <c r="J2" i="2"/>
  <c r="I2" i="2"/>
  <c r="H2" i="2"/>
  <c r="E11" i="2"/>
  <c r="D11" i="2"/>
  <c r="C11" i="2"/>
  <c r="B11" i="2"/>
</calcChain>
</file>

<file path=xl/sharedStrings.xml><?xml version="1.0" encoding="utf-8"?>
<sst xmlns="http://schemas.openxmlformats.org/spreadsheetml/2006/main" count="7341" uniqueCount="4218">
  <si>
    <t>MinorImprovement</t>
  </si>
  <si>
    <t>E</t>
  </si>
  <si>
    <t>Animal Pen</t>
  </si>
  <si>
    <t>1b586628-34a4-471d-bb34-cf18faf14b70</t>
  </si>
  <si>
    <t>4 Occupations</t>
  </si>
  <si>
    <t>2W</t>
  </si>
  <si>
    <t>Place 2 Food on each remaining round space. At the start of each round, you receive the Food.</t>
  </si>
  <si>
    <t>Uwe Rosenberg</t>
  </si>
  <si>
    <t>Animal Yard</t>
  </si>
  <si>
    <t>ac9444bf-748f-4a19-b2bb-4ed15573a479</t>
  </si>
  <si>
    <t>1 Occupation</t>
  </si>
  <si>
    <t>On this card you can hold up to two animals of your choice. They need not be the same type of animal. (This card does not count as a pasture for scoring.)(This card does not give you animals).</t>
  </si>
  <si>
    <t>Axe</t>
  </si>
  <si>
    <t>87c56e06-b224-4c71-bb50-98ef9b7cc652</t>
  </si>
  <si>
    <t>1W,1S</t>
  </si>
  <si>
    <t>Whenever you add a room to your Wooden hut, you only pay 2 Wood and 2 Reed.</t>
  </si>
  <si>
    <t>Baker's Oven</t>
  </si>
  <si>
    <t>e94056ea-67b7-4039-a6bb-c35074770012</t>
  </si>
  <si>
    <t>Return 1 Oven of your choice</t>
  </si>
  <si>
    <t>Whenever you use the "Bake bread" action, you can use the Baker's Oven to convert up to 2 Grain into 5 Food each. When you play this card, you can also take the "Bake bread" Action.</t>
  </si>
  <si>
    <t>Baking Tray</t>
  </si>
  <si>
    <t>7295898c-d506-46b8-a37c-138c85cc7ce8</t>
  </si>
  <si>
    <t>1W</t>
  </si>
  <si>
    <t>The Clay Oven and Stone Oven are Minor Improvements for you. The Clay Oven, Stone Oven and Wood-fired Ovens cost you 1 building resource (of your choice) less.</t>
  </si>
  <si>
    <t>Beanfield</t>
  </si>
  <si>
    <t>b96f9b52-fad5-4715-8813-cd571138a9c0</t>
  </si>
  <si>
    <t>2 Occupations</t>
  </si>
  <si>
    <t>When you Sow, you can plant Vegetables on this card as though it were a field. (This card does not count as a field when scoring.)</t>
  </si>
  <si>
    <t>Builder's Trowel</t>
  </si>
  <si>
    <t>69eabeac-5fd9-44c4-ad31-1b05ab38065f</t>
  </si>
  <si>
    <t>You can renovate your Wooden hut to a Clay hut at any time without using a "Renovate" action. (You must still pay for the Renovation.)</t>
  </si>
  <si>
    <t>Building Material</t>
  </si>
  <si>
    <t>891f7a9a-1bc2-42bd-9453-d7deca397c9d</t>
  </si>
  <si>
    <t>You receive either 1 Wood or 1 Clay when you play this card. After you play this card, pass it to the player on your left, who adds it to his/her hand.</t>
  </si>
  <si>
    <t>Butter Churn</t>
  </si>
  <si>
    <t>8dcad7db-1f0b-4716-a4f8-6f0dafcaac0d</t>
  </si>
  <si>
    <t>Whenever you have Sheep during the Field phase of a Harvest, you receive 1 Food for each third Sheep. Whenever you have Cattle during the Field phase, you receive 1 Food for each second Cattle.</t>
  </si>
  <si>
    <t>Canoe</t>
  </si>
  <si>
    <t>e07a6633-1d65-4a0d-923b-34eeca800620</t>
  </si>
  <si>
    <t>Whenever you use the "Fishing" Action space, you receive an additional 1 Food and 1 Reed.</t>
  </si>
  <si>
    <t>Carp Pond</t>
  </si>
  <si>
    <t>e120b18a-2051-4d7a-9f20-268be009d6e2</t>
  </si>
  <si>
    <t>2 Improvements 1 Occupation</t>
  </si>
  <si>
    <t>Place 1 Food on each remaining odd-numbered Round space. At the start of these rounds, you receive the Food.</t>
  </si>
  <si>
    <t>Cattle Market</t>
  </si>
  <si>
    <t>257d68dc-1da5-45be-95af-81291e29cb7f</t>
  </si>
  <si>
    <t>1H</t>
  </si>
  <si>
    <t>When you play this card, you receive 1 Cattle. After you play this card, pass it to the player on your left, who adds it to his/her hand.</t>
  </si>
  <si>
    <t>Ceramics</t>
  </si>
  <si>
    <t>58f8669b-6904-4925-97b7-f80d733cc34c</t>
  </si>
  <si>
    <t>1 Oven</t>
  </si>
  <si>
    <t>1C</t>
  </si>
  <si>
    <t>When you play this card, you receive 2 Food. From now, the Pottery is a Minor Improvement for you and costs you nothing.</t>
  </si>
  <si>
    <t>Clay Roof</t>
  </si>
  <si>
    <t>fd130cd4-217c-4f60-98be-5b730a89072c</t>
  </si>
  <si>
    <t>You can replace 1 or 2 Reed with the same amount of Clay whenever you extend or renovate your home.</t>
  </si>
  <si>
    <t>Clay Supports</t>
  </si>
  <si>
    <t>1d169c43-72e5-4e3f-8c60-332676c05cd9</t>
  </si>
  <si>
    <t>Whenever you add a room to your Clay hut, you can pay 2 Clay, 1 Wood and 1 Reed instead of 5 clay and 2 Reed.</t>
  </si>
  <si>
    <t>Clogs</t>
  </si>
  <si>
    <t>e75f5e10-ac1d-48a4-8acf-32cf78b5b5bd</t>
  </si>
  <si>
    <t>At the end of the game, you receive 1 Bonus point for a Clay hut, or 2 Bonus points for a Stone house.</t>
  </si>
  <si>
    <t>Corn Scoop</t>
  </si>
  <si>
    <t>ab89a55a-4df2-4ace-b939-5f61edfb9b90</t>
  </si>
  <si>
    <t>Whenever you use the "Take 1 Grain" Action, you receive 1 additional Grain.</t>
  </si>
  <si>
    <t>Dovecote</t>
  </si>
  <si>
    <t>18bf69d5-ef44-46e3-aa20-efdbf4df5b6d</t>
  </si>
  <si>
    <t>2S</t>
  </si>
  <si>
    <t>Place 1 Food on each remaining space for rounds 10 to 14. At the start of these rounds, you receive the Food.</t>
  </si>
  <si>
    <t>Drinking Trough</t>
  </si>
  <si>
    <t>4e804c18-44d3-4fd9-bf09-2d8730071af5</t>
  </si>
  <si>
    <t>Each pasture (with or without a stable) can hold up to 2 more animals.</t>
  </si>
  <si>
    <t>Feed Pellets</t>
  </si>
  <si>
    <t>fa3ce0e7-b0f0-42bf-a6ef-511ed8e18bf8</t>
  </si>
  <si>
    <t>During the Feeding Phase of each Harvest, you may trade 1 Vegetable for 1 of any type of Animal that you already have in your farmyard.</t>
  </si>
  <si>
    <t>Field</t>
  </si>
  <si>
    <t>d24bb2ad-36e8-45c4-9a9c-32d52eb6b43b</t>
  </si>
  <si>
    <t>1F</t>
  </si>
  <si>
    <t>When you play this card, immediately Plow 1 field. After you play this card, pass it to the player on your left, who adds it to his/her hand.</t>
  </si>
  <si>
    <t>Fishing Rod</t>
  </si>
  <si>
    <t>bab454fd-23c8-4f95-9dfe-dec6fa38035f</t>
  </si>
  <si>
    <t>Whenever you use the "Fishing" Action space, you receive 1 additional Food. From Round 8 onwards, you receive 2 additional Food.</t>
  </si>
  <si>
    <t>Fruit Tree</t>
  </si>
  <si>
    <t>c112b499-164e-467c-942d-5228fbad03e5</t>
  </si>
  <si>
    <t>3 Occupations</t>
  </si>
  <si>
    <t>Place 1 Food on each remaining Round space for rounds 8 to 14. At the start of these rounds, you receive Food.</t>
  </si>
  <si>
    <t>Gypsy's Crock</t>
  </si>
  <si>
    <t>aba6079e-9737-4846-9921-c8915db77360</t>
  </si>
  <si>
    <t>2C</t>
  </si>
  <si>
    <t>Whenever you convert any 2 goods to Food at one time using a Fireplace, Cooking Hearth or Cooking Corner, you receive 1 additional Food.</t>
  </si>
  <si>
    <t>Half-timbered House</t>
  </si>
  <si>
    <t>5953e81d-e008-4730-8ed0-bd98b56821b1</t>
  </si>
  <si>
    <t>1W,1C,1R,2S</t>
  </si>
  <si>
    <t>At the end of the game, you receive 1 Bonus point for each room in your Stone house. (In total, you receive 3 points instead of 2 per room.)(If you have played the Mansion, you do not score extra points for having the Half-timbered House.)</t>
  </si>
  <si>
    <t>Helpful Neighbours</t>
  </si>
  <si>
    <t>d02806e6-c3e4-48a6-8f73-2dbb1bb521dc</t>
  </si>
  <si>
    <t>1W/1C</t>
  </si>
  <si>
    <t>When you play this card, you receive either 1 Stone or 1 Reed. After you play this card, pass it to the player on your left, who adds it to his/her hand.</t>
  </si>
  <si>
    <t>Lettuce Patch</t>
  </si>
  <si>
    <t>86b2abda-5428-4eb5-8036-830f870b0606</t>
  </si>
  <si>
    <t>On this card, you can plant Vegetables as you would on a field. Vegetables on this field can be converted to 4 Food when harvested. (This card does not count as a field when scoring.)</t>
  </si>
  <si>
    <t>Madonna Statue</t>
  </si>
  <si>
    <t>0173b417-c53d-475a-a5f3-49db1874e677</t>
  </si>
  <si>
    <t>Return 2 played Improvements</t>
  </si>
  <si>
    <t>The Madonna Statue has no effect. (You must remove Improvements that are on the table in front of you. You may not discard cards from your hand. It is irrelevant whether you remove Major or Minor Improvements.)</t>
  </si>
  <si>
    <t>Manger</t>
  </si>
  <si>
    <t>e31f9b4f-9e91-4800-a404-fe49deb9ae18</t>
  </si>
  <si>
    <t>At the end of the game, if your pastures occupy 6/7/8/9+ farmyard spaces, you receive 1/2/3/4 Bonus points.</t>
  </si>
  <si>
    <t>Market Stall</t>
  </si>
  <si>
    <t>3287a2ba-6e09-471c-8ac4-8d48c21a57f5</t>
  </si>
  <si>
    <t>1G</t>
  </si>
  <si>
    <t>When you play this card, you receive 1 Vegetable. After you play this card, pass it to the player on your left, who adds it to his/her hand.</t>
  </si>
  <si>
    <t>Millstone</t>
  </si>
  <si>
    <t>99558846-49b2-4b62-806f-7148ec0256cb</t>
  </si>
  <si>
    <t>1S</t>
  </si>
  <si>
    <t>Whenever you Bake 1 or more Grain into bread, you receive 2 additional Food.</t>
  </si>
  <si>
    <t>Mini Pasture</t>
  </si>
  <si>
    <t>fdc2436b-0690-4197-9aec-1123c0bed14e</t>
  </si>
  <si>
    <t>2F</t>
  </si>
  <si>
    <t>When you play this card, immediately Fence one space in your farmyard. (You do not need to pay Wood for the fences. If you already have a psture, this new one must be created next to it.) After you play this card, pass it to the player on your left, who adds it to his/her hand.</t>
  </si>
  <si>
    <t>Outhouse</t>
  </si>
  <si>
    <t>f778a9b3-25f5-49aa-918f-f6f1fa759f9e</t>
  </si>
  <si>
    <t>At least one other player has fewer than 2 occupations</t>
  </si>
  <si>
    <t>1W,1C</t>
  </si>
  <si>
    <t>The Outhouse has no effect. You can only build it if at least one other player has fewer than 2 Occupations. (It is irrelevant how many Occupations you have played.)</t>
  </si>
  <si>
    <t>Plane</t>
  </si>
  <si>
    <t>ba6e0a71-2271-4882-8f35-eaf29a236ced</t>
  </si>
  <si>
    <t>Whenever you turn 1 Wood into Food using the Joinery, Sawmill or Cabinetmaker, you receive 1 additional Food. You can choose instead to turn a second Wood into exactly 2 Food.</t>
  </si>
  <si>
    <t>Potato Dibber</t>
  </si>
  <si>
    <t>b716ceb4-de8a-4625-976e-d7117de0e8c0</t>
  </si>
  <si>
    <t>Whenever you Sow fields with Vegetables, place 1 additional Vegetable on each field that you sow.</t>
  </si>
  <si>
    <t>Private Forest</t>
  </si>
  <si>
    <t>be51e882-4f38-4a84-ae79-75f81088dcc3</t>
  </si>
  <si>
    <t>Place 1 Wood on each remaining even-numbered Round space. At the start of these rounds, you receive the Wood.</t>
  </si>
  <si>
    <t>Quarry</t>
  </si>
  <si>
    <t>28c06d7e-e4f0-4935-b54c-feb134099ed4</t>
  </si>
  <si>
    <t>Whenever you use the "Day Laborer" Action, you receive an additional 3 Stone.</t>
  </si>
  <si>
    <t>Raft</t>
  </si>
  <si>
    <t>c04f336a-e290-4c70-8876-9d98c73633c6</t>
  </si>
  <si>
    <t>Whenever you use the "Fishing" Action space, you receive an additional 1 Food or 1 Reed.</t>
  </si>
  <si>
    <t>Reed Pond</t>
  </si>
  <si>
    <t>0e5dc33a-746a-43d1-805a-5df3d9b91dfe</t>
  </si>
  <si>
    <t>Place 1 Reed each on the next 3 Round spaces. At the start of each round, you receive the Reed.</t>
  </si>
  <si>
    <t>Riding Plow</t>
  </si>
  <si>
    <t>96556cca-9a3e-4b6b-b068-ac9000f17fa4</t>
  </si>
  <si>
    <t>4W</t>
  </si>
  <si>
    <t>Twice during the game, when you use either the "Plow 1 Field" or "Plow Field and/or Sow" action, you can Plow 3 fields instead of 1.</t>
  </si>
  <si>
    <t>Sack Cart</t>
  </si>
  <si>
    <t>15caa125-c116-4128-a904-067169c75396</t>
  </si>
  <si>
    <t>Place 1 Grain each on the spaces for rounds 5, 8, 11 and 14. At the start of these rounds, you receive the Grain.</t>
  </si>
  <si>
    <t>Simple Fireplace</t>
  </si>
  <si>
    <t>72789930-2c2a-43dc-9268-21d49b65bf96</t>
  </si>
  <si>
    <t>At any time, you may convert goods to food as follows: Vegetable to 2 Food; Sheep to 1 Food; Wild boar to 2 Food; Cattle to 3 Food. Whenever you use the "Bake Bread" action, you may convert: Grain to 2 Food.</t>
  </si>
  <si>
    <t>Spices</t>
  </si>
  <si>
    <t>f6dbb62a-21d6-4d6a-9596-027c68011395</t>
  </si>
  <si>
    <t>Whenever you convert Vegetables to Food using a Fireplace, Cooking Hearth or Cooking Corner, you receive 1 additional Food.</t>
  </si>
  <si>
    <t>Spindle</t>
  </si>
  <si>
    <t>0a2b291f-2e25-4156-b39e-5b3e12b1b50b</t>
  </si>
  <si>
    <t>Whenever you have 3/5 Sheep during the Field phase of a Harvest, you receive 1/2 additional Food.</t>
  </si>
  <si>
    <t>Stable</t>
  </si>
  <si>
    <t>2e8547ed-6f27-46f9-959b-7e4b01bd6a9d</t>
  </si>
  <si>
    <t>When you play this card, immediately build 1 stable. (The stable does not cost you anything, but you must pay the cost shown to play this card.) After you play this card, pass it to the player on your left, who adds it to his/her hand.</t>
  </si>
  <si>
    <t>Stone House Extension</t>
  </si>
  <si>
    <t>e1f1d230-db70-4a72-bfc3-17b2041d94ae</t>
  </si>
  <si>
    <t>1R,3S</t>
  </si>
  <si>
    <t>When you play this card, immediately extend your Stone house by 1 room. (The room does not cost anything, but you must pay the costs shown to play this card.) After you play this card, pass it to the player on your left, who adds it to his/her hand.</t>
  </si>
  <si>
    <t>Stone Tongs</t>
  </si>
  <si>
    <t>9d47fbe4-c574-48e1-91b9-5f955346c8d4</t>
  </si>
  <si>
    <t>Whenever you use one of the "1 Stone" Action spaces that become available in Stage 2 and Stage 4, you receive 1 additional Stone.</t>
  </si>
  <si>
    <t>Turnwrest Plow</t>
  </si>
  <si>
    <t>23886afc-d00c-4362-8343-148fd0921be0</t>
  </si>
  <si>
    <t>3W</t>
  </si>
  <si>
    <t>Once during the game, when you use either the "Plow 1 Field" or "Plow Field and/or Sow" action, you can Plow 3 fields instead of 1.</t>
  </si>
  <si>
    <t>Wood-fired Oven</t>
  </si>
  <si>
    <t>fbb7144a-5b29-4929-a679-e70972c75035</t>
  </si>
  <si>
    <t>3W,1S</t>
  </si>
  <si>
    <t>Whenever you use the "Bake bread" action, you can use the Wood-fired Oven to turn any number of Grain into 3 Food each. When you play this card, you can also take the "Bake bread" action.</t>
  </si>
  <si>
    <t>Writing Desk</t>
  </si>
  <si>
    <t>2d974d95-7fbb-415e-ae23-afd0c399d564</t>
  </si>
  <si>
    <t>Whenever you use an "Occupation" Action, you may play 2 Occupations one after another. The second Occupation costs you 2 food.</t>
  </si>
  <si>
    <t>Fr</t>
  </si>
  <si>
    <t>Abandoned Willow</t>
  </si>
  <si>
    <t>796f7169-0cb4-474b-acda-23fe6121434f</t>
  </si>
  <si>
    <t>1 empty field</t>
  </si>
  <si>
    <t>Immediately remove 1 empty field from your farmyard and receive 4 Wood. (That space now counts as unused).</t>
  </si>
  <si>
    <t>chriss</t>
  </si>
  <si>
    <t>Absinthe</t>
  </si>
  <si>
    <t>0a59989f-26ac-48d2-b868-dfd4defbb247</t>
  </si>
  <si>
    <t>Place 1 Food on the next 5 remaining Round spaces. At the start of these rounds' Work phase, place the Food on an Action space of your choice. (The next player to use this space receives the Food.)</t>
  </si>
  <si>
    <t>graywolf</t>
  </si>
  <si>
    <t>Amusement Park</t>
  </si>
  <si>
    <t>62ca18cd-3d85-4acb-ac4b-e1d35730cdf3</t>
  </si>
  <si>
    <t>1 pasture</t>
  </si>
  <si>
    <t>Place 1 Food each on the next 2/3/4/5 remaining Round spaces if you have 1/2/3/4 pastures. At the start of these rounds, you receive the Food.</t>
  </si>
  <si>
    <t>beso</t>
  </si>
  <si>
    <t>Apple Garden</t>
  </si>
  <si>
    <t>15dc9421-53f0-4293-83b9-eb81aedebef7</t>
  </si>
  <si>
    <t>You receive 2 Bonus points for either Grain or Vegetables missing from your farm at the end of the game. (The fruit replaces this type of good.) (You still lose the points for the missing good.)</t>
  </si>
  <si>
    <t>itsaratio</t>
  </si>
  <si>
    <t>Artists Garden</t>
  </si>
  <si>
    <t>7d45fd9f-2b30-44e3-8597-dcb48dd2748d</t>
  </si>
  <si>
    <t>In the Returning home phase of each round, you may harvest 1 field.</t>
  </si>
  <si>
    <t>Baguette</t>
  </si>
  <si>
    <t>5592549c-b173-4f1e-844b-05797a84be76</t>
  </si>
  <si>
    <t>During each Harvest, you may pay 1 Wood to Bake bread at the start of the Feeding phase if you have an Improvement with the bread symbol.</t>
  </si>
  <si>
    <t>juuh!</t>
  </si>
  <si>
    <t>Barber Shop</t>
  </si>
  <si>
    <t>18d65a44-81d7-4029-b711-adfd0de0e7d8</t>
  </si>
  <si>
    <t>3W,1R</t>
  </si>
  <si>
    <t>For every Harvest remaining when you play this card, you receive 1 Bonus point.</t>
  </si>
  <si>
    <t>franklin</t>
  </si>
  <si>
    <t>Bathroom</t>
  </si>
  <si>
    <t>bda89f8f-300b-47df-afb3-ea38b0714e72</t>
  </si>
  <si>
    <t>1 plowed field</t>
  </si>
  <si>
    <t>Each time you convert a Grain or Vegetable into Food, you may place it on this card. For each field you Sow, you may take 1 Good of the same type from this card and add it to that field. (Goods on this card do not count for points when scoring.)</t>
  </si>
  <si>
    <t>slim</t>
  </si>
  <si>
    <t>Breakfast Outdoors</t>
  </si>
  <si>
    <t>01c63294-75b4-44be-9b11-9e47ab97329e</t>
  </si>
  <si>
    <t>1V/2G</t>
  </si>
  <si>
    <t>In each Feeding phase, you receive 1 Food.</t>
  </si>
  <si>
    <t>Brickyard</t>
  </si>
  <si>
    <t>5aad5316-7914-466d-b9c7-09654b6c72f7</t>
  </si>
  <si>
    <t>At the start of each round, if you have no Clay in your supply, place 1 Clay on this card. At any time when this card has 4 or more Clay on it, you may move all of the Clay to your personal supply.</t>
  </si>
  <si>
    <t>mattthelesser</t>
  </si>
  <si>
    <t>Camembert</t>
  </si>
  <si>
    <t>9e4d1f39-5dda-4a1d-b8c1-14a59b8673da</t>
  </si>
  <si>
    <t>Place 1 Food each on 3 Action spaces (unoccupied or occupied) from the general supply. The next player to use the Action space receives the Food.</t>
  </si>
  <si>
    <t>Chameleon</t>
  </si>
  <si>
    <t>8d5f44e2-fb4d-44ad-91d5-79efa1800ba0</t>
  </si>
  <si>
    <t>When you play this card, you receive 1 Wild boar. You may keep 1 Wild boar in each of your pastures that hold Sheep. (Pastures can still only hold the normal amount of animals).</t>
  </si>
  <si>
    <t>Chocolade</t>
  </si>
  <si>
    <t>530d3f1d-2d5e-4919-a9c7-e33aba9a7a3d</t>
  </si>
  <si>
    <t>1 Major Improvement</t>
  </si>
  <si>
    <t>Place 4 Food from the supply on this card. This food can only be used to pay for Occupations.</t>
  </si>
  <si>
    <t>senseless</t>
  </si>
  <si>
    <t>Coffee Break</t>
  </si>
  <si>
    <t>4fc1e428-2047-48c2-9727-32d051542d90</t>
  </si>
  <si>
    <t>Place 1 Food on the next 5 Round spaces. At the start of these rounds, you receive the Food. If you play an Occupation before receiving the Food, immediately remove this cards remaining Food from future Round spaces.</t>
  </si>
  <si>
    <t>inoshishi</t>
  </si>
  <si>
    <t>Cornrick</t>
  </si>
  <si>
    <t>ada2fa6f-6969-4791-bd74-e4b1fd588ac7</t>
  </si>
  <si>
    <t>1 Field</t>
  </si>
  <si>
    <t>Place 1 Grain each on the spaces for rounds 7 and 9. At the start of these rounds, you receive the Grain.</t>
  </si>
  <si>
    <t>Diary</t>
  </si>
  <si>
    <t>38a5565b-a64c-4122-9809-afc19ddbf0ee</t>
  </si>
  <si>
    <t>Whenever you play an Occupation, you receive 1 Wood.</t>
  </si>
  <si>
    <t>Encircling Wall</t>
  </si>
  <si>
    <t>4c95a6b3-3947-4b4f-8176-8ff392a19be8</t>
  </si>
  <si>
    <t>4S</t>
  </si>
  <si>
    <t>When you play this card, you may immediately fence 1 space in your farmyard. (You do not need to pay Wood for the fences).</t>
  </si>
  <si>
    <t>Evening Prayer</t>
  </si>
  <si>
    <t>8eb5fb3c-cd7c-4cb7-9e67-12ca85ec7904</t>
  </si>
  <si>
    <t>No Occupations</t>
  </si>
  <si>
    <t>If you have 1/2 plowed fields, immediately pay 1/2 Food to play 1/2 Occupations.</t>
  </si>
  <si>
    <t>jingking</t>
  </si>
  <si>
    <t>Five Rings</t>
  </si>
  <si>
    <t>1c0957e3-abd0-46f0-86df-53fbb1ceaeb4</t>
  </si>
  <si>
    <t>1W/1S</t>
  </si>
  <si>
    <t>Whenever you play an Improvement, pay 1 Wood/Stone less if you chose Wood/Stone as the cost of this card. (Mark this card with 1 Wood/ Stone from the supply.)</t>
  </si>
  <si>
    <t>Flat Hill</t>
  </si>
  <si>
    <t>4fb31557-2f51-4d60-bfc3-1bb7b7ce0e52</t>
  </si>
  <si>
    <t>4 planted fields</t>
  </si>
  <si>
    <t>When you play this card, immediately Renovate your Wooden hut to a Clay hut for free.</t>
  </si>
  <si>
    <t>Full-bottomed Wig</t>
  </si>
  <si>
    <t>b905021f-8db0-4315-b074-32d8f6e90dd8</t>
  </si>
  <si>
    <t>3 Sheep</t>
  </si>
  <si>
    <t>You no longer need Reed when you renovate your home.</t>
  </si>
  <si>
    <t>Goblet</t>
  </si>
  <si>
    <t>44d02089-fde7-48ec-974c-6c65607a7221</t>
  </si>
  <si>
    <t>The Well is a Minor Improvement for you. When you build the Well, place 2 Food on the next 5 Round spaces instead of 1 Food. (If you have already built the Well, then this card has no effect.)</t>
  </si>
  <si>
    <t>yeoster</t>
  </si>
  <si>
    <t>Golden Rose</t>
  </si>
  <si>
    <t>214e5d23-c61a-4c3f-b44f-db6d4e141ceb</t>
  </si>
  <si>
    <t>1 planted field</t>
  </si>
  <si>
    <t>Whenever you pay Food to play an Occupation or a Minor Improvement, you may pay up to 2 Food less.</t>
  </si>
  <si>
    <t>tamos</t>
  </si>
  <si>
    <t>Grain Mill Oven</t>
  </si>
  <si>
    <t>f5c1dbdf-b5ba-4452-9fd6-f6b07f9853da</t>
  </si>
  <si>
    <t>1C,1S</t>
  </si>
  <si>
    <t>You can't Bake bread with the Grain Mill Oven. Clay and Stone Ovens are Minor Improvements for you. You may discard this instead of paying an Oven's cost. When you play this card, you can immediately take the "Bake bread" action.</t>
  </si>
  <si>
    <t>Grotto</t>
  </si>
  <si>
    <t>0e540916-f99c-4434-9cc1-47e0c474f627</t>
  </si>
  <si>
    <t>Place 3 Clay and 2 Stone from the supply on this card. At the end of each round, you may pay 2 Food to receive 1 of these resources. Once this card is empty, it provides room for 1 Family member.</t>
  </si>
  <si>
    <t>Ground Pickaxe Plow</t>
  </si>
  <si>
    <t>f7ab59dd-ca95-4750-9767-80b5062a5ab1</t>
  </si>
  <si>
    <t>Once during the game, when you use either the "Plow 1 field" or the "Plow 1 field and/or Sow" Action space, you can place 1 Wood from your supply on 1/2 orthogonally adjacent (revealed or unrevealed) Action spaces (to the used plow space) to Plow 1/2 additional fields.</t>
  </si>
  <si>
    <t>tom</t>
  </si>
  <si>
    <t>Hammock</t>
  </si>
  <si>
    <t>3468029b-ccaf-4370-9883-a34fa2f9e673</t>
  </si>
  <si>
    <t>4 rooms</t>
  </si>
  <si>
    <t>2W,1H</t>
  </si>
  <si>
    <t>One of your rooms can hold 1 additional Family member.</t>
  </si>
  <si>
    <t>henrysunset</t>
  </si>
  <si>
    <t>Hay Rake</t>
  </si>
  <si>
    <t>1b657efb-23c4-484e-9c3a-10edabd35656</t>
  </si>
  <si>
    <t>Each Work phase, the third person you place can use the "Plow 1 field" Action space even if it is occupied.</t>
  </si>
  <si>
    <t>hala</t>
  </si>
  <si>
    <t>Haystack</t>
  </si>
  <si>
    <t>16e6c6d6-8469-40af-83c8-37fcd2a60dd4</t>
  </si>
  <si>
    <t>6 animals</t>
  </si>
  <si>
    <t>Place 3 Food on each remaining Round space. At the start of these rounds, you receive the Food.</t>
  </si>
  <si>
    <t>Heatwave</t>
  </si>
  <si>
    <t>6c2c2c9d-347b-46b8-a9df-76679242f795</t>
  </si>
  <si>
    <t>Clay hut / Stone house</t>
  </si>
  <si>
    <t>Immediately build a Fireplace for free or upgrade a Fireplace to a Cooking Hearth.</t>
  </si>
  <si>
    <t>Homework</t>
  </si>
  <si>
    <t>41bc2fa2-9618-4a0e-a1ab-afe576475da1</t>
  </si>
  <si>
    <t>2R,2F</t>
  </si>
  <si>
    <t>When you play this card, you may immediately play up to 2 Occupations. (You must still pay any additional costs of the Occupations.)</t>
  </si>
  <si>
    <t>ss</t>
  </si>
  <si>
    <t>Kid's Corner</t>
  </si>
  <si>
    <t>552248fc-c12e-43dc-bdbc-e0465049518a</t>
  </si>
  <si>
    <t>1R</t>
  </si>
  <si>
    <t>Your home may hold 1 additional animal. You may keep more than 1 type of animal in your home.</t>
  </si>
  <si>
    <t>Kitchen Table</t>
  </si>
  <si>
    <t>962e9796-20f6-4bc3-83d5-cb66d2c5ca9e</t>
  </si>
  <si>
    <t>For you, all "Bake Bread" actions now read "Bake Bread or place 1 Food from your supply on Kitchen Table." At any time, you may return 1 Food from this card to your supply and take a "Bake Bread" Action.</t>
  </si>
  <si>
    <t>Lighthouse</t>
  </si>
  <si>
    <t>3b4bf5c1-2aa1-4454-82e9-2d1d799a34cc</t>
  </si>
  <si>
    <t>exactly 2 stone rooms</t>
  </si>
  <si>
    <t>2S,1W</t>
  </si>
  <si>
    <t>The Lighthouse provides room for 1 Family member.</t>
  </si>
  <si>
    <t>ruffles2</t>
  </si>
  <si>
    <t>March</t>
  </si>
  <si>
    <t>261819f7-a11c-41bb-abf8-1c9f72f369d3</t>
  </si>
  <si>
    <t>When you play this card, you may return 2 different animals to the general supply to Plow 2 fields.</t>
  </si>
  <si>
    <t>Orchard</t>
  </si>
  <si>
    <t>1fea2fb0-9c74-423b-9244-0a4de5a9cc09</t>
  </si>
  <si>
    <t>Place 1 Food on each of the next Round spaces up to the number of planted fields in your farmyard. At the start of these rounds, you receive the Food.</t>
  </si>
  <si>
    <t>Par Force Hunting</t>
  </si>
  <si>
    <t>3047e86a-b023-46b7-a975-75c850e09f99</t>
  </si>
  <si>
    <t>Add 4 and 7 to the current round and place 1 Wild boar on each corresponding Round space. At the start of these rounds, you can pay 1 Food to take the Wild boar.</t>
  </si>
  <si>
    <t>hunter</t>
  </si>
  <si>
    <t>Park Cemetary</t>
  </si>
  <si>
    <t>c0874d55-0ed5-4375-b5e2-c83d93b921b6</t>
  </si>
  <si>
    <t>Place 3 Stone on the "Plow 1 field" Action space from the general supply. Any player who uses that space may also receive 1 Stone from it. If there is no Stone on that space, you may discard this card and Plow 1 field.</t>
  </si>
  <si>
    <t>Peasants Boutique</t>
  </si>
  <si>
    <t>a0bcb72e-3b8a-47e1-a8d0-5a43cb276af2</t>
  </si>
  <si>
    <t>Return Basket Maker's Workshop</t>
  </si>
  <si>
    <t>Every harvest you may convert 1 Reed into 4 Food. At the end of the game, you receive 1/2/3 Bonus points for having 1/3/4 Reed. You do not receive additional Bonus points from the Basket Maker's Workshop.</t>
  </si>
  <si>
    <t>pain</t>
  </si>
  <si>
    <t>Rock Pyramid</t>
  </si>
  <si>
    <t>89518488-b235-43cc-ab89-52dd120ab9a2</t>
  </si>
  <si>
    <t>Whenever you build a Stone room, you can Plow up to 1 field. If you paid at least 1 Stone for that room, you may Plow up to 2 fields instead.</t>
  </si>
  <si>
    <t>isch</t>
  </si>
  <si>
    <t>Sofa</t>
  </si>
  <si>
    <t>5f65cef0-a69f-4bdc-bb57-306d36fa7aa3</t>
  </si>
  <si>
    <t>At the end of the game, you receive 4/2 Bonus points if your home has at most 2/3 rooms.</t>
  </si>
  <si>
    <t>ladywhale</t>
  </si>
  <si>
    <t>Star Classification Meal</t>
  </si>
  <si>
    <t>0c0b53fc-630d-4fc6-9b99-96a8671ce35c</t>
  </si>
  <si>
    <t>Stone house</t>
  </si>
  <si>
    <t>Place 1 Food on each remaining Round space. At the start of these rounds, you receive the Food.</t>
  </si>
  <si>
    <t>Stone House Reconstruction</t>
  </si>
  <si>
    <t>f0010b43-e876-4eab-8b71-dacf6562527f</t>
  </si>
  <si>
    <t>You can Renovate your Clay hut to a Stone house at any time without using the "Renovate" action. (You must still pay for the Renovation.)</t>
  </si>
  <si>
    <t>Straw-Thatched Hut</t>
  </si>
  <si>
    <t>3ce64568-55fe-4fb9-ba51-74b52047abef</t>
  </si>
  <si>
    <t>2 plowed fields</t>
  </si>
  <si>
    <t>Whenever you add a room to your Clay hut, you can pay 2 Clay, 1 Grain and 1 Food instead of 5 Clay and 2 Reed.</t>
  </si>
  <si>
    <t>Sunday School</t>
  </si>
  <si>
    <t>828a71a2-73cc-4fb2-a9d6-95145fa191a1</t>
  </si>
  <si>
    <t>Place a marker on the next round. During that round, you place 1 fewer Family member. At the end of that round, remove the marker and play 2 Occupations for free.</t>
  </si>
  <si>
    <t>Swimming Studio</t>
  </si>
  <si>
    <t>a90fefb0-3f92-4ad0-82b8-fdf23946ec21</t>
  </si>
  <si>
    <t>Whenever you use the "Fishing" Action space, you may also convert up to 1 Wood to 3 Food.</t>
  </si>
  <si>
    <t>The Port Le Havre</t>
  </si>
  <si>
    <t>2c161fc3-b333-4dbf-8082-682becc8610b</t>
  </si>
  <si>
    <t>Whenever you use the "Bake Bread" Action, you may convert 1/2 Clay into 1/2 Stone.</t>
  </si>
  <si>
    <t>jamaicanworm</t>
  </si>
  <si>
    <t>Threshing Machine Plow</t>
  </si>
  <si>
    <t>9d99f57d-df9f-4e3e-ade9-017b8167f7d2</t>
  </si>
  <si>
    <t>Once during the game, when you use the "Plow 1 field" Action space, you may Plow all 3 middle spaces on your farmyard instead of Plowing 1 field. (The middle 3 spaces are those surrounded by exactly 8 other spaces.)</t>
  </si>
  <si>
    <t>Timetable</t>
  </si>
  <si>
    <t>19e5bd4b-9a61-418c-ae33-fecf9bf45b2b</t>
  </si>
  <si>
    <t>Place 1 building resource of each type on this card. These building resources can only be used to pay for Minor Improvements.</t>
  </si>
  <si>
    <t>Trees for the Citizens</t>
  </si>
  <si>
    <t>dd532dca-e7ee-4b7d-b282-ef61132ad71b</t>
  </si>
  <si>
    <t>If you have the Joinery or Sawmill, you do not have to pay the Wood cost for this card. At the end of the game, you receive 1 Bonus point for every 2 Improvements in front of you that have a printed Wood cost.</t>
  </si>
  <si>
    <t>Trip to the Lake</t>
  </si>
  <si>
    <t>ead89a34-fe79-4455-bc7f-2355ea48a465</t>
  </si>
  <si>
    <t>Whenever you use the "Fishing" Action space, you receive an additional 1 Food and 1 Wood.</t>
  </si>
  <si>
    <t>rune_</t>
  </si>
  <si>
    <t>Tuileries Garden</t>
  </si>
  <si>
    <t>b9a47513-79f7-4795-b799-69222e3e75bd</t>
  </si>
  <si>
    <t>1W,3S</t>
  </si>
  <si>
    <t>Whenever you use the "Plow 1 field" Action space, you may immediately afterward take 1 Grain or 1 Vegetable from the general supply and Sow it.</t>
  </si>
  <si>
    <t>armyguy</t>
  </si>
  <si>
    <t>Vegetable Harvest</t>
  </si>
  <si>
    <t>44b544d3-8b82-41eb-8d52-1dbae589d8ed</t>
  </si>
  <si>
    <t>If you have an Oven, you can convert Vegetables into Food at any time. Take 4 Food for each Vegetable.</t>
  </si>
  <si>
    <t>electrokinetic</t>
  </si>
  <si>
    <t>Watering Can</t>
  </si>
  <si>
    <t>0c10fd43-8d16-4bd9-82d7-e1f5c2c75d10</t>
  </si>
  <si>
    <t>Immediately add 1 Grain from the supply to each of your planted Grain fields and 1 Vegetable to each of your planted Vegetable fields.</t>
  </si>
  <si>
    <t>Wild Game</t>
  </si>
  <si>
    <t>60c9f600-9c86-45d3-9527-bf1c54d1d1be</t>
  </si>
  <si>
    <t>1O</t>
  </si>
  <si>
    <t>You immediately receive 5 Food.</t>
  </si>
  <si>
    <t>waylander</t>
  </si>
  <si>
    <t>Winter Deadwood</t>
  </si>
  <si>
    <t>2f98562e-1b7f-4ca4-a4ba-b4de66add9fc</t>
  </si>
  <si>
    <t>When you play this card, you may either pay 1 Wood for 1 Bonus point or receive 1 Wood and pass this card to the player on your left who adds it to his/her hand.</t>
  </si>
  <si>
    <t>kimball</t>
  </si>
  <si>
    <t>Witches' Dance Ground</t>
  </si>
  <si>
    <t>1825d561-9cac-449e-8ab1-987159908567</t>
  </si>
  <si>
    <t>Place this card on or beside your farm. If you place it beside your farm, you gain 2 extra farmyard spaces (to be scored as normal) and you receive 1 Bonus point. If you place it on your farm, cover two orthogonally adjacent unused spaces which no longer count as part of your farm.</t>
  </si>
  <si>
    <t>cunning</t>
  </si>
  <si>
    <t>Wood Saw</t>
  </si>
  <si>
    <t>78b2a370-1a2c-47e9-8616-2766ea0555a1</t>
  </si>
  <si>
    <t>Whenever every other player has more Family members than you, you may immediately build 1 or more rooms by paying their cost.</t>
  </si>
  <si>
    <t>Globus</t>
  </si>
  <si>
    <t>Allegory</t>
  </si>
  <si>
    <t>84350011-baf8-4ccd-b66d-a4f0f2dcd15d</t>
  </si>
  <si>
    <t>5W</t>
  </si>
  <si>
    <t>When you play this card, you receive 1 Sheep, 1 Wild Boar and 1 Cattle.</t>
  </si>
  <si>
    <t>oxmond</t>
  </si>
  <si>
    <t>Alms Basket</t>
  </si>
  <si>
    <t>89c95849-2058-41e8-b986-8c1d7fbd56a9</t>
  </si>
  <si>
    <t>When you play this card, take 1 Grain for every 2 completed rounds of the game.</t>
  </si>
  <si>
    <t>luki</t>
  </si>
  <si>
    <t>Alternative Materials</t>
  </si>
  <si>
    <t>215a9d06-b231-4476-b4d1-5c01b79835a8</t>
  </si>
  <si>
    <t>Pottery</t>
  </si>
  <si>
    <t>Once during the Feeding phase of each Harvest you may convert 1 Wood to 2 Food and/or 1 Stone to 2 Food.</t>
  </si>
  <si>
    <t>nwoll</t>
  </si>
  <si>
    <t>Animal Trap</t>
  </si>
  <si>
    <t>d1caaf4c-c665-4d34-9085-cba53105d466</t>
  </si>
  <si>
    <t>The Well</t>
  </si>
  <si>
    <t>Place 1 cattle, 1 grain, and 1 cattle on the next 3 round spaces (in that order). At the start of these rounds, you receive the good.</t>
  </si>
  <si>
    <t>azwandahlan</t>
  </si>
  <si>
    <t>Apiary</t>
  </si>
  <si>
    <t>b0437f8a-2e35-4746-afc8-cd29115311f9</t>
  </si>
  <si>
    <t>At the end of each Work phase, you may Sow 1 field.</t>
  </si>
  <si>
    <t>Aquavit</t>
  </si>
  <si>
    <t>eea38178-a401-426e-be12-726478c16379</t>
  </si>
  <si>
    <t>When you play this card, you receive 4 Food and 1 Begging card. At any time, you may pay 3 Food to discard that Begging card.</t>
  </si>
  <si>
    <t>donba32</t>
  </si>
  <si>
    <t>Archangel</t>
  </si>
  <si>
    <t>c30d6888-20e5-4e65-bb85-6b23a3dac4aa</t>
  </si>
  <si>
    <t>Place 2 Reed on the "Take 1 Grain" Action space from the general supply. Any player who uses that space may also receive 1 Reed from it. Once there is no Reed on that space, you receive 1 Vegetable.</t>
  </si>
  <si>
    <t>Art</t>
  </si>
  <si>
    <t>d4ca13fd-5fe4-4e3b-ab05-c95e5925f181</t>
  </si>
  <si>
    <t>2W,1R</t>
  </si>
  <si>
    <t>(This card has no effect.)</t>
  </si>
  <si>
    <t>Artichoke Field</t>
  </si>
  <si>
    <t>19518803-8de2-4088-a042-add5fc13ab68</t>
  </si>
  <si>
    <t>When you Sow, you may Sow on this card as if it were 1 field. Whenever you harvest 1 or more goods from this card during the Field phase of Harvest, you receive 1 Food.</t>
  </si>
  <si>
    <t>minnie</t>
  </si>
  <si>
    <t>Baby Sling</t>
  </si>
  <si>
    <t>2d634fe3-4676-4ad7-9ce2-50763e3f2f0a</t>
  </si>
  <si>
    <t>1R/1H</t>
  </si>
  <si>
    <t>Once per round when you take the "Family growth" action on an Action space, you can move the newborn(s) to Baby Sling. If you do, return the adult who took "Family growth" to your home.</t>
  </si>
  <si>
    <t>superg</t>
  </si>
  <si>
    <t>Bakery</t>
  </si>
  <si>
    <t>a61b78f3-4edf-488e-a15c-bcaf5eb83da7</t>
  </si>
  <si>
    <t>2 Grain Fields</t>
  </si>
  <si>
    <t>2S,2C</t>
  </si>
  <si>
    <t>You receive 4 Food at the start of each Harvest.</t>
  </si>
  <si>
    <t>Bamboo</t>
  </si>
  <si>
    <t>deb53575-b542-447a-9197-f75343dec3ed</t>
  </si>
  <si>
    <t>2 planted fields</t>
  </si>
  <si>
    <t>Your next 5 fences cost you nothing.</t>
  </si>
  <si>
    <t>Banana Tree</t>
  </si>
  <si>
    <t>d8cd452b-563b-49f5-b4ab-783685543ff2</t>
  </si>
  <si>
    <t>Place 1 Food each on the next 7 remaining Round spaces. At the start of these rounds, you receive the Food.</t>
  </si>
  <si>
    <t>Bark Breads</t>
  </si>
  <si>
    <t>f33ab70c-5ff7-4672-80b2-df08abea8250</t>
  </si>
  <si>
    <t>When you play this card you receive 2 Food. In addition, you may convert up to 2 Wood into 1 Food each. AFTER YOU PLAY THIS CARD, PASS IT TO THE PLAYER ON YOUR LEFT, WHO ADDS IT TO HIS/HER HAND.</t>
  </si>
  <si>
    <t>vancoch</t>
  </si>
  <si>
    <t>Barn</t>
  </si>
  <si>
    <t>bb88817f-bd47-4d4f-900a-4631412875b2</t>
  </si>
  <si>
    <t>At the start of Rounds 8, 10, 12, and 14, you may pay 1 Wood to builds stable if you have more fields than stables.</t>
  </si>
  <si>
    <t>Bartering Shack</t>
  </si>
  <si>
    <t>6816dbe0-9075-443f-8ebc-c4df8ce74cf6</t>
  </si>
  <si>
    <t>1 Animal</t>
  </si>
  <si>
    <t>When you play this card, convert 1 Sheep/1 Wild Boar/1 Cattle into 2/3/4 Building resources of your choice. AFTER YOU PLAY THIS CARD, PASS IT TO THE PLAYER ON YOUR LEFT, WHO ADDS IT TO HIS/HER HAND.</t>
  </si>
  <si>
    <t>Bean Hole</t>
  </si>
  <si>
    <t>4373195a-da34-4948-b70c-76123a7b885f</t>
  </si>
  <si>
    <t>You may use the Bean Hole to convert Vegetables to 5 Food each. Place the Food on the next Rounds action space. At the start of that Round you receive the Food.</t>
  </si>
  <si>
    <t>Black Swan Lake</t>
  </si>
  <si>
    <t>568aeeab-f897-4a36-b397-a4d51b717c83</t>
  </si>
  <si>
    <t>Place 1 Food on each of the next Round spaces, up to the number of your played Occupations. At the start of these rounds, you receive the Food.</t>
  </si>
  <si>
    <t>Boar Trap</t>
  </si>
  <si>
    <t>868d1ae0-6a11-4f66-9cdd-5a874c9289a9</t>
  </si>
  <si>
    <t>Whenever you use the "Take 1 Grain" Action space, you receive 1 Wild Boar.</t>
  </si>
  <si>
    <t>Bonanza</t>
  </si>
  <si>
    <t>aa15f55d-80d7-47aa-9755-4e83c2538c66</t>
  </si>
  <si>
    <t>Whenever you use a "Take Stone" accumulation space, you also receive 1 Grain.</t>
  </si>
  <si>
    <t>Bonus</t>
  </si>
  <si>
    <t>1b33a811-4415-4666-b9b2-a38771ff21f9</t>
  </si>
  <si>
    <t>Family member on "Day Laborer"</t>
  </si>
  <si>
    <t>Bonus Room</t>
  </si>
  <si>
    <t>5d72d1b9-2628-4fd0-8664-38f2503e0632</t>
  </si>
  <si>
    <t>2 animals, 1 pasture, 1 planted field</t>
  </si>
  <si>
    <t>1W,1C,1R</t>
  </si>
  <si>
    <t>This card provides room for 1 Family member.</t>
  </si>
  <si>
    <t>chris</t>
  </si>
  <si>
    <t>Bookmark</t>
  </si>
  <si>
    <t>6758edc3-997c-4fa1-9279-3597ec39cf37</t>
  </si>
  <si>
    <t>Add 3 to the current round and place a marker on the corresponding Round space. At the start of that round, you may play 1 Occupation for free.</t>
  </si>
  <si>
    <t>Bounty</t>
  </si>
  <si>
    <t>771e5fb7-c290-4577-85c0-711ed2e08924</t>
  </si>
  <si>
    <t>Whenever you play a card with a Bonus point symbol, you may pay 1 Food to receive a Vegetable.</t>
  </si>
  <si>
    <t>Bread Machine</t>
  </si>
  <si>
    <t>a522721b-8530-4a26-8e57-e6f8e749ca41</t>
  </si>
  <si>
    <t>3 Occupations and 1 Baking Improvement</t>
  </si>
  <si>
    <t>Once each round, you may skip placing a Family member and receive a "Bake bread" action instead. You place the person later. You may only do this if every player has at least 1 person still to place.</t>
  </si>
  <si>
    <t>Cabbage</t>
  </si>
  <si>
    <t>f62f04aa-2d2f-442e-ad2c-20bcfbbe1199</t>
  </si>
  <si>
    <t>Place 1 Vegetable on each of the next 2 Round spaces. At the start of these rounds, you receive the Vegetable.</t>
  </si>
  <si>
    <t>Candy Room</t>
  </si>
  <si>
    <t>7863704a-0270-42df-b386-2cf2b9823802</t>
  </si>
  <si>
    <t>Stone House</t>
  </si>
  <si>
    <t>Whenever you receive Food from an Action space, you receive 1 Bonus Point.</t>
  </si>
  <si>
    <t>Caravan</t>
  </si>
  <si>
    <t>16c44d24-779a-45c3-a39e-393dac2530a4</t>
  </si>
  <si>
    <t>All farmyard spaces are used</t>
  </si>
  <si>
    <t>Carpet</t>
  </si>
  <si>
    <t>aeb2768c-3bb3-48e9-b169-2576323bd429</t>
  </si>
  <si>
    <t>4 Sheep</t>
  </si>
  <si>
    <t>You can use any "Family growth" Action space, even if it is occupied by another player.</t>
  </si>
  <si>
    <t>Carrot Harvester</t>
  </si>
  <si>
    <t>710dd005-b4f9-498e-956a-4176a0438b0d</t>
  </si>
  <si>
    <t>1S,1C</t>
  </si>
  <si>
    <t>Whenever you harvest 2 or more Vegetables, you receive 1 Bonus point.</t>
  </si>
  <si>
    <t>erpelboer</t>
  </si>
  <si>
    <t>Carrots</t>
  </si>
  <si>
    <t>9dab6231-a596-492b-b87e-20d41d91e0ce</t>
  </si>
  <si>
    <t>3 Plowed Fields</t>
  </si>
  <si>
    <t>Place 1 Food on each remaining even-numbered Round space. At the start of these rounds, you receive the Food.</t>
  </si>
  <si>
    <t>letsdance</t>
  </si>
  <si>
    <t>Cheese Fondue</t>
  </si>
  <si>
    <t>518cdbd2-06e2-431c-afd4-3fd451122be0</t>
  </si>
  <si>
    <t>Whenever you Bake 1 or more Grain into bread, you receive 1 additional Food if you have at least 1 Sheep and 1 additional Food if you have at least 1 Cattle.</t>
  </si>
  <si>
    <t>Cherry Orchard</t>
  </si>
  <si>
    <t>bad10998-50e3-4502-b8b5-dc623806a3ee</t>
  </si>
  <si>
    <t>When you Sow, you may plant up to 1 Wood on this card as if it were Grain. Whenever you Harvest the last Wood from this card, you also receive 1 Vegetable. (This card does not count as a field when scoring.)</t>
  </si>
  <si>
    <t>Children's Playground</t>
  </si>
  <si>
    <t>566a4d14-3761-48f3-92d1-132466f905bd</t>
  </si>
  <si>
    <t>1 Pasture</t>
  </si>
  <si>
    <t>From now on, one of your pastures can not contain animals.</t>
  </si>
  <si>
    <t>Child's Toy</t>
  </si>
  <si>
    <t>8ef2c1fe-708e-42ba-9736-e7c7c9af9c87</t>
  </si>
  <si>
    <t>Exactly 2 adults</t>
  </si>
  <si>
    <t>During the Feeding phase of each Harvest, your newborns require 2 Food (instead of 1).</t>
  </si>
  <si>
    <t>Chimney</t>
  </si>
  <si>
    <t>7ae2bf65-a922-4356-993b-eb9bca4b00e0</t>
  </si>
  <si>
    <t>Clay Hut or Stone House</t>
  </si>
  <si>
    <t>Whenever you build an Oven or a Cooking Hearth, you pay up to 2 building resources less of your choice.</t>
  </si>
  <si>
    <t>Clay Exchange</t>
  </si>
  <si>
    <t>6d1c3e03-2db3-42f7-b812-eaa219e990b3</t>
  </si>
  <si>
    <t>1R/1S</t>
  </si>
  <si>
    <t>When you play this card, immediately receive 3 Clay. AFTER YOU PLAY THIS CARD, PASS IT TO THE PLAYER ON YOUR LEFT, WHO ADDS IT TO HIS/HER HAND.</t>
  </si>
  <si>
    <t>Claytablet</t>
  </si>
  <si>
    <t>fd200bba-abc5-4b82-9acb-6c43174cf2e5</t>
  </si>
  <si>
    <t>At the start of each Round, before Work phase, you may pay 2 Clay to immediately play 1 Occupation.</t>
  </si>
  <si>
    <t>gerrard99</t>
  </si>
  <si>
    <t>Clay Worker's Shop</t>
  </si>
  <si>
    <t>5facb9c3-adb2-43ac-8ce6-802e6068d7aa</t>
  </si>
  <si>
    <t>1W,1C,2S</t>
  </si>
  <si>
    <t>Each Harvest you may convert 1 Wood plus 1 Clay to 4 Food. At the end of the game you may return 2/4/5 pairs of 1 Wood and 1 Clay for 1/2/3 Bonus points.</t>
  </si>
  <si>
    <t>Cloister</t>
  </si>
  <si>
    <t>61de4eeb-c116-449e-85f0-13d51907b676</t>
  </si>
  <si>
    <t>2S,1R</t>
  </si>
  <si>
    <t>At the end of the game, you receive 1 Bonus point for each of the 5 columns of your farmyard that contains a room.</t>
  </si>
  <si>
    <t>Coal Pit</t>
  </si>
  <si>
    <t>4b013c09-0cfd-4c03-9207-6906c65b42cf</t>
  </si>
  <si>
    <t>Whenever you use the "Day Laborer" Action space, you receive 1 Building resource of your choice.</t>
  </si>
  <si>
    <t>Coarse Grain</t>
  </si>
  <si>
    <t>00357c12-2f41-4a13-97af-33de217608c6</t>
  </si>
  <si>
    <t>1 Grain</t>
  </si>
  <si>
    <t>2W/2C</t>
  </si>
  <si>
    <t>You can convert 2 Wood/2 Clay into 3 Food at any time if you chose Wood/Clay as the cost of this card. (Mark this card with 1 Wood/Clay from the supply.)</t>
  </si>
  <si>
    <t>Coke Stove</t>
  </si>
  <si>
    <t>1fa13118-9a28-4abd-b2e3-5444bf6a1726</t>
  </si>
  <si>
    <t>Return Fireplace</t>
  </si>
  <si>
    <t>Each Harvest, you may convert up to 1 Wood to 3 Food. (The Coke Stove cannot cook animals.)</t>
  </si>
  <si>
    <t>Collar and Chain</t>
  </si>
  <si>
    <t>78dccd34-e2ec-4ecb-a194-4c3ad7c4e516</t>
  </si>
  <si>
    <t>You may keep two animals of the same type on Collar and Chain.</t>
  </si>
  <si>
    <t>Consolation Prize</t>
  </si>
  <si>
    <t>a0cec8d1-ac6e-4667-9368-3efe461f359d</t>
  </si>
  <si>
    <t>You receive 1 building resource of each type in which all the revealed respective Accumulation spaces are occupied. (To receive Stone, at least 1 Stone Accumulation space must be revealed.) AFTER YOU PLAY THIS CARD, PASS IT TO THE PLAYER ON YOUR LEFT, WHO ADDS IT TO HIS/HER HAND.</t>
  </si>
  <si>
    <t>Cook Pot</t>
  </si>
  <si>
    <t>b3cc86f7-b194-4e00-bfab-b85b94efd1b9</t>
  </si>
  <si>
    <t>1 Cooking Improvement</t>
  </si>
  <si>
    <t>Place 1 Food on the next 3 Round spaces. At the start of these rounds, you receive the Food.</t>
  </si>
  <si>
    <t>Corn on the Cob</t>
  </si>
  <si>
    <t>aad30314-6ef3-43d7-9c62-644d2d68e56e</t>
  </si>
  <si>
    <t>When you play this card, you receive 4 Food. AFTER YOU PLAY THIS CARD, PASS IT TO THE PLAYER ON YOUR LEFT, WHO ADDS IT TO HIS/HER HAND</t>
  </si>
  <si>
    <t>Cornucopia</t>
  </si>
  <si>
    <t>ae73f197-6075-4a0d-9917-9074e6ee05cc</t>
  </si>
  <si>
    <t>1G/1V,1R</t>
  </si>
  <si>
    <t>During the Feeding phase of the Harvest, you receive 1 Grain/Vegetable if you chose Grain/Vegetable as the cost of this card. (Mark this card with 1 Grain/Vegetable from the supply.)</t>
  </si>
  <si>
    <t>Costermonger's Barrow</t>
  </si>
  <si>
    <t>5dfec846-1e0b-4d9f-8ed4-7460804de4da</t>
  </si>
  <si>
    <t>During the Feeding phase of each Harvest, you may convert up to 1 Vegetable to 1 Bonus point and 2 Food.</t>
  </si>
  <si>
    <t>keith</t>
  </si>
  <si>
    <t>Cotton Field</t>
  </si>
  <si>
    <t>08de034a-18fc-473c-a8a9-8e1d1f6eee79</t>
  </si>
  <si>
    <t>You may immediately Plow 1 field.</t>
  </si>
  <si>
    <t>Country Silo</t>
  </si>
  <si>
    <t>e718536c-02c2-4780-b0b2-a95f28e22ebf</t>
  </si>
  <si>
    <t>Whenever another player (or, in Solo game, you) uses the "3 Wood" Action space, you receive 1 Grain.</t>
  </si>
  <si>
    <t>Cow Chips</t>
  </si>
  <si>
    <t>15a2ea07-4dc4-4492-a0d1-a001c0eab641</t>
  </si>
  <si>
    <t>1 Cattle</t>
  </si>
  <si>
    <t>Whenever you Sow a field that is orthogonally adjacent to a pasture, you may place extra good from the supply on it.</t>
  </si>
  <si>
    <t>Crop Rotation Field</t>
  </si>
  <si>
    <t>94be30d7-b372-4814-91ab-b8bf4c552f92</t>
  </si>
  <si>
    <t>When you Sow, you may Sow on this card as if it were 1 field. Whenever you remove the last Grain/Vegetable from this card, you may immediately Sow 1 Vegetable/Grain on this card from your supply.</t>
  </si>
  <si>
    <t>Crystal Ball</t>
  </si>
  <si>
    <t>354e714d-912f-4c32-ad48-75598a511b68</t>
  </si>
  <si>
    <t>1C/1S</t>
  </si>
  <si>
    <t>Whenever any player plays an Occupation or Improvement which allows placement of one or more Building resources, Food, Grain and/or Vegetables on future round spaces, you receive 1 Food.</t>
  </si>
  <si>
    <t>Custom Improvements</t>
  </si>
  <si>
    <t>bcf29d50-bb6b-430f-9d40-4365178e074c</t>
  </si>
  <si>
    <t>You receive 1 Bonus point any time you play a Minor Improvement with an action that could have allowed you to play a Major Improvement instead (including this one).</t>
  </si>
  <si>
    <t>Dairy Supply</t>
  </si>
  <si>
    <t>a389c4e8-2693-49f3-b80b-52de03ff8413</t>
  </si>
  <si>
    <t>When you play this card, you immediately receive 1 Sheep if the "Fishing" action space is occupied and 1 Cattle if the "Take 1 Sheep" action space is occupied. AFTER YOU PLAY THIS CARD, PASS IT TO THE PLAYER ON YOUR LEFT, WHO ADDS IT TO HIS/HER HAND.</t>
  </si>
  <si>
    <t>Dictionary</t>
  </si>
  <si>
    <t>9523600d-2b0c-4f49-bab4-3060b406af8d</t>
  </si>
  <si>
    <t>1W/1R</t>
  </si>
  <si>
    <t>You may use the "Occupation" Action on an Action space even if it is occupied. At the end of the game, you receive 1 Bonus point if you have 7 played Occupations.</t>
  </si>
  <si>
    <t>Dinghy</t>
  </si>
  <si>
    <t>e150e889-8554-4862-ae1d-500c472978db</t>
  </si>
  <si>
    <t>Immediately take all the food from the "Fishing" accumulation space and place an equal amount of wood from the general supply on the space afterward. AFTER YOU PLAY THIS CARD, PASS IT TO THE PLAYER ON YOUR LEFT, WHO ADDS IT TO HIS/HER HAND</t>
  </si>
  <si>
    <t>Dolly's Mother</t>
  </si>
  <si>
    <t>5789b55f-7f69-43e5-ba26-2023fde8e091</t>
  </si>
  <si>
    <t>1 Sheep</t>
  </si>
  <si>
    <t>You only require 1 Sheep to breed during the Breeding phase of a Harvest. This card can hold Sheep.</t>
  </si>
  <si>
    <t>Dormer</t>
  </si>
  <si>
    <t>7f0e484e-46f2-4b52-98b8-2835914c9e58</t>
  </si>
  <si>
    <t>1 Vegetable Field</t>
  </si>
  <si>
    <t>Pay 1 Reed less to build each room, for each Renovation, and for each Improvement.</t>
  </si>
  <si>
    <t>Dough</t>
  </si>
  <si>
    <t>d6c723f8-d023-40a0-ae8d-a909f2e47dd4</t>
  </si>
  <si>
    <t>When you use a "Bake bread" action, you may discard this card for 5 Food.</t>
  </si>
  <si>
    <t>Dovetail Joints</t>
  </si>
  <si>
    <t>f9bced1f-6ba2-4bcb-a50e-8be66b1fd75e</t>
  </si>
  <si>
    <t>2 stables</t>
  </si>
  <si>
    <t>When you play this card, you receive 2 Food. From now on, the Joinery is a Minor Improvement for you and costs you nothing.</t>
  </si>
  <si>
    <t>Dragonfly Pond</t>
  </si>
  <si>
    <t>803f4cf3-e51d-47c6-966b-be6d204849d6</t>
  </si>
  <si>
    <t>Exactly 2 Occupations</t>
  </si>
  <si>
    <t>Place 1 Food on each of the next 2 Round spaces. At the start of these rounds, you receive the Food.</t>
  </si>
  <si>
    <t>Dray</t>
  </si>
  <si>
    <t>58385072-b671-4aec-84e4-36d7333ebb59</t>
  </si>
  <si>
    <t>Whenever you use a Person to take exactly 1 resource from a Building resource Accumulation space, you receive an additional 1 Building resource of your choice and 1 Food.</t>
  </si>
  <si>
    <t>Driftwood</t>
  </si>
  <si>
    <t>fb8b6a55-436b-410b-ba61-670b684a6a7d</t>
  </si>
  <si>
    <t>Place 1 Wood each on the next 2 Round spaces. At the start of the round, you receive the Wood.</t>
  </si>
  <si>
    <t>Dual Field</t>
  </si>
  <si>
    <t>543cacc4-a5d2-4b50-92b7-fbc5db2bb75e</t>
  </si>
  <si>
    <t>On this card, you can plant 1 Grain and/or 1 Vegetables as you would on a field. (This card does not count as a field when scoring.)</t>
  </si>
  <si>
    <t>Educated Sheep</t>
  </si>
  <si>
    <t>6e69d2a0-98de-4d64-8053-294f49d1914f</t>
  </si>
  <si>
    <t>Choose two - receive 1 Grain; or receive 2 Food; or build 1 stable for 1 Wood; or receive 1 Building Resource of your choice. AFTER YOU PLAY THIS CARD, PASS IT TO THE PLAYER ON YOUR LEFT, WHO ADDS IT TO HIS/HER HAND.</t>
  </si>
  <si>
    <t>Eel Farm</t>
  </si>
  <si>
    <t>59f98b59-75fe-4c2e-a6dd-819234d1e305</t>
  </si>
  <si>
    <t>Whenever you take the "Fishing" action space, you may place 1 Clay from the general supply on an unused farmyard space. This space is now considered used, can hold up to 1 Animal, and forms a natural border for pastures.</t>
  </si>
  <si>
    <t>Engineering</t>
  </si>
  <si>
    <t>02dc7680-5240-4073-989a-00a7ef09f4cd</t>
  </si>
  <si>
    <t>When you play this card, you may immediately take a "Renovation" action. Pay 1 Building resource less for each completed Round of the game.</t>
  </si>
  <si>
    <t>Executive Boar</t>
  </si>
  <si>
    <t>5eb0ff3b-3d9b-4392-a270-9d91cc9ccae6</t>
  </si>
  <si>
    <t>Choose two - receive 1 Vegetable; or receive 3 Food; or build up to 6 fences for 4 Wood; or receive a ‘Family Growth with Room‘ action. AFTER YOU PLAY THIS CARD, PASS IT TO THE PLAYER ON YOUR LEFT, WHO ADDS IT TO HIS/HER HAND.</t>
  </si>
  <si>
    <t>Expansion Plans</t>
  </si>
  <si>
    <t>fe2e0495-99a5-4197-a2f1-b0c45d402c4d</t>
  </si>
  <si>
    <t>Exactly 2 Stone Rooms</t>
  </si>
  <si>
    <t>Add 4 to the round number and place 1 Stone Room on that Action space. At the start of that Round, you may expand your Stone House by 1 Room for free.</t>
  </si>
  <si>
    <t>Extensive Resume</t>
  </si>
  <si>
    <t>fcc295f7-b49d-4d96-9575-0b74ee8b781e</t>
  </si>
  <si>
    <t>At the end of the game you receive 1/2/3 Bonus points for 5/6/7 played Occupations.</t>
  </si>
  <si>
    <t>Farmer's Straw Hat</t>
  </si>
  <si>
    <t>c99de54f-759e-4a37-bb6d-74c6513a7aa3</t>
  </si>
  <si>
    <t>When you play this card, immediately take the Field phase of a Harvest on your farmyard.</t>
  </si>
  <si>
    <t>Farm Name Sign</t>
  </si>
  <si>
    <t>870415b3-5f08-4d60-9cb4-c1d456e5ec1c</t>
  </si>
  <si>
    <t>At the end of the game, you receive 2 Bonus points, if your farm has no unused spaces.</t>
  </si>
  <si>
    <t>Farm Stable</t>
  </si>
  <si>
    <t>d2018cae-8033-436c-a74e-d10c5e455b3a</t>
  </si>
  <si>
    <t>1 stable</t>
  </si>
  <si>
    <t>Place 1 Food each on the next 2/3/4/5 remaining Round spaces if you have 1/2/3/4 stables. At the start of these rounds, you receive the Food.</t>
  </si>
  <si>
    <t>Flamingo Lake</t>
  </si>
  <si>
    <t>1b8d8917-4612-48ad-9ca3-4e6d0bc93966</t>
  </si>
  <si>
    <t>Place 4 Food on this a from the general supply. At the start of each Work Phase, if you are the last player in turn order, move 1 Food from this card to your supply.</t>
  </si>
  <si>
    <t>Flea Market</t>
  </si>
  <si>
    <t>23112430-5923-4a29-b0b4-6c9191a0594c</t>
  </si>
  <si>
    <t>Place 1 Wood/Clay/Reed from your supply on an unoccupied Action space of your choice to receive 2/2/3 Food. The next player to use this Action space receives the resource. AFTER YOU PLAY THIS CARD, PASS IT TO THE PLAYER ON YOUR LEFT, WHO ADDS IT TO HIS/HER HAND</t>
  </si>
  <si>
    <t>Fleece Factory</t>
  </si>
  <si>
    <t>128f8356-c635-461e-bf44-e5d1ea4c1b3e</t>
  </si>
  <si>
    <t>2S,2W</t>
  </si>
  <si>
    <t>Whenever you breed a Sheep, you receive 1 Bonus point.</t>
  </si>
  <si>
    <t>Food Bank</t>
  </si>
  <si>
    <t>66ee015c-dd95-4c9f-9f28-8035459e5954</t>
  </si>
  <si>
    <t>Place 1 of your unbuilt stables on an Action space of your choice. You cannot build that stable anymore. Whenever another player uses that Action space, you receive 1 Food from the general supply.</t>
  </si>
  <si>
    <t>kiic</t>
  </si>
  <si>
    <t>Food Storehouse</t>
  </si>
  <si>
    <t>ec3d4b57-ce8d-4b2c-a6e5-194afb34d9fe</t>
  </si>
  <si>
    <t>3W/3C</t>
  </si>
  <si>
    <t>Place 2 Food on each of the spaces for Rounds 8, 10, 12 and 14. At the start of these Rounds, you receive the Food.</t>
  </si>
  <si>
    <t>Foraging</t>
  </si>
  <si>
    <t>6e699e51-4c85-46e8-90a3-2e91aeeb6dbe</t>
  </si>
  <si>
    <t>Once per round you may return any number of sown Grain and/or Vegetables to the general supply. For each good returned, you receive 1 Food.</t>
  </si>
  <si>
    <t>Foreign Labor</t>
  </si>
  <si>
    <t>0f4ebd00-c4c9-43ca-b3e6-069eccdf0759</t>
  </si>
  <si>
    <t>Place 1 Guest token on each of the next 3 even Round spaces. At the start of these Rounds, you receive the Guest (which you may place as you would a person).</t>
  </si>
  <si>
    <t>Foresight</t>
  </si>
  <si>
    <t>24580c25-ff55-43da-a81c-019eac5de6d3</t>
  </si>
  <si>
    <t>The next Improvement you play costs 2 Building resources less.</t>
  </si>
  <si>
    <t>Fruit Tart</t>
  </si>
  <si>
    <t>93b3b49e-3e66-40e4-a06c-b109a55ded6f</t>
  </si>
  <si>
    <t>Oven</t>
  </si>
  <si>
    <t>When you take the "Take 1 Grain" or "Take 1 Vegetable" action, you may also take the "Bake bread" action.</t>
  </si>
  <si>
    <t>Fruit Tree House</t>
  </si>
  <si>
    <t>bc2b2dbc-168d-4518-83f2-480c6ba8a920</t>
  </si>
  <si>
    <t>Whenever you extend your home, you may place 1 Food from the supply on this card for each new room. During the Feeding phase of the Harvest, you receive 1 Food from the supply for each Food on this card.</t>
  </si>
  <si>
    <t>Garden Statue</t>
  </si>
  <si>
    <t>9ca3684e-5175-40be-abf4-eb54a24fe6ac</t>
  </si>
  <si>
    <t>Pile (from bottom to top) 1 Vegetable, Stone, Grain, Stone, Grain on this card. You receive the top item when you use the "Day Laborer" Action space.</t>
  </si>
  <si>
    <t>Giant Scarecrow</t>
  </si>
  <si>
    <t>fe36b30c-52c8-4a2e-ae4e-21d5953708ff</t>
  </si>
  <si>
    <t>Take Grain from the supply and not your Grain field whenever you harvest them - you keep the Grain on the fields.</t>
  </si>
  <si>
    <t>Grain Bag</t>
  </si>
  <si>
    <t>43294665-ec31-4964-b639-2d359010c3ba</t>
  </si>
  <si>
    <t>Whenever you use the "Take 1 Grain" Action space, you receive 1 additional Grain for each baking Improvement you have.</t>
  </si>
  <si>
    <t>Grain Shrine</t>
  </si>
  <si>
    <t>f2eb80cb-dda1-4ae1-98b6-b24f1d38737d</t>
  </si>
  <si>
    <t>1W,1C,1S</t>
  </si>
  <si>
    <t>At the end of rounds 8, and 10, you receive 1 Sheep for each Grain field that you have, and you may convert up to 3 Grain in your supply to Wood at a 1:2 ratio.</t>
  </si>
  <si>
    <t>Guest Plow</t>
  </si>
  <si>
    <t>cb93021f-9f74-46a3-b1e4-9ab7f8969cb5</t>
  </si>
  <si>
    <t>Whenever you use either the "Plow 1 field" or "Plow 1 field and/or Sow" Action space, you may Plow 1 additional Field for each of your empty Rooms.</t>
  </si>
  <si>
    <t>Guild Hall</t>
  </si>
  <si>
    <t>f2a6d561-e441-4c70-8fdf-9fca8e830d88</t>
  </si>
  <si>
    <t>2W,2C</t>
  </si>
  <si>
    <t>Whenever you build a Major Improvement, you may play 1 Occupation for free.</t>
  </si>
  <si>
    <t>Harvest Totem</t>
  </si>
  <si>
    <t>9ec5f24a-688e-4330-b602-78194d72080d</t>
  </si>
  <si>
    <t>1 Grain Field</t>
  </si>
  <si>
    <t>Whenever you play an Occupation, you receive 1 Wild Boar afterward.</t>
  </si>
  <si>
    <t>Heavy Cart</t>
  </si>
  <si>
    <t>86d4ccce-770d-4bf7-b609-36dc065e9052</t>
  </si>
  <si>
    <t>2 Animals</t>
  </si>
  <si>
    <t>Whenever you take Building resources from an Action space, you receive 1 additional resource of 1 of the taken types.</t>
  </si>
  <si>
    <t>Hermit's Stick</t>
  </si>
  <si>
    <t>76d5f2b3-edf5-452d-9889-40472f52dc90</t>
  </si>
  <si>
    <t>At the end of the game, you receive 1/2/4 Bonus points for having exactly 4/3/2 Family members.</t>
  </si>
  <si>
    <t>pm_ballard</t>
  </si>
  <si>
    <t>Hoe</t>
  </si>
  <si>
    <t>7c400890-fbbc-413a-878f-6c9665783350</t>
  </si>
  <si>
    <t>At the end of each Work phase, if you occupy both the "Take 1 Grain" and "Take 1 Vegetable" Action spaces, you may immediately Plow 1 field.</t>
  </si>
  <si>
    <t>Huntsman's Rifle</t>
  </si>
  <si>
    <t>e3c3655b-c424-4b96-98d0-763532f28e43</t>
  </si>
  <si>
    <t>1S,1W</t>
  </si>
  <si>
    <t>Whenever you receive Wild boar outside the Breeding phase of a Harvest, you may immediately convert them into 4 Food each.</t>
  </si>
  <si>
    <t>Ice Cooler</t>
  </si>
  <si>
    <t>c409d4de-e3f8-4d29-bec6-dbaa897bc32d</t>
  </si>
  <si>
    <t>Wood Hut</t>
  </si>
  <si>
    <t>When you play this card, you receive 3 food. After playing this card, the next player to have a Stone house (who currently doesn't have a Stone house) receives 2 Bonus points.</t>
  </si>
  <si>
    <t>Imported Timber</t>
  </si>
  <si>
    <t>0f77e8ce-c9de-4a7f-8cd3-49a836f7b464</t>
  </si>
  <si>
    <t>When you play this card, you may immediately take a "Fences" action and pay 1 Wood less for each completed Round of the game.</t>
  </si>
  <si>
    <t>Interior Design</t>
  </si>
  <si>
    <t>0f69661d-360a-4338-b688-75af3e0cb0a0</t>
  </si>
  <si>
    <t>Whenever you play another Improvement, you may pay 1 additional building resource of a type in the printed cost to receive 3 Food.</t>
  </si>
  <si>
    <t>Investments</t>
  </si>
  <si>
    <t>3a7abb60-2d2b-417f-a3ca-2c7511bb89e0</t>
  </si>
  <si>
    <t>You immediately receive 1 building resource of each type in which you have 5 or more building resources of that type in your supply. AFTER YOU PLAY THIS CARD, PASS IT TO THE PLAYER ON YOUR LEFT, WHO ADDS IT TO HIS/HER HAND.</t>
  </si>
  <si>
    <t>guy</t>
  </si>
  <si>
    <t>Iron Oven</t>
  </si>
  <si>
    <t>6a25088b-6f61-46c0-b25b-01d04eac1ab7</t>
  </si>
  <si>
    <t>3S</t>
  </si>
  <si>
    <t>Whenever you use the "Bake bread" action, you can use the Iron Oven to convert 1 Grain into 6 Food. When you play this card, you may immediately take a "Bake bread" action.</t>
  </si>
  <si>
    <t>barbarossa89</t>
  </si>
  <si>
    <t>Jungle</t>
  </si>
  <si>
    <t>bf9c1873-0261-4a21-803d-2fa1dd8a1973</t>
  </si>
  <si>
    <t>At the start of each Round, add 1 Food to one of the Wood accumulation spaces with the fewest Wood.</t>
  </si>
  <si>
    <t>Kitchen Cabinet</t>
  </si>
  <si>
    <t>4994c6cd-0200-4d15-abe2-fa91e4de3c95</t>
  </si>
  <si>
    <t>Whenever you select the "Minor Improvement" action onan Action space, you can play a Major instead of a Minor Improvement.</t>
  </si>
  <si>
    <t>Kudzu</t>
  </si>
  <si>
    <t>ea1884ad-3dbc-412d-8f67-fe1023961105</t>
  </si>
  <si>
    <t>1 unused space</t>
  </si>
  <si>
    <t>Place 1 Reed from the supply on 1 of your unused farmyard spaces. At the start of each round, you must place 1 Reed from the supply on another unused space orthogonally adjacent to a previously placed Reed (if able). These spaces count as used. (You may not remove the Reed or use the spaces.)</t>
  </si>
  <si>
    <t>Large Sunhat</t>
  </si>
  <si>
    <t>3bcb94c2-b130-4d82-833d-feeca9d358dd</t>
  </si>
  <si>
    <t>At the start of the returning home phases of rounds 3 and 6, you can move your person from the "Plow 1 field" action space to an unoccupied action space and take that action. If you do not occupy "Plow 1 field", you receive 1 food.</t>
  </si>
  <si>
    <t>kulbrot</t>
  </si>
  <si>
    <t>Leftovers</t>
  </si>
  <si>
    <t>69e9b6e1-bcdf-4268-b4c4-74f531e1e8ef</t>
  </si>
  <si>
    <t>After the Feeding phase, you may put 1 Food from your supply to a farmyard space within a pasture. You can have a maximum of 1 Food for each pasture. At the end of the game, each Food is worth 1 Bonus point.</t>
  </si>
  <si>
    <t>Lorelei</t>
  </si>
  <si>
    <t>934f5cd1-28e8-4e60-9a9d-4f78820dbd83</t>
  </si>
  <si>
    <t>Whenever any player uses the "Fishing" Action space, you may pay that player 1 Food to receive 1 Grain.</t>
  </si>
  <si>
    <t>Lumber Pile</t>
  </si>
  <si>
    <t>fef19107-a254-4bb5-a9e1-0c0d1a8174b9</t>
  </si>
  <si>
    <t>When you play this card, you can return up to 3 stables from your farmyard to your supply and receive 3 Wood for each.</t>
  </si>
  <si>
    <t>Machete</t>
  </si>
  <si>
    <t>f94a6456-e7fa-4f68-bc79-2e031a6c67f5</t>
  </si>
  <si>
    <t>During the Field phase of each Harvest you may harvest all the goods planted in 1 of your fields.</t>
  </si>
  <si>
    <t>Magnet</t>
  </si>
  <si>
    <t>08f64444-df6d-45e8-b823-e18d1ff7af5f</t>
  </si>
  <si>
    <t>At the end of each round, if you have no Stone in your supply, you may take 1 Stone from an accumulating Stone Action space.</t>
  </si>
  <si>
    <t>Mangrove Tree</t>
  </si>
  <si>
    <t>119c9a19-b322-4f17-8518-8bcbbf4b744b</t>
  </si>
  <si>
    <t>Whenever you use a Person to take either the Take 1 Reed" accumulation action space or the "Fishing" action space, you receive 1 Wood from the supply.</t>
  </si>
  <si>
    <t>Market</t>
  </si>
  <si>
    <t>0f151dda-0447-45ab-9cc2-d029b32d5bdf</t>
  </si>
  <si>
    <t>When you play this card, you receive 1 Grain, 1 Vegetable and 2 Food.</t>
  </si>
  <si>
    <t>Master Oven</t>
  </si>
  <si>
    <t>2010b40c-f559-4476-8423-bcad213ea055</t>
  </si>
  <si>
    <t>2C,2S</t>
  </si>
  <si>
    <t>Whenever you use a Bread baking action, you can use the Master Oven to convert up to 2 Grain into 5 Food each. When you play this card, you can immediately take the "Bake bread" action.</t>
  </si>
  <si>
    <t>Mattock</t>
  </si>
  <si>
    <t>15df94ca-3130-4a91-a1e7-081b9d5ea32b</t>
  </si>
  <si>
    <t>Whenever you receive Reed or Stone from an Action space, you receive 1 additional Clay.</t>
  </si>
  <si>
    <t>Meadow</t>
  </si>
  <si>
    <t>f66cfe5f-14b5-4bf4-a20b-7e981c28577d</t>
  </si>
  <si>
    <t>1 animal of each type</t>
  </si>
  <si>
    <t>The edge of your farm now forms a natural border for pastures. (This does not count as building fences or taking a "Fences" action.)</t>
  </si>
  <si>
    <t>Melon Patch</t>
  </si>
  <si>
    <t>c353e2a4-83bc-47a0-be84-66b36d6aa97c</t>
  </si>
  <si>
    <t>When you Sow, you can plant Vegetables on this card as though it were field. When you harvest the last Vegetable on this card, you may Plow 1 field. (This card does nor count as field when scoring.)</t>
  </si>
  <si>
    <t>Menagerie</t>
  </si>
  <si>
    <t>7e2ea6f3-77b8-4b53-9d9f-aa75613b4bc8</t>
  </si>
  <si>
    <t>Whenever you receive an animal of a type you don't have on your farm, you receive 1 Food.</t>
  </si>
  <si>
    <t>Milkcan</t>
  </si>
  <si>
    <t>60907ec3-f169-4252-ab20-d2c29eb167ce</t>
  </si>
  <si>
    <t>You immediately receive 2 Food for each different type of animal on your farmyard. AFTER YOU PLAY THIS CARD, PASS IT TO THE PLAYER ON YOUR LEFT, WHO ADDS IT TO HIS/HER HAND</t>
  </si>
  <si>
    <t>Muddy Bog</t>
  </si>
  <si>
    <t>e9971643-312a-47f7-ba2b-85e5e2049108</t>
  </si>
  <si>
    <t>Place 1 Clay each on the next 2 Round spaces. At the start of each round, you receive the Clay.</t>
  </si>
  <si>
    <t>Muddy Land</t>
  </si>
  <si>
    <t>7a925539-910d-48d0-9764-25d1bb4f983b</t>
  </si>
  <si>
    <t>Whenever you use the "Plow 1 field" Action space, you receive 2 Clay for each field you Plow.</t>
  </si>
  <si>
    <t>Muddy Waters</t>
  </si>
  <si>
    <t>7a6e44e3-8935-432c-a0a8-901632f46771</t>
  </si>
  <si>
    <t>5 played cards</t>
  </si>
  <si>
    <t>Alternate placing 1 Food andr Clay on each remaining even-numbered Round space starting with Food. At the start of these Rounds, you receive the item.</t>
  </si>
  <si>
    <t>Nail Basket</t>
  </si>
  <si>
    <t>d8960b85-f60c-4019-8fcb-61b569a4a6d5</t>
  </si>
  <si>
    <t>Whenever you use a Wood Accumulation space, you may place 1 Stone from your supply on the space to take a "Fences" Action. The next player to use the space takes the Stone.</t>
  </si>
  <si>
    <t>Night Bazaar</t>
  </si>
  <si>
    <t>420a9be0-6467-4db5-9b4f-89382ed92a38</t>
  </si>
  <si>
    <t>Immediately take 1 building resource from 2 Accumulation spaces. The resources taken must be different types. AFTER YOU PLAY THIS CARD, PASS IT TO THE PLAYER ON YOUR LEFT, WHO ADDS IT TO HIS/HER HAND</t>
  </si>
  <si>
    <t>Open Fields</t>
  </si>
  <si>
    <t>121bb4a4-4d64-46c0-9617-87b4dd300351</t>
  </si>
  <si>
    <t>At the end of the game, you receive 2 Bonus points if you have 4 or fewer built fences.</t>
  </si>
  <si>
    <t>Overgrown Pond</t>
  </si>
  <si>
    <t>3ca829f6-bec8-4f58-898c-7248a055d51b</t>
  </si>
  <si>
    <t>Alternate placing 1 Wood and 1 Food on the next 4 Round spaces. Start with the item of your choice. At the start of these rounds, you receive the item.</t>
  </si>
  <si>
    <t>Ox Skull</t>
  </si>
  <si>
    <t>88fcb93e-a11e-4688-942e-b587c08bbb0e</t>
  </si>
  <si>
    <t>At the end of the game, you receive 3 Bonus points if you have no Cattle.</t>
  </si>
  <si>
    <t>Oyster Recipe</t>
  </si>
  <si>
    <t>681ec145-e1e3-49ea-a95a-83c5c746745c</t>
  </si>
  <si>
    <t>Whenever you take the "Fishing" Action space, you may have one pair of animals on your farmyard breed.</t>
  </si>
  <si>
    <t>Paintbrush</t>
  </si>
  <si>
    <t>e73b6d8a-ec2a-4f82-a985-9d39227a15b1</t>
  </si>
  <si>
    <t>1 Wild Boar</t>
  </si>
  <si>
    <t>Each Harvest, you may convert 1 Clay into 2 Food or 1 Bonus point.</t>
  </si>
  <si>
    <t>Panda</t>
  </si>
  <si>
    <t>3f6ba9fa-fcc9-4f28-b093-8518258ed46d</t>
  </si>
  <si>
    <t>1 fenced stable</t>
  </si>
  <si>
    <t>From now on, one of your pastures containing a stable may not hold animals. Whenever you take Reed from an Action space, you receive 1 Bonus point.</t>
  </si>
  <si>
    <t>Parchment</t>
  </si>
  <si>
    <t>8009c258-5270-4f28-b0e9-215e9483b8ab</t>
  </si>
  <si>
    <t>At the start of each round, you may pay 1 Sheep to play 1 Occupation.</t>
  </si>
  <si>
    <t>Pastureland</t>
  </si>
  <si>
    <t>2155a698-db09-42a7-8bb5-ecf0bbdd3a99</t>
  </si>
  <si>
    <t>Place 1 Sheep, 1 Wild boar and 1 Cattle on the next 3 Round spaces in this order. At the start of these rounds' Work phase, place the animal on an Action space of your choice. (The next player to use this space receives the animal.)</t>
  </si>
  <si>
    <t>geri</t>
  </si>
  <si>
    <t>Pepper Patch</t>
  </si>
  <si>
    <t>218c6222-06e5-4373-8f65-ebb2d0e38504</t>
  </si>
  <si>
    <t>On this card, you can plant Vegetables as you would on a Field. If you do so, place 1 additional Vegetable on it. (This card does not count as a field when scoring.)</t>
  </si>
  <si>
    <t>Pet Door</t>
  </si>
  <si>
    <t>bc27712a-0d95-4823-9c2d-2913e14519b5</t>
  </si>
  <si>
    <t>As long as you have a pasture orthogonally adjacent to your home, you may keep animals of any type on this card up to the number of rooms in your home.</t>
  </si>
  <si>
    <t>Piggy Bank</t>
  </si>
  <si>
    <t>3dc6597a-41bc-4380-9040-dc5d1b995b40</t>
  </si>
  <si>
    <t>At the end of each Work Phase, you may place 1 Food from your supply on Piggy Bank. You cannot use this Food anymore. At any time, you may discard 6 Food on Piggy Bank to build a Major Improvement for free.</t>
  </si>
  <si>
    <t>Plow Feast</t>
  </si>
  <si>
    <t>8b54ad34-a3ce-4eff-b416-522507e34013</t>
  </si>
  <si>
    <t>When you play this card, each player may immediately pay 1 Food to the general supply and place 1 Food on the "1 Grain" action space, to Plow 1 Field.</t>
  </si>
  <si>
    <t>Plowman's Lunch</t>
  </si>
  <si>
    <t>cb2f8b65-f999-420d-8f6c-8df5fa73e5fe</t>
  </si>
  <si>
    <t>Whenever you use the "Bake Bread" Action, you may pay 1 Food to Plow 1 Field.</t>
  </si>
  <si>
    <t>Pole Barns</t>
  </si>
  <si>
    <t>b6ea2fed-ddca-4968-b6f5-41c2e11dce28</t>
  </si>
  <si>
    <t>15 built fences</t>
  </si>
  <si>
    <t>When you play this card, immediately build up to 3 stables at No cost. AFTER YOU PLAY THIS CARD, PASS IT TO THE PLAYER ON YOUR LEFT, WHO ADDS IT TO HIS/HER HAND.</t>
  </si>
  <si>
    <t>Popcorn</t>
  </si>
  <si>
    <t>b029c759-4fcf-46ec-b871-4daf95d27b9a</t>
  </si>
  <si>
    <t>At any time, you may convert 1 Reed into 1 Grain.</t>
  </si>
  <si>
    <t>Postbox</t>
  </si>
  <si>
    <t>4f6a536e-a50b-497b-91df-0df7fd9da65e</t>
  </si>
  <si>
    <t>Whenever you play a passing card you receive 1 Bonus point.</t>
  </si>
  <si>
    <t>rylocren</t>
  </si>
  <si>
    <t>Potatoes</t>
  </si>
  <si>
    <t>3d63d304-ce48-4685-99f3-46c3739b704d</t>
  </si>
  <si>
    <t>2 Plowed Fields</t>
  </si>
  <si>
    <t>Place 1 Food on the next 3 Round spaces. At the start of these Rounds, you receive the Food.</t>
  </si>
  <si>
    <t>Powder Keg</t>
  </si>
  <si>
    <t>5780f9ff-61ec-4d9f-9337-c09fc1d2775e</t>
  </si>
  <si>
    <t>Place 3 Stone from the supply on this card. You may use this Stone only for renovations and only before the end of Round 11.</t>
  </si>
  <si>
    <t>Private Oven</t>
  </si>
  <si>
    <t>f35e69e7-7fe6-4cc3-87b9-dd669584def0</t>
  </si>
  <si>
    <t>1 Stable</t>
  </si>
  <si>
    <t>2C,1S</t>
  </si>
  <si>
    <t>Whenever you take the "Bake bread" action, you can use the Private Oven to turn exactly 1 grain into 5 food.When you play this card, you can immediately take the "Bake bread" action.</t>
  </si>
  <si>
    <t>Prized Squash</t>
  </si>
  <si>
    <t>fb3eb898-cc41-452a-a445-2df9dd52b4e5</t>
  </si>
  <si>
    <t>For each Vegetable you convert to Food, you may place 1 of the Food on this card. You may not have more Food on this card than your number of plowed fields. At the end of the game, you receive 1 Bonus point for each Food on this card.</t>
  </si>
  <si>
    <t>Probiotic Food</t>
  </si>
  <si>
    <t>d5047a0a-fc69-464e-93b0-c8f1e4bf02ca</t>
  </si>
  <si>
    <t>When paying a cost, you may discard this card and pay 2 less Building resources of your choice.</t>
  </si>
  <si>
    <t>Public Forest</t>
  </si>
  <si>
    <t>1062bc17-2e58-473a-857c-fbcd97229bbc</t>
  </si>
  <si>
    <t>Renovation Materials</t>
  </si>
  <si>
    <t>0c9083c5-f7c4-4f09-84e4-a1564f6dbcf2</t>
  </si>
  <si>
    <t>Wooden Hut</t>
  </si>
  <si>
    <t>3C,1R</t>
  </si>
  <si>
    <t>Immediately renovate to Clay for free. AFTER YOU PLAY THIS CARD, PASS IT TO THE PLAYER ON YOUR LEFT, WHO ADDS IT TO HIS/HER HAND</t>
  </si>
  <si>
    <t>River Mill</t>
  </si>
  <si>
    <t>80ca60db-d511-4c5e-957f-cbb1372dfaa4</t>
  </si>
  <si>
    <t>1W,2C,1R,2S</t>
  </si>
  <si>
    <t>After the Field phase of a Harvest, each player may place 1 Grain from their supply on the River Mill to gain 4 Food. You cannot use these Grain, bur you receive 1 Bonus point for every 2 Grain on the card at the end of the game.</t>
  </si>
  <si>
    <t>jeje</t>
  </si>
  <si>
    <t>Rock Garden</t>
  </si>
  <si>
    <t>58c31765-8b6d-434d-8112-df74b6143942</t>
  </si>
  <si>
    <t>When you Sow, you can plant up to 3 Stone on this card. The Stone is treated the same as sown Vegetables and is harvested during the Field phase. (This card does not count as a Field when scoring.)</t>
  </si>
  <si>
    <t>Rooster</t>
  </si>
  <si>
    <t>fd9c1fd5-8e72-42ba-b281-89c696449ad7</t>
  </si>
  <si>
    <t>You may play this card immediately before the Round 1 Work phase without taking an action. If you do, pay 1 Food to the player with the starting player token in exchange for it. At the end of the game, the player with the starting player token receives 1 Bonus point.</t>
  </si>
  <si>
    <t>Rope Fences</t>
  </si>
  <si>
    <t>2ff3c2e8-df79-437e-9546-97902b641ed6</t>
  </si>
  <si>
    <t>Once during the game, when you build at least 1 fence, you may pay 2 Reed to build up to 8 additional fences at no cost.</t>
  </si>
  <si>
    <t>Rotten Plow</t>
  </si>
  <si>
    <t>b8f7d224-87c6-45f7-bf5d-63d5551e2811</t>
  </si>
  <si>
    <t>Whenever you use either the "Plow 1 field" or "Plow 1 field and/ or Sow" Action space, you can Plow 2 fields instead of 1. Whenever you Sow, place 1 fewer resource from the general supply on each field you Sow.</t>
  </si>
  <si>
    <t>Rum Distillery</t>
  </si>
  <si>
    <t>1943900b-4c49-4336-8731-0feec1b05873</t>
  </si>
  <si>
    <t>2W,1S</t>
  </si>
  <si>
    <t>During the Feeding phase of each Harvest, you may use the Rum Distillery to convert at most 1 Grain into 3 Food and 1 Bonus point.</t>
  </si>
  <si>
    <t>Runestone</t>
  </si>
  <si>
    <t>729d81e0-aae7-4442-a959-bff8e024d0fc</t>
  </si>
  <si>
    <t>At the end of Round 10 and 12 you may take a Field phase and a Breeding phase on your farm. This does not count as a Harvest.</t>
  </si>
  <si>
    <t>Salary</t>
  </si>
  <si>
    <t>b632c8f3-ba90-4689-9b8e-0e000188b4b9</t>
  </si>
  <si>
    <t>Whenever you use the "Day Laborer" Action space, you may pay any 1 building resource to receive 1 building resource of your choice. When you play this card, you receive 1 Food.</t>
  </si>
  <si>
    <t>Sapling</t>
  </si>
  <si>
    <t>97383b75-d2a7-4cb8-90ee-9c5bd9917709</t>
  </si>
  <si>
    <t>Add 5 to the current Round number and place 6 Wood on the corresponding Round space. At the start of that Round you receive the Wood.</t>
  </si>
  <si>
    <t>Scrapyard Plow</t>
  </si>
  <si>
    <t>492a5eae-9650-4d87-ab03-eeb9348404cc</t>
  </si>
  <si>
    <t>Whenever you use either the "Plow 1 field" or "Plow 1 field and/or Sow" Action spaces, you may discard 1 Minor Improvement from your hand to Plow 1 additional field.</t>
  </si>
  <si>
    <t>Seal</t>
  </si>
  <si>
    <t>65ff8e68-6dcd-4424-9803-26730e81c21f</t>
  </si>
  <si>
    <t>Whenever you play an Occupation, you receive 1 Clay.</t>
  </si>
  <si>
    <t>Self Pasture</t>
  </si>
  <si>
    <t>0d100f12-2cbb-491d-8a12-ea2e2857eeee</t>
  </si>
  <si>
    <t>For each Sheep in your farmyard, this card can hold 1 Wild Boar or 1 Cattle.</t>
  </si>
  <si>
    <t>Shears</t>
  </si>
  <si>
    <t>d494c979-b423-43c3-b21f-80ec77be0f5e</t>
  </si>
  <si>
    <t>Whenever you use the "Day Laborer" Action space, you may receive 1 additional Food for each Sheep on the Sheep Accumulation space up to a maximum of 4 additional Food.</t>
  </si>
  <si>
    <t>Shepherd's Kitchen</t>
  </si>
  <si>
    <t>84f30963-aab4-4060-8e42-ed078e9ce337</t>
  </si>
  <si>
    <t>At any time, you can convert 1 Sheep to 2 Food.</t>
  </si>
  <si>
    <t>Shipyard</t>
  </si>
  <si>
    <t>8896a7bb-3f40-46da-850f-5f65075afada</t>
  </si>
  <si>
    <t>Whenever you use the "Fishing" Action space, you can place up to 2 Wood from your supply on this card. At the end of the game, you receive Bonus point for each Wood on this card except for the 1st, 4th, 7th, and 10th.</t>
  </si>
  <si>
    <t>Simple Oven</t>
  </si>
  <si>
    <t>8511ef3c-a77e-49bd-8823-9324a16330be</t>
  </si>
  <si>
    <t>Whenever you use the "Bake bread" Action, you may convert up to 1 Grain into 3 Food with this Oven. When you play this card, you can also take the "Bake bread" Action.</t>
  </si>
  <si>
    <t>Snack Time</t>
  </si>
  <si>
    <t>d2e43128-1d14-4aae-a421-de9582274439</t>
  </si>
  <si>
    <t>At the start of each Harvest, you may choose to skip the Field and Breeding phase and receive 1 Food instead.</t>
  </si>
  <si>
    <t>Spade</t>
  </si>
  <si>
    <t>50112f8a-2d7c-4137-ba2c-cebd6b6c2acb</t>
  </si>
  <si>
    <t>Whenever you Sow, you receive 1 Stone.</t>
  </si>
  <si>
    <t>Spare Fence Posts</t>
  </si>
  <si>
    <t>d7ec9ddf-9102-4077-b962-798afb134038</t>
  </si>
  <si>
    <t>Once during the game, each player may build 3 fences at no cost when taking a "Build fences" action. Each other player that does this must pay you 2 Food.</t>
  </si>
  <si>
    <t>Stone Axe</t>
  </si>
  <si>
    <t>5340722e-8193-4780-ade5-e2d087974983</t>
  </si>
  <si>
    <t>Whenever you use a Wood Accumulation space, you may pay 1 Stone for an additional 3 Wood.</t>
  </si>
  <si>
    <t>Stone Chimney</t>
  </si>
  <si>
    <t>08a30e7b-d187-4252-805b-2cacb7485936</t>
  </si>
  <si>
    <t>At the end of the game, you receive 1 Bonus point for each Improvement with a baking symbol you have in front of you.</t>
  </si>
  <si>
    <t>Stone Giant</t>
  </si>
  <si>
    <t>2fef1d61-8330-4d54-9084-b8f43cd5f6ef</t>
  </si>
  <si>
    <t>Your 1st/2nd/3rd/4th/5th Family member may use an occupied Action space that is orthogonally adjacent to an Accumulation space containing exactly 1/2/3/4/5 Stone.</t>
  </si>
  <si>
    <t>Stone Weir</t>
  </si>
  <si>
    <t>ff5d3129-c254-4947-80ad-e3b808288428</t>
  </si>
  <si>
    <t>Whenever you use the "Fishing" Action space, you receive at least 4 Food. (If there are 1 to 3 Food are on the space, take Food from the general supply until you total 4 Food.)</t>
  </si>
  <si>
    <t>Story Books</t>
  </si>
  <si>
    <t>24008e01-e90c-478e-a40c-caef3de83aee</t>
  </si>
  <si>
    <t>1W,1R</t>
  </si>
  <si>
    <t>At the end of any Work phase in which you have taken a "Family Growth" action, you may receive 1 Animal of your choice.</t>
  </si>
  <si>
    <t>Straw</t>
  </si>
  <si>
    <t>aaf6f8a5-b9fc-4a11-b2d4-b6551fc4e87e</t>
  </si>
  <si>
    <t>Each of your unfenced stables can hold 1 extra animal. Each of your pastures with stables can hold 2 extra animals.</t>
  </si>
  <si>
    <t>Sundial</t>
  </si>
  <si>
    <t>0af3b4ae-a8eb-4728-af01-6ba65d586389</t>
  </si>
  <si>
    <t>At the end of the Work phases in Rounds 7 and 9, you may take a "Sow" action without placing a family member.</t>
  </si>
  <si>
    <t>Supply Exchange</t>
  </si>
  <si>
    <t>37c3cb1a-1c07-4320-b117-929c1cd43a08</t>
  </si>
  <si>
    <t>When you play this card, you receive 1 Reed, 1 Stone, and 1 Food. AFTER YOU PLAY THIS CARD, PASS IT TO THE PLAYER ON YOUR LEFT, WHO ADDS IT TO HIS/HER HAND</t>
  </si>
  <si>
    <t>Syrup Tap</t>
  </si>
  <si>
    <t>08f399aa-1492-45aa-a35a-b93b80a83e76</t>
  </si>
  <si>
    <t>Whenever you receive Wood from an Action space, place 1 Food on the next Round space. At the start of this round, you receive the Food.</t>
  </si>
  <si>
    <t>Tea</t>
  </si>
  <si>
    <t>10d51282-800a-4031-a716-98c678514a4b</t>
  </si>
  <si>
    <t>Family member on "Sow and/or Bake"</t>
  </si>
  <si>
    <t>Immediately bring your Family member on the "Sow and/or Bake" Action space back home. It can take another action this round. AFTER YOU PLAY THIS CARD, PASS IT TO THE PLAYER ON YOUR LEFT, WHO ADDS IT TO HIS/HER HAND</t>
  </si>
  <si>
    <t>Thunderbolt</t>
  </si>
  <si>
    <t>be81e28a-065d-4221-8d5e-9f681ea263e1</t>
  </si>
  <si>
    <t>Immediately convert each Grain in one of your fields to 2 Wood each, and move them to your supply. AFTER YOU PLAY THIS CARD, PASS IT TO THE PLAYER ON YOUR LEFT, WHO ADDS IT TO HIS/HER HAND</t>
  </si>
  <si>
    <t>Tide Mill</t>
  </si>
  <si>
    <t>cfea5cd5-ae5a-4885-8225-7c46521d4ee2</t>
  </si>
  <si>
    <t>3C</t>
  </si>
  <si>
    <t>Once in a Round, you may return 1 Grain to the supply and place 3 Food on the next Round space. At the start of this Round, you receive the Food.</t>
  </si>
  <si>
    <t>Town Hall</t>
  </si>
  <si>
    <t>416b8ccd-cea3-4df0-ac30-0b15f9ec7ad5</t>
  </si>
  <si>
    <t>In the Feeding phase of each Harvest, you receive 1/2 Food if you live in a Clay hut/Stone house.</t>
  </si>
  <si>
    <t>Treasure Map</t>
  </si>
  <si>
    <t>6e6e7ef6-0fa5-4915-a8ce-a0f75bd8e70f</t>
  </si>
  <si>
    <t>Whenever you play a Minor Improvement, you may pay 1 Food to Plow 1 field afterward.</t>
  </si>
  <si>
    <t>Tunnel</t>
  </si>
  <si>
    <t>2e5e1631-4bb7-4323-b62d-33d94a29148a</t>
  </si>
  <si>
    <t>You can place exactly 2 people immediately after one another, if at least one of them uses a Stone accumulation space.</t>
  </si>
  <si>
    <t>Twibil and Twivel</t>
  </si>
  <si>
    <t>85a5208e-f82a-4154-90ac-6ed4de5d2a96</t>
  </si>
  <si>
    <t>After any player, including you, builds at least 1 Wooden room, you receive 1 Food.</t>
  </si>
  <si>
    <t>Underground Shed</t>
  </si>
  <si>
    <t>c3028126-18e1-49cb-a315-a8854a6eb4ce</t>
  </si>
  <si>
    <t>Return The Well</t>
  </si>
  <si>
    <t>You may immediately build up to 4 stables for free.</t>
  </si>
  <si>
    <t>Unwanted Goods</t>
  </si>
  <si>
    <t>dbc61386-4bd4-4c7b-b712-afdc7b5c71c0</t>
  </si>
  <si>
    <t>You may immediately discard 1 card from your hand for 1 building resource. AFTER YOU PLAY THIS CARD, PASS IT TO THE PLAYER ON YOUR LEFT, WHO ADDS IT TO HIS/HER HAND</t>
  </si>
  <si>
    <t>Upholstery</t>
  </si>
  <si>
    <t>1817cf7d-a58f-4a91-90c8-a9dfb56cf155</t>
  </si>
  <si>
    <t>Whenever you play an Improvement, you may place 1 Reed from your supply on a room in your home. You may have a maximum of 1 Reed in each room. You cannot use these Reed any more, but each is worth 1 Bonus point at the end of the game.</t>
  </si>
  <si>
    <t>Viking Ship</t>
  </si>
  <si>
    <t>11c3f5c7-425a-4dd2-b483-267136358c47</t>
  </si>
  <si>
    <t>Whenever you use the "Fishing" Action space, you can pay 2 Food from the space to the Supply and receive 1 Building resource of your choice and a Guest token that can be used in the following round.</t>
  </si>
  <si>
    <t>Whale Oil</t>
  </si>
  <si>
    <t>94651c6d-ced5-4dc9-87be-f50014d05b4a</t>
  </si>
  <si>
    <t>Whenever you use the "Fishing" Action space, you may place 1 Food from the general supply on this card. Whenever you play an Occupation, you receive Food equal to the number of Food on this card before you pay the cost of the Occupation.</t>
  </si>
  <si>
    <t>Whistle</t>
  </si>
  <si>
    <t>81e4cbbc-8c42-44bf-a9d0-4ce6e78a6f12</t>
  </si>
  <si>
    <t>At the beginning of the Breeding phase of each Harvest, you receive 1 Sheep if you have at least 1 unfenced stable on your farm that is not housing an animal. (You may not convert animals to Food during the Breeding phase of the Harvest).</t>
  </si>
  <si>
    <t>Wild Fruit</t>
  </si>
  <si>
    <t>cb629ede-5ef9-4215-8216-d1f5bf6d6a69</t>
  </si>
  <si>
    <t>Place 3 Food on this card from the general supply. Whenever you receive Grain or Vegetables outside of a Harvest, take 1 Food from this card.</t>
  </si>
  <si>
    <t>Wild Greens</t>
  </si>
  <si>
    <t>a706f1e1-df2d-4a12-b0cc-3efcfdc75e71</t>
  </si>
  <si>
    <t>Whenever you Sow, you receive 1 Food for every different type of good that you Sow.</t>
  </si>
  <si>
    <t>Winter Pond</t>
  </si>
  <si>
    <t>749b9500-ac2f-4ab8-aeb2-13e03dc3c831</t>
  </si>
  <si>
    <t>Place 1 Food on the next 3 Harvests. At the start of these Harvests, you receive the Food.</t>
  </si>
  <si>
    <t>Wishing Fountain</t>
  </si>
  <si>
    <t>b91627fe-25e3-4153-b5ff-99657f1d856a</t>
  </si>
  <si>
    <t>Return the Well</t>
  </si>
  <si>
    <t>At the start of each round, you may pay 1 Food to receive Building resource of your choice.</t>
  </si>
  <si>
    <t>Woodwork</t>
  </si>
  <si>
    <t>cd3de786-f4e5-45a4-848c-ed33044c8480</t>
  </si>
  <si>
    <t>Whenever you use the "Build stable(s)" action or the "Build fences" action on an Action space, you can take both the "Build stable(s)" and "Build fences" action.</t>
  </si>
  <si>
    <t>pyc00046</t>
  </si>
  <si>
    <t>Writing Chamber</t>
  </si>
  <si>
    <t>7d19d268-5008-4537-87b3-7e5b3af51ce9</t>
  </si>
  <si>
    <t>During scoring, you get a number of Bonus points equal to the number of negative points you have, to a maximum of 3 Bonus points.</t>
  </si>
  <si>
    <t>I</t>
  </si>
  <si>
    <t>Alms</t>
  </si>
  <si>
    <t>89f1d98a-743c-44f7-be33-2dade0887e14</t>
  </si>
  <si>
    <t>When you play this card, take 1 Food for each completed round of the game. After you play this card, pass it to the player on your left, who adds it to his/her hand.</t>
  </si>
  <si>
    <t>Animal Feed</t>
  </si>
  <si>
    <t>b0ff1029-aec8-4592-95c1-01ae617c57b2</t>
  </si>
  <si>
    <t>Immediately before scoring, you receive 1 additional animal of each type that you already have, if you have space in your pastures. (This does not apply to the House Goat and the Horse).</t>
  </si>
  <si>
    <t>Baker's Kitchen</t>
  </si>
  <si>
    <t>f521c5f3-c896-4e49-927f-9ff33e07cb15</t>
  </si>
  <si>
    <t>Whenever you use the "Bake bread" action, you can use the Baker's Kitchen to convert up to 2 Grain into 5 Food each. When you play this card, you can also take the "Bake bread" action.</t>
  </si>
  <si>
    <t>Chicken Coop</t>
  </si>
  <si>
    <t>2686d6f4-59d4-43b5-a281-16f33222c090</t>
  </si>
  <si>
    <t>2W/2C,1R</t>
  </si>
  <si>
    <t>Place 1 Food each on the next 8 remaining Round spaces. At the start of these rounds, you receive the Food.</t>
  </si>
  <si>
    <t>Clay Deposit</t>
  </si>
  <si>
    <t>3089a2a7-4df9-4e41-84b1-4677843b43fd</t>
  </si>
  <si>
    <t>This card is an additional Action space. A player who uses this action space must pay you 1 Food and receives 5 Clay. If you use the Clay Deposit yourself, you may choose to take 2 Bonus points instead of the Clay.</t>
  </si>
  <si>
    <t>Clay Path</t>
  </si>
  <si>
    <t>40a45323-80c6-4735-bba6-55fb0c86e3bd</t>
  </si>
  <si>
    <t>The player with the most valuable street receives 2 Bonus points when scoring. (The Paved Road that costs 5 Stone is more valuable than this Clay Path which is more valuable than the Wooden Path that costs 1 Wood.)</t>
  </si>
  <si>
    <t>Cooking Corner</t>
  </si>
  <si>
    <t>b78756af-27ea-4422-9d4e-9917270cfe68</t>
  </si>
  <si>
    <t>Return Cooking Hearth</t>
  </si>
  <si>
    <t>At any time, you may convert goods to Food as follows: Vegetables to 4 Food; Sheep to 2 food; Wild boar to 3 Food; Cattle to 4 Food. Whenever you use the "Bake bread" action, you may convert: Grain to 3 Food.</t>
  </si>
  <si>
    <t>Copse</t>
  </si>
  <si>
    <t>c55bc1c7-ed73-4979-adc7-61228c64afa8</t>
  </si>
  <si>
    <t>When you Sow, you can plant up to 2 Wood on this card, as shown. The Wood is treated the same as sown Grain and is harvested during the Field phase. (This card does not count as a field when scoring.)</t>
  </si>
  <si>
    <t>Fish Trap</t>
  </si>
  <si>
    <t>fc877adc-9b59-448e-b2c4-144f7f1881a7</t>
  </si>
  <si>
    <t>Whenever you use the "Fishing" Action space or receive Reed on an Action space, you receive 1 additional Food.</t>
  </si>
  <si>
    <t>Flagon</t>
  </si>
  <si>
    <t>54a13385-0d96-4909-a92b-4f56559b57df</t>
  </si>
  <si>
    <t>Whenever the Well is built or upgraded to a Village Well, you receive 4 Food, and the other players receive 1 Food each. (If the Well has already been built, everyone receives the food when the Flagon is played.)</t>
  </si>
  <si>
    <t>Goose Pond</t>
  </si>
  <si>
    <t>416d6533-b0cb-44c4-ad6e-bfcf7f173d18</t>
  </si>
  <si>
    <t>Place 1 Food each on the next 4 remaining Round spaces. At the start of these rounds, you receive the Food.</t>
  </si>
  <si>
    <t>Grain Cart</t>
  </si>
  <si>
    <t>5f7b2c96-5da2-4f1d-b4d7-90fd7d295e73</t>
  </si>
  <si>
    <t>Whenever you use the "Take 1 Grain" Action space, you receive 2 additional Grain.</t>
  </si>
  <si>
    <t>Guest</t>
  </si>
  <si>
    <t>46aeecbd-ec24-4a73-bd01-3ac41112ce95</t>
  </si>
  <si>
    <t>When you play this card, you receive a Guest token, which you may place once in the next round as you would a person. After you play this card, pass it to the player on your left, who adds it to his/her hand.</t>
  </si>
  <si>
    <t>Hand Mill</t>
  </si>
  <si>
    <t>571f1f71-8b20-4724-a3c5-6d24171018f1</t>
  </si>
  <si>
    <t>During the Feeding phase of the Harvest, you can use the Hand Mill to turn either 1 Grain into 2 Food or 2 Grain into 4 Food.</t>
  </si>
  <si>
    <t>Harrow</t>
  </si>
  <si>
    <t>7db754f4-902a-4549-aaf2-4813994fcf36</t>
  </si>
  <si>
    <t>Once during the game, when you use either the "Plow 1 Field" or the "Plow Field and/or Sow" action, you can Plow 2 fields instead of 1. Each other player can also do this once during the game, but must pay you 2 Food to do it.</t>
  </si>
  <si>
    <t>Holiday House</t>
  </si>
  <si>
    <t>ceb69750-8b07-4445-9cab-9fb368f57afd</t>
  </si>
  <si>
    <t>Round 13 or before</t>
  </si>
  <si>
    <t>3W/3C,2R</t>
  </si>
  <si>
    <t>In Round 14, you cannot place any Family members.(Playing this card bans you from placing people - including a Guest - in Round 14.) Play this card at the latest during round 13. (Be prepared to play two Harvests in a row.)</t>
  </si>
  <si>
    <t>Ladder</t>
  </si>
  <si>
    <t>99408255-3498-41bd-8cd4-a243f270f69c</t>
  </si>
  <si>
    <t>You need 1 less Reed to extend or renovate your home or to build the Water Mill, Half-timbered House, Chicken Coop, Holiday House, Mansion, or Corn Storehouse.</t>
  </si>
  <si>
    <t>Lasso</t>
  </si>
  <si>
    <t>103d8130-cd7f-43a9-85a9-8c95f54011e1</t>
  </si>
  <si>
    <t>You can place exactly two people immediately after one another, if at least one of them uses a "Wild Boar", "Cattle" or "Sheep" Action space. (This does not apply to the "Either 1 Sheep and 1 Food or 1 Wild boar..." Action space from the 5-player game.)</t>
  </si>
  <si>
    <t>Manure</t>
  </si>
  <si>
    <t>bbaaa751-1e1c-4fc8-acbd-7ce0a238bb7b</t>
  </si>
  <si>
    <t>2 animals</t>
  </si>
  <si>
    <t>At the end of each round that does not end with a Harvest, you can (optionally) take 1 Grain or Vegetable from each of your fields and place it in your personal supply.</t>
  </si>
  <si>
    <t>Milking Shed</t>
  </si>
  <si>
    <t>b6be5c65-fd10-402f-9373-75585737fef5</t>
  </si>
  <si>
    <t>3S,2C</t>
  </si>
  <si>
    <t>In each Harvest, at the beginning of the Field phase, count the total number of Sheep and Cattle in all the players' farms. You receive 1 Food for each fifth Sheep and for each third Cattle.</t>
  </si>
  <si>
    <t>Moldboard Plow</t>
  </si>
  <si>
    <t>1ae26fb0-613c-404c-a92a-370ffb2b7071</t>
  </si>
  <si>
    <t>Twice during the game, when you use the "Plow 1 Field" action, you may Plow 2 fields instead of 1. This does not apply to the "Plow 1 field and/or Sow" action.</t>
  </si>
  <si>
    <t>Paved Road</t>
  </si>
  <si>
    <t>530512e8-b516-4474-b0c1-4421c87058b3</t>
  </si>
  <si>
    <t>5S</t>
  </si>
  <si>
    <t>The player with the most valuable street receives 2 Bonus points when scoring. (This Paved Road is more valuable than the Clay Path that  costs 3 Clay which is more valuable than the Wooden Path that costs 1 Wood.)</t>
  </si>
  <si>
    <t>Planter Box</t>
  </si>
  <si>
    <t>84d246f5-7433-4903-be65-0da8b3496c2a</t>
  </si>
  <si>
    <t>Whenever you Sow, each of the fields you sow that is orthogonally adjacent to a room in your home gets an additional 2 Grain or 1 Vegetable.</t>
  </si>
  <si>
    <t>Punner</t>
  </si>
  <si>
    <t>ccbe4468-4761-4c63-8382-eed3ea5a8bec</t>
  </si>
  <si>
    <t>Whenever another player uses the Harrow or a Plow, you can immediately Plow 1 field as well. (If you use the Harrow or a Plow yourself, you do not get any advantage.)</t>
  </si>
  <si>
    <t>Rake</t>
  </si>
  <si>
    <t>358e9bdf-a4e7-44af-a5ab-f681c72d6bbb</t>
  </si>
  <si>
    <t>At the end of the game, you receive 2 Bonus points if you have at least 5 fields. If you have played the Harrow, Punner, Yoke or a Plow, you require at least 6 fields.</t>
  </si>
  <si>
    <t>Reed Exchange</t>
  </si>
  <si>
    <t>37f68f57-a759-4fbf-ade2-665ffcf21fb7</t>
  </si>
  <si>
    <t>When you play this card, you receive 2 Reed. After you play this card, pass it to the player on your left, who adds it to his/her hand.</t>
  </si>
  <si>
    <t>Schnaps Distillery</t>
  </si>
  <si>
    <t>f21c8107-4de2-49be-bbf0-0b8cec1f5768</t>
  </si>
  <si>
    <t>1V,2S</t>
  </si>
  <si>
    <t>During the Feeding phase of the Harvest, you can use the Schnaps Distillery to convert at most 1 Vegetable into 4 Food. At the end of the game, you receive 1 Bonus point each for your 5th and 6th Vegetables.</t>
  </si>
  <si>
    <t>Shepherd's Crook</t>
  </si>
  <si>
    <t>45bfc955-bca4-46b1-bc77-24a7eea324d0</t>
  </si>
  <si>
    <t>Whenever you Fence a new pasture that covers at least 4 farmyard spaces, take 2 Sheep and place them in the new pasture.</t>
  </si>
  <si>
    <t>Spinney</t>
  </si>
  <si>
    <t>cae4cd3c-e459-40aa-b876-e3dff726d2b4</t>
  </si>
  <si>
    <t>Whenever another player uses the "3 Wood" Action space, s/he must give you one of the Wood. (This does not apply to the "4 Wood" Action space in the 5-player game.)</t>
  </si>
  <si>
    <t>Strawberry Patch</t>
  </si>
  <si>
    <t>71493830-40b7-4342-99d0-14dcbc45e358</t>
  </si>
  <si>
    <t>2 Vegetable Fields</t>
  </si>
  <si>
    <t>Place 1 Food on each of the next 3 Round spaces. At the start of these rounds, you receive the Food.</t>
  </si>
  <si>
    <t>Straw-thatched Roof</t>
  </si>
  <si>
    <t>2224dbf9-6842-4bcb-b594-0142cbd87172</t>
  </si>
  <si>
    <t>3 Grain Fields</t>
  </si>
  <si>
    <t>You no longer need Reed when you extend or renovate your home.</t>
  </si>
  <si>
    <t>Tavern</t>
  </si>
  <si>
    <t>d5de7139-0609-4e3f-98c5-284a666dfb4d</t>
  </si>
  <si>
    <t>2W,2S</t>
  </si>
  <si>
    <t>The Tavern is an additional Action space. Whenever another player uses it, s/he receive 3 Food. Whenever you use it, you can choose either to take 3 Food or to score 2 Bonus points. (If another player uses the Tavern, you do not receive anything from it.)</t>
  </si>
  <si>
    <t>Threshing Board</t>
  </si>
  <si>
    <t>8838daba-2185-4c69-8acb-4665f30f6adc</t>
  </si>
  <si>
    <t>Whenever you use the "Plow 1 Field" or "Plow Field and/or Sow" action spaces, you can additionally take the "Bake bread" action.</t>
  </si>
  <si>
    <t>Village Well</t>
  </si>
  <si>
    <t>609a3ea0-12ff-46b6-a970-d256dc5b0737</t>
  </si>
  <si>
    <t>Return Well</t>
  </si>
  <si>
    <t>Place 1 Food each on the next 3 remaining Round spaces. At the start of these rounds, you receive the Food.</t>
  </si>
  <si>
    <t>Weekly Market</t>
  </si>
  <si>
    <t>b03a9f58-90de-4552-8c60-e78289460d57</t>
  </si>
  <si>
    <t>3G</t>
  </si>
  <si>
    <t>When you play this card, you receive 2 Vegetables. After you play this card, pass it to the player on your left, who adds it to his/her hand.</t>
  </si>
  <si>
    <t>Wildlife Reserve</t>
  </si>
  <si>
    <t>fa6365e0-3b52-4904-a52c-1210838327ae</t>
  </si>
  <si>
    <t>This card can hold up to 1 Sheep, 1 Wild boar and 1 Cattle. (This card does not count as a pasture when scoring.)</t>
  </si>
  <si>
    <t>Wood Cart</t>
  </si>
  <si>
    <t>0df4643a-93be-42d2-b9cd-c6a19f734ce6</t>
  </si>
  <si>
    <t>Whenever you use a person to take Wood that is on an Action space, you receive 2 additional Wood.</t>
  </si>
  <si>
    <t>Wooden Crane</t>
  </si>
  <si>
    <t>6495dd47-a04d-4907-a574-fc35a05b5124</t>
  </si>
  <si>
    <t>Whenever you use one of the "Stone" Action spaces that are placed in stage 2 and 4, you receive 1 additional Stone. If you pay 1 Food, you can take 2 Stone instead of 1.</t>
  </si>
  <si>
    <t>Wooden Path</t>
  </si>
  <si>
    <t>3b098c28-860f-4a68-9f2a-26cb63d4e9e8</t>
  </si>
  <si>
    <t>The player with the most valuable street receives 2 Bonus points when scoring. (The Paved Road that costs 5 Stone is more valuable than the Clay Path that costs 3 Clay which is more valuable than this Wooden Path.)</t>
  </si>
  <si>
    <t>K</t>
  </si>
  <si>
    <t>Acreage</t>
  </si>
  <si>
    <t>8a15e909-37e9-47ee-b0d5-e75f73dd9c3a</t>
  </si>
  <si>
    <t>When you Sow, you can plant Grain on this card. (This card does not count as a field when scoring.)</t>
  </si>
  <si>
    <t>Bakehouse</t>
  </si>
  <si>
    <t>ef9ae0a4-f07a-4318-80b9-e2bc2db0d524</t>
  </si>
  <si>
    <t>Whenever you use the "Bake bread" Action, you can use the Bakehouse to convert up to 2 Grain into 5 Food each. When you play this card, you can also take the "Bake bread" Action.</t>
  </si>
  <si>
    <t>Beehive</t>
  </si>
  <si>
    <t>105b4459-fda7-42ba-a974-c5f9cf54c793</t>
  </si>
  <si>
    <t>2 Improvements 3 Occupations</t>
  </si>
  <si>
    <t>Place 2 Food on each remaining even-numbered Round space. At the start of these rounds, you take the Food.</t>
  </si>
  <si>
    <t>Boar Breeding</t>
  </si>
  <si>
    <t>edf08e8b-3065-483a-b399-775f511f1312</t>
  </si>
  <si>
    <t>When you play this card, take 1 Wild boar. After you play this card, pass it to the player on your left, who adds it to his/her hand.</t>
  </si>
  <si>
    <t>Bookshelf</t>
  </si>
  <si>
    <t>030e067e-d9af-4b74-97ba-6fd1c2f32153</t>
  </si>
  <si>
    <t>Whenever you play 1 Occupation, you receive 3 Food before you pay the costs of the Occupation.</t>
  </si>
  <si>
    <t>Bread Paddle</t>
  </si>
  <si>
    <t>fb82cfd4-7937-440e-b319-7b864d8600a1</t>
  </si>
  <si>
    <t>Whenever you play an Occupation, you may also take the "Bake bread" action.</t>
  </si>
  <si>
    <t>Brewery</t>
  </si>
  <si>
    <t>35a94c0a-892e-4fa8-b16d-44c614d6f8d6</t>
  </si>
  <si>
    <t>2G,2S</t>
  </si>
  <si>
    <t>During the feeding phase of the Harvest, you can use the Brewery to convert at most 1 Grain to 3 Food. At the end of the game, you receive 1 Bonus point for your ninth Grain.</t>
  </si>
  <si>
    <t>Broom</t>
  </si>
  <si>
    <t>c3699e82-8763-45c0-b9d7-5949b016940b</t>
  </si>
  <si>
    <t>Discard all the remaining Minor improvements in your hand, and draw 7 new Minor Improvements. You can play 1 more Minor Improvement immediately. (You must pay the costs of the new Improvement and, where appropriate, meet the conditions for playing it.)</t>
  </si>
  <si>
    <t>Brushwood Roof</t>
  </si>
  <si>
    <t>f6045342-a17e-4a00-8c67-dcc667f29a57</t>
  </si>
  <si>
    <t>Whenever you extend or renovate your home, you can replace 1 or 2 Reed with the same amount of Wood.</t>
  </si>
  <si>
    <t>Clapper</t>
  </si>
  <si>
    <t>9b4ba5cc-eb3b-4ac0-b2f6-6432df9d51ff</t>
  </si>
  <si>
    <t>Whenever you use a "Family growth" action (or already have a person on that space when you play the Clapper), place 1 additional Grain on any of your fields that already contains at least 1 grain.</t>
  </si>
  <si>
    <t>Clay Hut Extension</t>
  </si>
  <si>
    <t>42325a22-73a8-43b9-970c-ca9bf8ac841d</t>
  </si>
  <si>
    <t>1R,4C</t>
  </si>
  <si>
    <t>When you play this card, immediately extend your Clay hut by 1 room. After you play this card, pass it to the player on your left, who adds it to his/her hand.</t>
  </si>
  <si>
    <t>Clay Pit</t>
  </si>
  <si>
    <t>c8a40628-47fc-4ac9-ba8b-e269cb880359</t>
  </si>
  <si>
    <t>Whenever you use the "Day Laborer" Action space, you receive 3 additional Clay.</t>
  </si>
  <si>
    <t>Cooking Hearth</t>
  </si>
  <si>
    <t>d6ee60fb-ba12-4b20-b5e1-56753c5a9d97</t>
  </si>
  <si>
    <t>At any time, you can convert goods to Food as follows: Vegetables to 3 Food; Sheep to 2 Food; Wild boar to 3 Food; Cattle to 4 Food. Whenever you use the "Bake bread" action, you may convert: Grain to 3 Food.</t>
  </si>
  <si>
    <t>Corn Sheaf</t>
  </si>
  <si>
    <t>70cb388a-d9cf-4bb4-8fff-e46088e67cf3</t>
  </si>
  <si>
    <t>When you play this card, take 1 Grain. After you play this card, pass it to the player on your left, who adds it to his/her hand.</t>
  </si>
  <si>
    <t>Crooked Plow</t>
  </si>
  <si>
    <t>65e17a18-916c-4903-b2b7-190b5f9b3acb</t>
  </si>
  <si>
    <t>Once during the game, when you use the "Plow 1 Field" action, you can Plow 3 fields instead of 1. This does not apply to the "Plow 1 field and/or Sow" action.</t>
  </si>
  <si>
    <t>Duck Pond</t>
  </si>
  <si>
    <t>fceb452f-e3d7-471d-af65-e352623e801b</t>
  </si>
  <si>
    <t>Forest Pasture</t>
  </si>
  <si>
    <t>5ee9e4b7-ef0d-477b-bb70-7ba8bab6a5d7</t>
  </si>
  <si>
    <t>This card can hold an unlimited number of Wild boar. (This card not count as a pasture when scoring.)</t>
  </si>
  <si>
    <t>Granary</t>
  </si>
  <si>
    <t>4338ffab-ed77-4b47-8cb5-7291d699109e</t>
  </si>
  <si>
    <t>Place 1 Grain on each remaining space for rounds 8, 10 and 12. At the start of these rounds, you receive the Grain.</t>
  </si>
  <si>
    <t>Greenhouse</t>
  </si>
  <si>
    <t>719eaf0b-9d71-40e8-8fa5-a1ff3dad55b3</t>
  </si>
  <si>
    <t>Add 4 and 7 to the current Round and place 1 Vegetable on each corresponding Round space. At the start of these rounds, you can pay 1 Food to take the Vegetable.</t>
  </si>
  <si>
    <t>Herb Garden</t>
  </si>
  <si>
    <t>89e39f57-5472-4056-98b2-ad728594519b</t>
  </si>
  <si>
    <t>Place 1 Food on each of the next 5 Round spaces. At the start of each round, you receive the Food.</t>
  </si>
  <si>
    <t>Horse</t>
  </si>
  <si>
    <t>514c47a0-28b8-4ae3-8bdb-958b53f2c00c</t>
  </si>
  <si>
    <t>You receive 2 Bonus points for any one type of animal missing from your farm at the end of the game. (The horse replaces this type of animal.)(You still lose the point for the missing animal type.)</t>
  </si>
  <si>
    <t>House Goat</t>
  </si>
  <si>
    <t>7a7b4c65-8573-4c25-a368-cb7d75614295</t>
  </si>
  <si>
    <t>In each Feeding phase, you receive 1 Food. Apart from the House Goat, you cannot hold any other animal in your home. (even if you have the Animal Tamer.)(You cannot choose to let the House Goat run free to make room for a different animal in your house.)</t>
  </si>
  <si>
    <t>Landing Net</t>
  </si>
  <si>
    <t>6a4d8d51-184e-4144-afcd-7063ad300e11</t>
  </si>
  <si>
    <t>Whenever you receive Reed on an Action space, you receive an additional 2 Food. This is reduced to 1 Food if you receive other building resources as well as Reed.</t>
  </si>
  <si>
    <t>Liquid Manure</t>
  </si>
  <si>
    <t>31cf9c6a-198e-4b46-9cdd-ddfecdd5751c</t>
  </si>
  <si>
    <t>4 animals</t>
  </si>
  <si>
    <t>Whenever you Sow, place 1 additional Grain or Vegetable from the general supply on your newly planted fields.</t>
  </si>
  <si>
    <t>Loom</t>
  </si>
  <si>
    <t>b25966c0-6e82-4dca-abd4-c82b6cd1bb12</t>
  </si>
  <si>
    <t>Whenever you have at least 1/4/7 Sheep during the Field phase of a Harvest, you receive 1/2/3 Food. At the end of the game, you receive 1 Bonus point for every 3 Sheep.</t>
  </si>
  <si>
    <t>Lumber</t>
  </si>
  <si>
    <t>18cb6fa4-c5c4-46e4-913a-9ec53067408f</t>
  </si>
  <si>
    <t>When you play this card, you receive 3 Wood. After you play this card, pass it to the player on your left, who adds it to his/her hand.</t>
  </si>
  <si>
    <t>Mansion</t>
  </si>
  <si>
    <t>0c316d0b-3b39-41fc-b226-04ccc65262ed</t>
  </si>
  <si>
    <t>3W,3C,2R,3S</t>
  </si>
  <si>
    <t>At the end of the game, you receive 2 Bonus points for each room in your Stone house. (In total, you receive 4 points per room instead of the usual 2 points.)</t>
  </si>
  <si>
    <t>Milking Stool</t>
  </si>
  <si>
    <t>1323dd3b-6592-4c85-adcd-432d6210e4c4</t>
  </si>
  <si>
    <t>Whenever you have at least 1/3/5 Cattle during the Field phase of a Harvest, you receive 1/2/3 Food. At the end of the game, you receive 1 Bonus point for every 2 Cattle.</t>
  </si>
  <si>
    <t>Ox Team</t>
  </si>
  <si>
    <t>f107ab24-e44a-4386-bfc1-81107b9874fd</t>
  </si>
  <si>
    <t>2 Cattle</t>
  </si>
  <si>
    <t>When you play this card, count how many complete rounds are left to be played. You can Plow this many Fields, up to a maximum of 3.</t>
  </si>
  <si>
    <t>Pelts</t>
  </si>
  <si>
    <t>babb4865-8ce4-4d75-a0bf-93d2eb9a6bd3</t>
  </si>
  <si>
    <t>For each Animal that you slaughter and return to the general supply, you may place 1 Food from your personal supply in 1 of your rooms. You may have a maximum of 1 Food in each room. You cannot use these Food any more, but each is worth 1 Bonus point at the end of the game.</t>
  </si>
  <si>
    <t>Sawhorse</t>
  </si>
  <si>
    <t>7be76499-5fe0-452b-864a-7d2dae57bcca</t>
  </si>
  <si>
    <t>The next stable you place in your farmyard, as well as your 3rd, 6th, 9th, 12th and 15th fence, costs you nothing. (You can only place fences if they enclose a complete pasture.)</t>
  </si>
  <si>
    <t>Sawmill</t>
  </si>
  <si>
    <t>016129ab-a054-48ba-86ee-a7f123283712</t>
  </si>
  <si>
    <t>Return Joinery</t>
  </si>
  <si>
    <t>Each Harvest, you may convert up to 1 Wood to 3 Food. At the end of the game, you receive 1/2/3 Bonus points for 2/4/5 Wood. (A repurchased Joinery does not give any additional Bonus points, but can be used to convert an additional 1 Wood each Harvest.)</t>
  </si>
  <si>
    <t>Sleeping Corner</t>
  </si>
  <si>
    <t>88d59168-f9e2-43d3-b6d1-afb97f199e2b</t>
  </si>
  <si>
    <t>You can use any "Family Growth" Action space, even if another player has already placed a person there.</t>
  </si>
  <si>
    <t>Spit Roast</t>
  </si>
  <si>
    <t>5a350932-1859-4f34-af1a-0102aa6d5381</t>
  </si>
  <si>
    <t>Whenever you convert at least 1 animal to Food during the Feeding phase of the Harvest, you receive 1 additional Food.</t>
  </si>
  <si>
    <t>Stone Cart</t>
  </si>
  <si>
    <t>a64b7b96-db23-481c-8f9e-473e1b2d3501</t>
  </si>
  <si>
    <t>Place 1 Stone on each remaining even-numbered Round spaces. At the start of these rounds, you receive the Stone.</t>
  </si>
  <si>
    <t>Stone Exchange</t>
  </si>
  <si>
    <t>026d4535-17bd-4ab0-844f-41d749c7227c</t>
  </si>
  <si>
    <t>When you play this card, you receive 2 Stone. After you play this card, pass it to the player on your left, who adds it to his/her hand.</t>
  </si>
  <si>
    <t>Swan Lake</t>
  </si>
  <si>
    <t>f2ef5234-e066-4348-b58b-d7cf0686aa8e</t>
  </si>
  <si>
    <t>Place 1 Food each on the next 5 remaining Round spaces. At the start of these rounds, you receive the Food.</t>
  </si>
  <si>
    <t>Swing Plow</t>
  </si>
  <si>
    <t>0cc57d6f-8a43-4fc7-b028-061542bef2fa</t>
  </si>
  <si>
    <t>Twice during the game, when you use the "Plow 1 Field" action space, you can plow 3 fields instead of 1. The Swing Plow cannot be used with the "Plow 1 Field and/or Sow" action.</t>
  </si>
  <si>
    <t>Turnip Field</t>
  </si>
  <si>
    <t>6a8a0017-62e0-4eb7-8327-b0b42b140cf5</t>
  </si>
  <si>
    <t>When you Sow, you can plant Vegetables on this card as you would on a field. When you play this card, you can also take the "Sow" action. (This card does not count as a field when scoring.)</t>
  </si>
  <si>
    <t>Wooden Strongbox</t>
  </si>
  <si>
    <t>c5cd8a03-ff61-40a8-98c1-3690b51e6bb7</t>
  </si>
  <si>
    <t>At the end of the game, you get 2 Bonus points if your home contains 5 rooms, or 4 Bonus points if you have 6 or more rooms.</t>
  </si>
  <si>
    <t>Yoke</t>
  </si>
  <si>
    <t>335c8881-1929-45c6-82a9-119b4c0754da</t>
  </si>
  <si>
    <t>When you play this card, you can immediately Plow 1 field for each Plow that has been played (by any player) and 1 field for the Harrow, if it has been played.</t>
  </si>
  <si>
    <t>MD1</t>
  </si>
  <si>
    <t>Angry Boy</t>
  </si>
  <si>
    <t>bd55dbf5-87ec-4fb4-aa09-a691a462ca91</t>
  </si>
  <si>
    <t>At the end of the Work phase in round 7 and 13 you receive 1 Food from the supply for each of your adult Family members.</t>
  </si>
  <si>
    <t>Avalanche</t>
  </si>
  <si>
    <t>c8ca1d34-96dc-4d71-82df-87133599ec78</t>
  </si>
  <si>
    <t>Place 1 Stone from the supply on 3 revealed Action spaces. The next player to use the Action space receives the Stone.</t>
  </si>
  <si>
    <t>Baker's Tool</t>
  </si>
  <si>
    <t>efcd771b-b85e-4044-ab9f-625d24c32557</t>
  </si>
  <si>
    <t>Whenever you use an Action space orthogonally adjacent to the "Sow and/or Bake bread" Action space, you may immediately take a "Bake bread" action.</t>
  </si>
  <si>
    <t>Barren Field</t>
  </si>
  <si>
    <t>08f8889c-8a8b-4627-a8ce-00856273bada</t>
  </si>
  <si>
    <t>Immediately plow 1 Field and place 1 Clay from the supply on it. You may not sow this Field.</t>
  </si>
  <si>
    <t>Lass92</t>
  </si>
  <si>
    <t>Bouquet</t>
  </si>
  <si>
    <t>fada0da3-75ef-4276-9a42-16293a60d876</t>
  </si>
  <si>
    <t>When you play this card, you receive 1 Reed.</t>
  </si>
  <si>
    <t>Bread Form</t>
  </si>
  <si>
    <t>4f34f571-6a0d-4668-94bd-a8790f52c178</t>
  </si>
  <si>
    <t>Whenever any player builds an Improvement with a baking symbol you receive 1 Food.</t>
  </si>
  <si>
    <t>Bread Pond</t>
  </si>
  <si>
    <t>fa34ebb4-ff57-41f8-b2e5-de9979941564</t>
  </si>
  <si>
    <t>Candle Light</t>
  </si>
  <si>
    <t>26d3059a-9257-4666-80e1-575f6a460190</t>
  </si>
  <si>
    <t>Whenever you pay 2 or more Food to play an Occupation you receive 1 Food from the supply after you have played the Occupation.</t>
  </si>
  <si>
    <t>Cheese Slicer</t>
  </si>
  <si>
    <t>09108e78-2255-462b-b388-2cc538b3908b</t>
  </si>
  <si>
    <t>Whenever you take Food directly from an Accumulation space, you receive 1 additional Food.</t>
  </si>
  <si>
    <t>Gate</t>
  </si>
  <si>
    <t>b69e1c78-faf6-4f8d-ad0b-a368723f28f2</t>
  </si>
  <si>
    <t>You can use the "Fences" Action space and/or "After Renovation also Fences" Action space when they are occupied by another player.</t>
  </si>
  <si>
    <t>Gold, Incense and Myrrh</t>
  </si>
  <si>
    <t>9c18fce6-8d7b-4a14-904e-33a436e1c19b</t>
  </si>
  <si>
    <t>You receive 1 Food, 1 Clay and 1 Building resource of your choice at the end of the Work phase where you have taken your first Family Growth action.</t>
  </si>
  <si>
    <t>Hydroponics</t>
  </si>
  <si>
    <t>8b60d5bb-020c-4962-8fdc-cf54b2e86646</t>
  </si>
  <si>
    <t>When you play this card, you may take a "Sow" action.</t>
  </si>
  <si>
    <t>Lean-to Stable</t>
  </si>
  <si>
    <t>16f6e180-c140-4410-9bc7-8573fa871c24</t>
  </si>
  <si>
    <t>Round 7 or before</t>
  </si>
  <si>
    <t>Add 2 and 4 to the current round and place 1 Stable on each corresponding Round space. At the beginning of these Rounds, you may build these Stables for free on a Farmyard space adjacent to your home.</t>
  </si>
  <si>
    <t>Leggett</t>
  </si>
  <si>
    <t>5a206404-817b-4e22-8ebd-e0cdc681af52</t>
  </si>
  <si>
    <t>Once per turn when you pay Reed to extend or renovate your home or to play an Improvement you receive 1 Grain.</t>
  </si>
  <si>
    <t>Pine Cones</t>
  </si>
  <si>
    <t>6be6c811-4c41-476b-ba05-0013933d194e</t>
  </si>
  <si>
    <t>Place 1 Wood on an unused Farmyard space. It now counts as used. Each Harvest, place 1 Food from the supply on an unoccupied space adjacent to this Wood. When that space becomes used, you receive the Food.</t>
  </si>
  <si>
    <t>Salmon Fishing</t>
  </si>
  <si>
    <t>c46c356d-e68c-40b9-9b6f-b926707cebe8</t>
  </si>
  <si>
    <t>Before the Work phase in rounds 8/10/12/14, place 1 Food from your supply on the "Fishing" action space or receive 1 Begging card.</t>
  </si>
  <si>
    <t>Simple Plow</t>
  </si>
  <si>
    <t>8b7e0b1a-d585-42d7-9aad-59e18a653fdf</t>
  </si>
  <si>
    <t>Once during the game, when you use the "Plow 1 field" Action space, you may Plow 2 fields instead of 1.</t>
  </si>
  <si>
    <t>Wild Chickens</t>
  </si>
  <si>
    <t>a91470e7-7f66-431f-a9d6-8027ba4e735e</t>
  </si>
  <si>
    <t>Place 4 Food from the general supply on this card. Whenever you use a Wood Accumulation space move one of these Food to your supply.</t>
  </si>
  <si>
    <t>MD2</t>
  </si>
  <si>
    <t>Badger</t>
  </si>
  <si>
    <t>82487251-a599-4876-beb1-417d0d6bed59</t>
  </si>
  <si>
    <t>Immediately place a marker on an Action space of your choice. At the start of each round, you must move it to an orthogonally adjacent revealed Action space. Any player that uses that space also receives 1 Food.</t>
  </si>
  <si>
    <t>Baking Field</t>
  </si>
  <si>
    <t>755eb2b3-4840-4589-a097-c531fdc900c7</t>
  </si>
  <si>
    <t>When you Sow, you can plant 1 Grain on this card as you would on a field. During harvest, you may recieve a "Bake bread" action that you can use for this Grain only. (This card does not count as a field when scoring.)</t>
  </si>
  <si>
    <t>boss_vincent</t>
  </si>
  <si>
    <t>Buck Saw</t>
  </si>
  <si>
    <t>1bfef972-2e3e-418a-b940-7b3720d4daf9</t>
  </si>
  <si>
    <t>Each time you renovate, you can also pay 1 Wood to get a Bonus point and 1 Grain.</t>
  </si>
  <si>
    <t>Chophouse</t>
  </si>
  <si>
    <t>4807a965-95d7-4b00-8cf8-f4fa3393a703</t>
  </si>
  <si>
    <t>Each time you use the "Take 1 Grain/Vegetable" action space, place 1 food on each of the next 3 round spaces. At the start of these rounds, you get the food.</t>
  </si>
  <si>
    <t>Digging Site</t>
  </si>
  <si>
    <t>6839a855-bf53-4a4a-936b-6f2c30329984</t>
  </si>
  <si>
    <t>Place 3 Stone from the supply on this card. Whenever you use the "Day Laborer" action space, you may recieve 1 Stone from this card. When the last Stone is taken, you may immediately Plow 1 field.</t>
  </si>
  <si>
    <t>Handplow</t>
  </si>
  <si>
    <t>78c57672-52f0-475a-9f78-77b0410c57eb</t>
  </si>
  <si>
    <t>Add 5 to the current round and place 1 field tile on the corresponding round space. At the start of that round, you may plow the field.</t>
  </si>
  <si>
    <t>Holiday Feast</t>
  </si>
  <si>
    <t>1692b463-3ebb-49ae-af62-3ee8661a3e5e</t>
  </si>
  <si>
    <t>Play in Round 14</t>
  </si>
  <si>
    <t>When you play this card, immediately carry out a Feeding phase (this is not considered a harvest). You gain 1 Bonus point for every Family member you currently have. (Be prepared for another Feeding phase in the next harvest).</t>
  </si>
  <si>
    <t>House Boat</t>
  </si>
  <si>
    <t>59e189cf-ae74-46f5-8ec6-d97664a48ff1</t>
  </si>
  <si>
    <t>Place 2 Guest tokens on this card. In the Returning home phase each Round, you may place one of these Guests on the "Fishing" Action space and use it, if it's unoccupied. (Return the Guest to the supply after using it.)</t>
  </si>
  <si>
    <t>Lumber Mill</t>
  </si>
  <si>
    <t>0501ec46-3010-4c89-bd58-290ffbd89b84</t>
  </si>
  <si>
    <t>Each time you play an Improvement, you pay 1 Wood less.</t>
  </si>
  <si>
    <t>Mud Patch</t>
  </si>
  <si>
    <t>7a4a02e0-ffbc-4572-9ed2-0a7fdd62aa61</t>
  </si>
  <si>
    <t>When you play this card, you immediately receive 1 Wild boar. You can hold 1 Wild boar on each of your unplanted field tiles.</t>
  </si>
  <si>
    <t>Necklace</t>
  </si>
  <si>
    <t>9a0c2e24-27dc-4ea2-8ffd-a062b920c9ca</t>
  </si>
  <si>
    <t>Whenever at the end of a Work phase, you have at least 2 Family members occupying 2 orthogonally adjacent Action spaces, you receive 1 Food.</t>
  </si>
  <si>
    <t>Notice Board</t>
  </si>
  <si>
    <t>45cedd0b-b3cf-4c9c-b20a-983331efb65e</t>
  </si>
  <si>
    <t>Whenever you play a passing card, you may immediately afterward play 1 Occupation for free.</t>
  </si>
  <si>
    <t>Present</t>
  </si>
  <si>
    <t>bc42f885-fbaa-4511-b4d6-f444f259d65d</t>
  </si>
  <si>
    <t>When you play this card, immediately either discard 1 Begging card or take 1 Animal (of your choice) from the supply. AFTER YOU PLAY THIS CARD, PASS IT TO THE PLAYER ON THE LEFT, WHO ADDS IT TO HIS/HER HAND.</t>
  </si>
  <si>
    <t>Puzzle</t>
  </si>
  <si>
    <t>71aad987-2244-4442-9d9d-21ba0d2a9050</t>
  </si>
  <si>
    <t>Place 3 Arrow markers on this card. Once each Round, if all players have a Person left in their farm, you may pass and return 1 marker. (You may place that Person later that Round). If all markers are returned at the end of the game, you receive 4 Bonus points.</t>
  </si>
  <si>
    <t>Redcurrant</t>
  </si>
  <si>
    <t>88fec3d4-7126-420f-8043-e4c1d3986a96</t>
  </si>
  <si>
    <t>Place 2 Food from the supply on this card. The next time you Plow a field you receive these 2 Food.</t>
  </si>
  <si>
    <t>Shady Contract</t>
  </si>
  <si>
    <t>4a3615d8-fe5b-4a55-87d3-eeb730c3bfc9</t>
  </si>
  <si>
    <t>When you play this card, immediately carry out the following steps: - You may Plow 1 field if another player owns any type of Plow. - You may take a Bake bread action if another player owns any type of Oven. - Put 1 Food on the next 3 future round spaces if another player owns any type of Well. (This card has no further effect.)</t>
  </si>
  <si>
    <t>Shared Wall</t>
  </si>
  <si>
    <t>265a5dd0-464c-4e58-bfbc-906227cac741</t>
  </si>
  <si>
    <t>Your home now creates a natural border for pasture(s). You may not extend your home into pastures created in this way. (You may still build all 15 fences.)</t>
  </si>
  <si>
    <t>Sheep Gate</t>
  </si>
  <si>
    <t>52dcd688-bc8c-4fb4-9af3-bbe4a5146a7c</t>
  </si>
  <si>
    <t>Whenever you take Sheep with one of your Persons, you receive an additional Sheep from the supply.</t>
  </si>
  <si>
    <t>Sheperds Pipe</t>
  </si>
  <si>
    <t>b2a0f3ae-9f23-47c9-a3f1-fa4dac9f9869</t>
  </si>
  <si>
    <t>You can hold up to 2 additional Sheep in each of the pastures where you keep Sheep. You can keep up to 2 Sheep in each unfenced stable.</t>
  </si>
  <si>
    <t>Spam</t>
  </si>
  <si>
    <t>4bd84242-370b-44b5-a49a-c98e42e606f4</t>
  </si>
  <si>
    <t>When you play this card, you receive 1 Food, then return Spam to your hand. (You can play this card again later).</t>
  </si>
  <si>
    <t>Wm</t>
  </si>
  <si>
    <t>Almshouse</t>
  </si>
  <si>
    <t>6617d803-a214-4eb6-ad20-5f1b32144958</t>
  </si>
  <si>
    <t>At the end of the feeding phase of each Harvest, you may discard 1 Begging card that you received in any Harvest because you paid 1 Food less to feed your family.</t>
  </si>
  <si>
    <t>zlorfik</t>
  </si>
  <si>
    <t>Animal Nursery</t>
  </si>
  <si>
    <t>60a1660f-c5bb-4bee-a843-9fe0b56f334c</t>
  </si>
  <si>
    <t>You may place newborn animals of any type on this card immediately after their birth. They cannot be used for any purpose or moved of this card, but are counted at the end of the game. (This card does not count as a pasture or stable.)</t>
  </si>
  <si>
    <t>tacticus</t>
  </si>
  <si>
    <t>Apple Tree</t>
  </si>
  <si>
    <t>3030c7d1-45bc-45c9-b5ba-105565cb6d12</t>
  </si>
  <si>
    <t>Place 1 Wood from the general supply on an empty field. This field still counts as a field, but can no longer be used for sowing or other uses. In the field phase of each Harvest, you receive 1 Food.</t>
  </si>
  <si>
    <t>Apprenticeship</t>
  </si>
  <si>
    <t>c0e85acb-9bf7-482e-b958-9a7c2b10f457</t>
  </si>
  <si>
    <t>Immediately play an Occupation if you have fewer Occupations than each other player. After you play this card, pass it to the player on your left, who adds it to his/her hand.</t>
  </si>
  <si>
    <t>Attic</t>
  </si>
  <si>
    <t>644bf1f1-29c3-4de8-a2b4-968c99e3be11</t>
  </si>
  <si>
    <t>Whenever you extend your home, you may place 1 Wood from your supply on each of the new rooms. You cannot use this wood any more, but each is worth 1 Bonus point at the end of the game.</t>
  </si>
  <si>
    <t>Back Door</t>
  </si>
  <si>
    <t>89a3d9a4-10e0-4ada-8f36-09ff3979a00d</t>
  </si>
  <si>
    <t>Immediately place a Family member that is not already placed on an Action space on the "After Family Growth also 1 Minor Improvement" Action space even if it is occupied by you or another player and take that action. After you play this card, pass it to the player on your left, who adds it to his/her hand.</t>
  </si>
  <si>
    <t>trey</t>
  </si>
  <si>
    <t>Backyard Well</t>
  </si>
  <si>
    <t>af282bb5-7801-4699-b096-194eece5c01b</t>
  </si>
  <si>
    <t>Once this game, at any time, you may place 1 Stone from the general supply on 1 Unused farmyard space next to your home. (It now counts as used.) If you do this, place 1 Food on each of the next 3 Round spaces. At the start of these rounds, you receive the Food. (Backyard Well counts as a Well.)</t>
  </si>
  <si>
    <t>glengarry</t>
  </si>
  <si>
    <t>Birdcage</t>
  </si>
  <si>
    <t>9182fc78-4391-4c3b-a113-f5ba98fc9e7f</t>
  </si>
  <si>
    <t>Each Harvest, you may place 1 Food on this card from your supply. At the end of the game, you receive 1 Bonus point for each food on this card. You may not hold Sheep, Wild Boar, or Cattle in your home. (Even if another card allows this).</t>
  </si>
  <si>
    <t>Bonfire</t>
  </si>
  <si>
    <t>d583fcc3-cff9-4266-b763-2eb22b1ab183</t>
  </si>
  <si>
    <t>1 Unused space</t>
  </si>
  <si>
    <t>Place 1 Wood from the general supply on 1 Unused farmyard space. As long as the Wood remains, the space counts as used. You may return it at any time to convert animals to Food for the rest of the round. The conversion rates are: sheep to 2 Food; Wild boar to 3 Food; Cattle to 4 Food.</t>
  </si>
  <si>
    <t>Boundary Stones</t>
  </si>
  <si>
    <t>d3b61b9b-a438-40e6-8b36-2336b779319b</t>
  </si>
  <si>
    <t>At the end of the game, you receive 1/2/3/5 Bonus points for having at least 2/3/4/5 fields that are orthogonally adjacent to exactly one other field.</t>
  </si>
  <si>
    <t>Brazier</t>
  </si>
  <si>
    <t>55e4f3b2-1186-412c-82ba-6734e7782902</t>
  </si>
  <si>
    <t>During the Feeding phase of each Harvest, you can use the Brazier to convert exactly 1 animal or Vegetable to Food as follows: Vegetable to 3 Food; Sheep to 2 Food; Wild boar to 3 Food; Cattle to 4 Food.</t>
  </si>
  <si>
    <t>agrigal</t>
  </si>
  <si>
    <t>Buried Treasure</t>
  </si>
  <si>
    <t>0b52f317-8d25-4044-8617-67080cb28a07</t>
  </si>
  <si>
    <t>Whenever you use the "Plow 1 field" or "Plow 1 field and/or Sow" Action space, you also receive 1 Stone.</t>
  </si>
  <si>
    <t>Cash Crop</t>
  </si>
  <si>
    <t>ecce11aa-55b9-49aa-b7af-2c987de3abd6</t>
  </si>
  <si>
    <t>When you sow, you may sow on this card as if it were 1 field. Whenever you harvest goods from this card during the Field phase of a Harvest, you must exchange these harvested goods for 1 Bonus point each.</t>
  </si>
  <si>
    <t>Changing Plans</t>
  </si>
  <si>
    <t>a681e9ce-917c-46e1-b0bc-6d827fb6e5b6</t>
  </si>
  <si>
    <t>Immediately return 1 or 2 stables from your farmyard to your supply. Afterward, Plow 1 field for every stable returned (in the same or different space). (Normal plowing rules still apply.) After you play this card, pass it to the player on your left, who adds it to his/her hand.</t>
  </si>
  <si>
    <t>Clockwork Man</t>
  </si>
  <si>
    <t>025752c2-58ef-47f4-82ce-902b0c9e8224</t>
  </si>
  <si>
    <t>Clockwork Man counts as 1 Occupation and 1 Minor Improvement.</t>
  </si>
  <si>
    <t>Cookies</t>
  </si>
  <si>
    <t>9573800b-fa10-43e2-928d-39125d085334</t>
  </si>
  <si>
    <t>For each Grain that you Bake, you may place 1 Food from your supply in 1 of your rooms. You may have a maximum of 1 Food in each room. You cannot use these Food any more, but each is worth 1 Bonus point at the end of the game.</t>
  </si>
  <si>
    <t>Crib</t>
  </si>
  <si>
    <t>0ed37223-8656-42f0-bb2e-271a47a02a3d</t>
  </si>
  <si>
    <t>At the end of any Work phase in which you have taken a "Family Growth" action, you may take 2 Food from the general supply or pay 2 Food for 1 Bonus point.</t>
  </si>
  <si>
    <t>Diamond Mine</t>
  </si>
  <si>
    <t>9275ce97-3bca-4e87-9ed7-c3c35e6c5d22</t>
  </si>
  <si>
    <t>Place 1 Stone each on the next 2 Round spaces. At the start of these rounds, you receive the Stone.</t>
  </si>
  <si>
    <t>Donkey</t>
  </si>
  <si>
    <t>dc85a606-3501-422d-b2b2-b6abc755e405</t>
  </si>
  <si>
    <t>From now on, one of your pastures can not contain animals. (Mark this pasture with 1 Clay from the general supply.) Whenever you use the "Plow 1 field" or "Plow 1 field and/or Sow" Action space, you may Plow 1 additional field.</t>
  </si>
  <si>
    <t>Downsizing</t>
  </si>
  <si>
    <t>1bf5846e-9823-48f9-b384-7f6105718601</t>
  </si>
  <si>
    <t>Once during the game, when you build at least 1 fence, you may return 1 Wooden room that you built this game and build up to 7 additional fences from your supply at no cost. If there was a person in that room, move them into the rest of your home.</t>
  </si>
  <si>
    <t>Drained Pond</t>
  </si>
  <si>
    <t>67a29ac3-e8b0-410c-8a87-b9ae3a975468</t>
  </si>
  <si>
    <t>Add 4 to the current round and place 1 field on the corresponding Round space. At the start of that round, you may pay 1 Food to add the field to your farm.</t>
  </si>
  <si>
    <t>Edible Roots</t>
  </si>
  <si>
    <t>f605e72d-a41c-48b0-8977-3f4d847169e0</t>
  </si>
  <si>
    <t>3 fields</t>
  </si>
  <si>
    <t>Whenever you harvest the last good from a field and place it in your supply, you receive 1 Food.</t>
  </si>
  <si>
    <t>Farm School</t>
  </si>
  <si>
    <t>1832419a-41b6-41f5-adc3-256b43f043f3</t>
  </si>
  <si>
    <t>Whenever you harvest at least 2 goods during the Field phase of a Harvest, you may immediately afterward pay 2 Food to play an Occupation.</t>
  </si>
  <si>
    <t>Festival Hall</t>
  </si>
  <si>
    <t>d034835d-9c9d-421f-a253-21cf262e3b65</t>
  </si>
  <si>
    <t>2 Grain fields</t>
  </si>
  <si>
    <t>After the Field phase of a Harvest, you can use the Festival Hall to convert 1 Grain to 1 Building resource of your choice and 2 Food.</t>
  </si>
  <si>
    <t>btizo</t>
  </si>
  <si>
    <t>Fish Hook</t>
  </si>
  <si>
    <t>fdd1ebdb-8400-4f0a-bfca-7b09cd560588</t>
  </si>
  <si>
    <t>Whenever you use an Action space orthogonally adjacent to the "Fishing" Action space, you may immediately take 1 Food from the "Fishing" Action space if there is a Food on that space.</t>
  </si>
  <si>
    <t>Fish Pond</t>
  </si>
  <si>
    <t>64e2810e-4015-4c90-bee1-4e7c7f935fe7</t>
  </si>
  <si>
    <t>Place 1 Clay from the general supply on 1 Unused farmyard space. It now counts as used. Whenever you use the "Fishing" Action space, you may place some or all of the Food on this card. At the end of the game, you receive -1/1/2/3/4 Bonus points for 0/1/4/6/8 Food on this card.</t>
  </si>
  <si>
    <t>Flower Pots</t>
  </si>
  <si>
    <t>877f44c3-0ba0-420d-a0fe-298ce28eb9c4</t>
  </si>
  <si>
    <t>If you play this in Round 6 or before, place 1 Vegetable on the space for Round 8. At the start of this round, you receive the Vegetable.</t>
  </si>
  <si>
    <t>Free-Range Chickens</t>
  </si>
  <si>
    <t>873b84d4-e896-4621-bb89-f948652d1e5f</t>
  </si>
  <si>
    <t>1 Grain field</t>
  </si>
  <si>
    <t>1W,1F</t>
  </si>
  <si>
    <t>At the start of each round, if you have at least 1 Grain field, place 1 Food from the general supply on this card. You may use this Food at any time. At the end of the game you receive 1/2 Bonus Points for 3/6 Food on this card.</t>
  </si>
  <si>
    <t>Friendly Pastures</t>
  </si>
  <si>
    <t>36e6fe0a-a15a-4051-beb7-9beaf3782f1e</t>
  </si>
  <si>
    <t>Your pastures with stables may hold 2 different animal types. (This card does not change the capacity of your pastures.)</t>
  </si>
  <si>
    <t>jedi</t>
  </si>
  <si>
    <t>Fruitcake</t>
  </si>
  <si>
    <t>4444fce1-a642-4703-8673-b0dc971fb124</t>
  </si>
  <si>
    <t>In the Feeding phase of the next Harvest, each of your family members (including newborns) require 1 Food less.</t>
  </si>
  <si>
    <t>watchman</t>
  </si>
  <si>
    <t>Glassblowers Shop</t>
  </si>
  <si>
    <t>41eb0bd0-4d06-4312-98c8-1d4ae2e56f3d</t>
  </si>
  <si>
    <t>Return Pottery</t>
  </si>
  <si>
    <t>Each harvest you may convert up to 1 Clay into 3 Food. At the end of the game, you receive 1/2/3 Bonus points for 2/4/5 Clay. (A repurchased Pottery does not give you additional Bonus points, but can be used to convert an additional Clay each Harvest.)</t>
  </si>
  <si>
    <t>Gold Medal</t>
  </si>
  <si>
    <t>074c195c-937c-4ae7-866a-f26c3ad4a72a</t>
  </si>
  <si>
    <t>When you play this card, choose one category from Grain, Vegetables, Sheep, Wild boar, Cattle, fields, pastures, or fences stables. At the end of the game, all players with the most Points in that category receive 2 Bonus points.</t>
  </si>
  <si>
    <t>ldsdbomber</t>
  </si>
  <si>
    <t>Grain Elevator</t>
  </si>
  <si>
    <t>d365a8e9-ec03-4f4d-b23d-aff370ef8185</t>
  </si>
  <si>
    <t>At the start of each round, add 1 Grain from the general supply to this card, unless it has Grain equal to the number of players. Whenever you use the "Take 1 Grain" action, you also take all the Grain on this card. Whenever another player uses the "Take 1 Grain" action, return all Grain on this card to the general supply.</t>
  </si>
  <si>
    <t>Home Garden</t>
  </si>
  <si>
    <t>a6519939-50d0-42c4-9a03-c8abbac71e75</t>
  </si>
  <si>
    <t>Whenever you renovate your home, or if you renovated this round, place 1 Food on the next 3 remaining Round spaces. At the start of these rounds, you receive the Food.</t>
  </si>
  <si>
    <t>Honeymoon</t>
  </si>
  <si>
    <t>5b0d59ca-6d9f-4da8-9ee2-7f2939ab5e6b</t>
  </si>
  <si>
    <t>In Round 14, you place 2 fewer Family members.</t>
  </si>
  <si>
    <t>Iron Plow</t>
  </si>
  <si>
    <t>61d89c4e-97fe-4abe-8640-c05f2171b247</t>
  </si>
  <si>
    <t>Once during the game, when you use the "Plow 1 field" Action space, you may Plow 2 fields instead and take a "Sow" action afterward.</t>
  </si>
  <si>
    <t>Keys</t>
  </si>
  <si>
    <t>630616e3-c302-42a2-8d01-c460dac22192</t>
  </si>
  <si>
    <t>You can use the "Build room(s) and/or Build stable(s)" Action space, even if another player has already placed a person on it.</t>
  </si>
  <si>
    <t>Kindling</t>
  </si>
  <si>
    <t>cef58099-50e6-47bf-9411-72e9867b7b81</t>
  </si>
  <si>
    <t>You may build Major Improvement Fireplace and Cooking Hearths with a "Minor Improvement" action. Pay 1 Clay less for each.</t>
  </si>
  <si>
    <t>Lamp Oil</t>
  </si>
  <si>
    <t>7780bef5-cd4b-4254-9803-dd3be6706307</t>
  </si>
  <si>
    <t>Whenever you play an Occupation, you receive 1 Food before you pay the cost of the Occupation.</t>
  </si>
  <si>
    <t>Mountain Cave</t>
  </si>
  <si>
    <t>a9e5f577-83df-4840-9959-fc555ce386bd</t>
  </si>
  <si>
    <t>Each Harvest, you may use the Mountain Cave to exchange up to 1 Wood for 1 Stone.</t>
  </si>
  <si>
    <t>Oak Cask</t>
  </si>
  <si>
    <t>384a73cd-4e9d-4409-b3da-92180bb7d180</t>
  </si>
  <si>
    <t>When you play this card, place 1 Food from the general supply on it. During the Field phase of each Harvest, add 1 Food from the general supply to this card if it has Food on it. At any time, you may take all of the Food from this card.</t>
  </si>
  <si>
    <t>Open Gate</t>
  </si>
  <si>
    <t>5193a36d-73d5-4344-9704-2fdcba177e11</t>
  </si>
  <si>
    <t>At the start of the Feeding phase of each Harvest, you may return 1 Sheep to the general supply to receive 1 Bonus point.</t>
  </si>
  <si>
    <t>ccc</t>
  </si>
  <si>
    <t>Petting Zoo</t>
  </si>
  <si>
    <t>c58b664e-2cc5-4683-8912-9da52373e6a5</t>
  </si>
  <si>
    <t>At the end of the game, if you have all the animal types in your farm, you receive 1 Bonus point if you have at least 2 Sheep and 1 Bonus point if you have at least 2 Wild boar.</t>
  </si>
  <si>
    <t>agentricola</t>
  </si>
  <si>
    <t>Pig Wallow</t>
  </si>
  <si>
    <t>132ec710-26eb-45a0-9c42-903478376ef7</t>
  </si>
  <si>
    <t>Immediately return 1 empty field to the general supply to fence a single farmyard space (in the same or different space.) (Normal fencing rules still apply.) You do not need to pay Wood for the fences. After you play this card, pass it to the player on your left, who adds it to his/her hand.</t>
  </si>
  <si>
    <t>Plum Patch</t>
  </si>
  <si>
    <t>5444fd49-f915-4861-a7ca-9c32ac942ef4</t>
  </si>
  <si>
    <t>1 Grain field and 1 Vegetable field</t>
  </si>
  <si>
    <t>Place 1 Food on each of the next Round spaces, up to the number of planted fields in your farmyard. At the start of those rounds, you receive the food.</t>
  </si>
  <si>
    <t>Prize-winning Sheep</t>
  </si>
  <si>
    <t>c0799a61-0168-4e9a-a9c1-e64d67899db5</t>
  </si>
  <si>
    <t>You immediately receive 1 Building resource of your choice. After you play this card, pass it to the player on your left, who adds it to his/her hand.</t>
  </si>
  <si>
    <t>Ram</t>
  </si>
  <si>
    <t>9c3b68fb-868f-4e82-9a51-eae46e0830a3</t>
  </si>
  <si>
    <t>The Ram counts as a Sheep in your farm for scoring and breeding, but must be fed 1 Food in the Feeding phase of each Harvest or it is discarded. Your sheep breed at the end of Rounds 6, 8, 10, and 12.</t>
  </si>
  <si>
    <t>Raspberries</t>
  </si>
  <si>
    <t>20cf3c17-b885-405d-99d9-9a8cf77e894b</t>
  </si>
  <si>
    <t>Place 1 Food each on up to 3 Unused farmyard spaces from the general supply. When the space is used, you receive the Food.</t>
  </si>
  <si>
    <t>Reed Nursery</t>
  </si>
  <si>
    <t>95646a2b-72e0-45b7-be57-3d751ab85aba</t>
  </si>
  <si>
    <t>You may Sow and harvest Reed in your fields as if it were Grain. At the end of the game, you may exchange 1/4/6/8 Reed from your supply or from your fields for 1/2/3/4 Bonus points.</t>
  </si>
  <si>
    <t>goatpig</t>
  </si>
  <si>
    <t>Rotherham Plow</t>
  </si>
  <si>
    <t>89691834-6548-4982-a954-19ab21e435d6</t>
  </si>
  <si>
    <t>Whenever you use the "Plow 1 field" Action space, you may Plow 2 fields if they are not diagonally or orthogonally adjacent to each other instead of 1.</t>
  </si>
  <si>
    <t>Ruins</t>
  </si>
  <si>
    <t>865a1390-ccd6-4cfc-91ba-ed3ef9ef4255</t>
  </si>
  <si>
    <t>Place 4 Stone on this card from the general supply. In the Field phase of each Harvest, you may move 1 Stone from this card to your supply.</t>
  </si>
  <si>
    <t>Slapdash Renovation</t>
  </si>
  <si>
    <t>afd911e8-db7d-4053-a636-cddda539b4eb</t>
  </si>
  <si>
    <t>At the end of any turn where you placed a person on a "Renovation" Action space, you may return that person to your farm. (That person takes another action later in the round.)</t>
  </si>
  <si>
    <t>Steamer</t>
  </si>
  <si>
    <t>277f223a-34a9-42bb-ac87-358e59ef569f</t>
  </si>
  <si>
    <t>At any time, you can convert pairs of goods to Food as follows: Grain and Vegetable -&gt; 5 Food; Grain and Sheep -&gt; 4 Food; Grain and Wild boar -&gt; 5 Food; Grain and Cattle -&gt; 6 Food.</t>
  </si>
  <si>
    <t>Steel Plow</t>
  </si>
  <si>
    <t>620f503c-f442-49ab-94c1-5a2ed1a246a7</t>
  </si>
  <si>
    <t>Once during the game, when you use either the "Plow 1 field" or "Plow 1 field and/or Sow" Action space, you can Plow up to 4 fields instead of 1.</t>
  </si>
  <si>
    <t>Storage Shed</t>
  </si>
  <si>
    <t>cce08aae-08c7-4ebf-84ed-20a0bac11f4d</t>
  </si>
  <si>
    <t>Remove 1 built stable and place is on this card (you may not build it again later). Whenever you play a Minor Improvement, take 1 Building resource of your choice from the general supply before paying the costs of the Improvement.</t>
  </si>
  <si>
    <t>Undisturbed Pond</t>
  </si>
  <si>
    <t>70d25420-cd61-437a-bfae-1969552c2734</t>
  </si>
  <si>
    <t>Place 1 Food on each of the next Round spaces, up to the number of completed rounds. At the start of these rounds, you receive the Food.</t>
  </si>
  <si>
    <t>Village School</t>
  </si>
  <si>
    <t>2d616797-2b26-43e0-9774-9d5b983d06c5</t>
  </si>
  <si>
    <t>1S,1R</t>
  </si>
  <si>
    <t>Once per turn, when paying a cost, you may discard 1 card from your hand to pay 1 less Building resource of your choice.</t>
  </si>
  <si>
    <t>Wild Breeding</t>
  </si>
  <si>
    <t>db2b3373-e4e7-4002-bb85-fc0289c19ae3</t>
  </si>
  <si>
    <t>Immediately add 1 animal of the appropriate type to each Accumulation space containing 2 or more animals. If you have space on your farm, you may take 1 of the added animals. After you play this card, pass it to the player on your left, who adds it to his/her hand.</t>
  </si>
  <si>
    <t>Wine Closet</t>
  </si>
  <si>
    <t>fb030746-bf7c-40cd-a4be-9d16ba7922b5</t>
  </si>
  <si>
    <t>1W,2C</t>
  </si>
  <si>
    <t>When you play this card, you receive 1 Vegetable. Once each round, you may move 1 Vegetable from your supply to a future Round space. If it is at least 5 rounds away, add 1 Vegetable from the general supply. At the start of that round, you must convert each of those Vegetables to 2 Food or 1 Bonus point.</t>
  </si>
  <si>
    <t>Worm Bait</t>
  </si>
  <si>
    <t>58ee46f4-14b4-4da4-9c0c-2ea9d1669be8</t>
  </si>
  <si>
    <t>Whenever you use the "Plow 1 field" Action space, add 2 Food from the general supply to this card. You receive the Food on this card when you use the "Fishing" action. Each Harvest, return 1 Food from this card (if any) to the general supply.</t>
  </si>
  <si>
    <t>Occupation</t>
  </si>
  <si>
    <t>Academic</t>
  </si>
  <si>
    <t>70848d6c-6285-4b06-82ff-28cdcff1207a</t>
  </si>
  <si>
    <t>This card counts as 2 Occupations for Minor Improvements and when scoring the Reeve or Tutor Occupation card.</t>
  </si>
  <si>
    <t>Animal Keeper</t>
  </si>
  <si>
    <t>8e482221-4785-45c2-8cde-e80f0a8d2169</t>
  </si>
  <si>
    <t>You can keep Sheep, Wild boar and Cattle in the same pasture. This applies to all of your pastures (except the Forest Pasture).</t>
  </si>
  <si>
    <t>Baker</t>
  </si>
  <si>
    <t>4dce7b1b-cd64-49f0-b6ca-286848eaee82</t>
  </si>
  <si>
    <t>During each Harvest, you may bake bread at the start of the Feeding phase if you have an Improvement with the baking symbol. When you play this card, you may bake bread as an additional action.</t>
  </si>
  <si>
    <t>Basketmaker</t>
  </si>
  <si>
    <t>cc9c84c2-1492-4c0d-88bf-6a1a72335cb5</t>
  </si>
  <si>
    <t>In each harvest, the Basketmaker can convert up to 1 Reed to 3 Food.</t>
  </si>
  <si>
    <t>Berry Picker</t>
  </si>
  <si>
    <t>c983e8f5-9fa9-467f-889c-64aeb9c69478</t>
  </si>
  <si>
    <t>Whenever you use a Family member's action to take Wood, you receive an additional 1 Food.</t>
  </si>
  <si>
    <t>Bread Seller</t>
  </si>
  <si>
    <t>f2fc13b3-1b3d-4170-93b1-29d590f6d0c8</t>
  </si>
  <si>
    <t>You receive 1 Food from the supply for each grain that is baked whenever any player (including you) bakes bread.</t>
  </si>
  <si>
    <t>Brush Maker</t>
  </si>
  <si>
    <t>9c846bd5-e61d-46be-9166-6077cc6a398d</t>
  </si>
  <si>
    <t>Whenever you convert Wild boar to Food, you place the boar on this card. At the end of the game, you receive 1/2/3 Bonus points for 2/3/4 slaughtered Wild boar.</t>
  </si>
  <si>
    <t>Carpenter</t>
  </si>
  <si>
    <t>256c500f-7818-4fbc-ad52-6d56fa6d7990</t>
  </si>
  <si>
    <t>To extend your home, you need only 3 of the appropriate resource and 2 Reed for each new room. (For example, if you live in a Wooden hut, you need 3 Wood and 2 Reed.)</t>
  </si>
  <si>
    <t>Cattle Whisperer</t>
  </si>
  <si>
    <t>1b2386fa-a599-4d17-968e-9bada7222d25</t>
  </si>
  <si>
    <t>Add 5 and 9 to the number of the current round. Place 1 Cattle on each corresponding round space. At the start of these rounds, you receive the Cattle.</t>
  </si>
  <si>
    <t>Charcoal Burner</t>
  </si>
  <si>
    <t>483dfc77-27f8-4bbf-9643-750adb988dd3</t>
  </si>
  <si>
    <t>You receive 1 Food and 1 Wood whenever any player (including you) builds a baking improvement with a baking symbol.</t>
  </si>
  <si>
    <t>Chief</t>
  </si>
  <si>
    <t>e5a8ed93-de6e-4197-af84-39019893d6a8</t>
  </si>
  <si>
    <t>At the end of the game, you receive 1 Bonus point for each room in your Stone house. (In total, you receive 3 points per room instead of 2.) Playing this card costs an additional 2 Food.</t>
  </si>
  <si>
    <t>Chief's Daughter</t>
  </si>
  <si>
    <t>fe22ecf7-2253-467f-b8c1-d423dbee2b93</t>
  </si>
  <si>
    <t>If another player plays the Chief card, you can play this card immediately at no cost. (You can also play it using an Action space in the usual way.) At the end of the game, you receive 3 Bonus points if you have a Stone house, 1 if you have a Clay hut.</t>
  </si>
  <si>
    <t>Clay Deliveryman</t>
  </si>
  <si>
    <t>34352f78-b8b9-4dc0-9947-d7badb400246</t>
  </si>
  <si>
    <t>Place 1 Clay on each remaining space for rounds 6 to 14. At the start of these rounds, you receive the Clay.</t>
  </si>
  <si>
    <t>Clay Firer</t>
  </si>
  <si>
    <t>d9abb2a0-610d-4a73-ae86-13d9a6763688</t>
  </si>
  <si>
    <t>You can use the Clay Firer at any time to convert 2/3 Clay to 1/2 Stone.</t>
  </si>
  <si>
    <t>Clay Mixer</t>
  </si>
  <si>
    <t>3c5f11f5-05f7-42a8-8324-1947d8c37da9</t>
  </si>
  <si>
    <t>Whenever one of your people's actions gives you only Clay, you receive 2 additional Clay.</t>
  </si>
  <si>
    <t>Clay Seller</t>
  </si>
  <si>
    <t>f0ef29c1-6465-4fb6-a710-e908283ef381</t>
  </si>
  <si>
    <t>You can use the Clay Seller at any time to convert: 2 Clay to 1 Sheep or 1 Reed, 3 Clay to 1 Wild boar or 1 Stone, and/or 4 Clay to 1 Cattle.</t>
  </si>
  <si>
    <t>Conjurer</t>
  </si>
  <si>
    <t>4bd3878f-ce01-4839-b94a-a745c2059ee6</t>
  </si>
  <si>
    <t>Whenever you use the "Traveling Players" action on an Action space, you receive 1 Grain in addition to the Food.</t>
  </si>
  <si>
    <t>Conservator</t>
  </si>
  <si>
    <t>62a5be8c-cf75-493f-8945-61e32fbadf91</t>
  </si>
  <si>
    <t>You can renovate your Wooden hut to a Stone house without first needing to renovate it to a Clay hut.</t>
  </si>
  <si>
    <t>Cook</t>
  </si>
  <si>
    <t>6c21a2fd-fa0e-4c72-a5e7-4c0d22ea9018</t>
  </si>
  <si>
    <t>In the Feeding phase of each Harvest, only 2 of your people eat 2 Food each; all others are satisfied with only 1 Food.</t>
  </si>
  <si>
    <t>Dancer</t>
  </si>
  <si>
    <t>f130d679-09cf-46b4-bc21-c8a6f91c9c72</t>
  </si>
  <si>
    <t>Whenever you use the "Traveling Players" action on an Action space, you receive at least 4 Food. (If there are 1 to 3 Food on the space, take Food from the general supply until you total 4 Food.).</t>
  </si>
  <si>
    <t>Dock Worker</t>
  </si>
  <si>
    <t>93106c77-6565-427b-92e2-4b638f7a4155</t>
  </si>
  <si>
    <t>At any time, you can use the Dock Worker to convert 3 Wood to either 1 Clay, 1 Reed or 1 Stone, or to convert 2 Clay, 2 Reed or 2 Stone to 1 other building resource.</t>
  </si>
  <si>
    <t>Estate Manager</t>
  </si>
  <si>
    <t>9c9326fd-648b-4476-80d7-9f9746a76c1f</t>
  </si>
  <si>
    <t>At the end of a 3/4/5 player game, if no player has more animals of any type than you, you receive 2/3/4 Bonus points.</t>
  </si>
  <si>
    <t>Farmer</t>
  </si>
  <si>
    <t>c1925690-ce86-4ec5-b5de-9f1897653cc2</t>
  </si>
  <si>
    <t>The next time you build fences, you receive 1 Wild boar. Each time you build at least 1 fence after that, you receive 1 Cattle.</t>
  </si>
  <si>
    <t>Field Warden</t>
  </si>
  <si>
    <t>34fcac47-dcca-4af9-9218-488b5a068a75</t>
  </si>
  <si>
    <t>You can use the "Take 1 Vegetable", "Plow 1 Field" and "Plow Field and/or Sow" action spaces even if another player has already placed a person on the space.</t>
  </si>
  <si>
    <t>Fisherman</t>
  </si>
  <si>
    <t>778f5c7e-a299-4438-bed1-dcb2d6b21fbd</t>
  </si>
  <si>
    <t>Whenever you use the "Fishing" Action space, you can choose to take twice as much Food as is on the space. If you do this, you must give 1 Food each to the owners of the Fishing Rod, Raft, Canoe, Fish Trap, and Landing Net.</t>
  </si>
  <si>
    <t>Greengrocer</t>
  </si>
  <si>
    <t>c87d9fe9-e18e-4d4a-abe3-984f4ca07053</t>
  </si>
  <si>
    <t>Whenever you use the "Take 1 Grain" Action space, you also receive 1 Vegetable.</t>
  </si>
  <si>
    <t>Grocer</t>
  </si>
  <si>
    <t>6cf24afd-16d4-4d21-a4ef-046776b08cb0</t>
  </si>
  <si>
    <t>Pile (from bottom to top) 1 Vegetable, Reed, Clay, Wood, Vegetable, Stone, Grain, Reed on this card. At any time, you may buy the top item for 1 Food.</t>
  </si>
  <si>
    <t>Guildmaster</t>
  </si>
  <si>
    <t>c72ad53a-d6ee-4a95-8509-5b92eb04ed0f</t>
  </si>
  <si>
    <t>You receive 4 Wood when you acquire the Joinery or play the Cabinetmaker. When you acquire the Pottery or play the Potter, you receive 4 Clay. When you acquire the Basketmaker's Workshop or play the Basketmaker, you receive 3 Reed. If you have already played any of these cards when you play the Guildmaster, you receive 2 building resources of the appropriate type for each existing card.</t>
  </si>
  <si>
    <t>Head of the Family</t>
  </si>
  <si>
    <t>6151bbad-ab5b-4f3a-9916-fa16ab8e0978</t>
  </si>
  <si>
    <t>You can use any Build room(s) or Family growth Action space, even if another player has already placed a person on it.</t>
  </si>
  <si>
    <t>Hedge Keeper</t>
  </si>
  <si>
    <t>8fc460a6-4c19-4a5e-b013-75fc62f7e634</t>
  </si>
  <si>
    <t>Whenever you build at least 1 fence, you can build 3 additional fences without paying any additional wood. (You can only place fences if they enclose a complete pasture.)</t>
  </si>
  <si>
    <t>Hobby Farmer</t>
  </si>
  <si>
    <t>33ee2897-6ada-435d-be0e-fac79f1659a1</t>
  </si>
  <si>
    <t>When you play this card, you receive 1 Vegetable that you may sow immediately if you have an empty plowed field. (You can Sow just this one Vegetable with this extra action.)</t>
  </si>
  <si>
    <t>Hut Builder</t>
  </si>
  <si>
    <t>eff0321b-f225-437c-a11f-14d014a40c11</t>
  </si>
  <si>
    <t>Play this card during Stage 1. At the start of Round 11, you can extend your hut by 1 room at no cost, as long as you have not yet renovated to a Stone house.</t>
  </si>
  <si>
    <t>Land Agent</t>
  </si>
  <si>
    <t>593880bd-3652-4fc9-a14f-0873c029a3f4</t>
  </si>
  <si>
    <t>Whenever you use the "Take 1 Vegetable" Action space, you also receive 1 Grain. When you play this card, you receive 1 Vegetable from the supply.</t>
  </si>
  <si>
    <t>Lord of the Manor</t>
  </si>
  <si>
    <t>026cf5c0-818e-4a79-a019-2604c47e5cd7</t>
  </si>
  <si>
    <t>At the end of the game, you receive 1 bonus point for each scoring category where you have scored the maximum 4 points. (The bonus point is also awarded for 4 fenced stables.)</t>
  </si>
  <si>
    <t>Maid</t>
  </si>
  <si>
    <t>653a4244-ed43-43a7-9005-9d755f4d7371</t>
  </si>
  <si>
    <t>Once you have built a Clay hut, place 1 Food on each remaining Round space. At the start of these rounds, you receive the Food. (If you already have a Clay hut or a Stone house when you play this card, place the Food immediately.</t>
  </si>
  <si>
    <t>Mason</t>
  </si>
  <si>
    <t>0078634f-4287-4770-af38-8d9792ad7947</t>
  </si>
  <si>
    <t>Once during the game, at any time after your Stone house reaches at least 4 rooms, you may extend it by 1 room at no cost.</t>
  </si>
  <si>
    <t>Master Baker</t>
  </si>
  <si>
    <t>f38d7901-3f35-406c-971e-09086d2bf72a</t>
  </si>
  <si>
    <t>Whenever another player Bakes bread, you can Bake bread if you have a Baking Improvement with the baking symbol. If you take a Bake action yourself (not using this card), you receive 1 additional Food.</t>
  </si>
  <si>
    <t>Master Brewer</t>
  </si>
  <si>
    <t>413c8b48-8ad9-4175-9a09-4b9d19c5a655</t>
  </si>
  <si>
    <t>In the Feeding phase of each Harvest, the Master Brewer can convert up to 1 Grain to 3 Food.</t>
  </si>
  <si>
    <t>Master Builder</t>
  </si>
  <si>
    <t>d14d889f-df16-4672-be69-bd90cf6f3b55</t>
  </si>
  <si>
    <t>Once during the game, at any time after your home reaches at least 5 rooms, you may extend it by 1 room at no cost.</t>
  </si>
  <si>
    <t>Master Forester</t>
  </si>
  <si>
    <t>297fc283-7598-4df8-bda6-9bb126356aef</t>
  </si>
  <si>
    <t>Include the "2 Wood" Action card from the 3-player game as an additional forest. At the start of each round, place 2 Wood on the card. Any player who uses this action space must pay you 2 Food.</t>
  </si>
  <si>
    <t>Master Shepherd</t>
  </si>
  <si>
    <t>c450d546-2f34-4a2d-9f6f-7a3de4b2f7d8</t>
  </si>
  <si>
    <t>Place 1 Sheep on each of the next 3 Round spaces. At the start of these rounds, you receive the Sheep.</t>
  </si>
  <si>
    <t>Meat-seller</t>
  </si>
  <si>
    <t>7098e5ac-fe49-4e6c-b738-fcb54b61ebb4</t>
  </si>
  <si>
    <t>If you have an Oven, you can convert your animals into Food at any time: Take 2 food for each Sheep, 3 for each Wild boar and 4 for each Cattle.</t>
  </si>
  <si>
    <t>Mendicant</t>
  </si>
  <si>
    <t>54eefa45-d18a-40de-998e-966952fa60eb</t>
  </si>
  <si>
    <t>At the end of the game, you can discard up to 2 Begging cards without losing points for them.</t>
  </si>
  <si>
    <t>Merchant</t>
  </si>
  <si>
    <t>2d568378-50b8-4c9a-8613-31f9b6994885</t>
  </si>
  <si>
    <t>Whenever you use a "Minor Improvement" or "Minor or Major Improvement" action, you can pay 1 Food to use the action a second time.</t>
  </si>
  <si>
    <t>Mushroom Collector</t>
  </si>
  <si>
    <t>61cc6c96-5325-410c-bceb-b733909b86a0</t>
  </si>
  <si>
    <t>Whenever you use a Family member's action to take Wood from an Action space, you can leave 1 of the Wood on the space and take 2 Food in exchange.</t>
  </si>
  <si>
    <t>Pastor</t>
  </si>
  <si>
    <t>cdc6d4e7-6c66-425c-9b4b-8de0059fe2f7</t>
  </si>
  <si>
    <t>If, when you play this card or later in the game, you are the last player to have only 2 rooms in your home, you receive 3 Wood, 2 Clay, 1 Reed and 1 Stone.</t>
  </si>
  <si>
    <t>Patron</t>
  </si>
  <si>
    <t>257c7582-07bc-429c-9492-5f326acfd6c0</t>
  </si>
  <si>
    <t>In future, whenever you play an Occupation, you receive 2 Food before you pay the costs of the Occupation.</t>
  </si>
  <si>
    <t>Plow Driver</t>
  </si>
  <si>
    <t>264b6ddf-3cc6-4302-912b-6f131698e29c</t>
  </si>
  <si>
    <t>Once you have a stone house, you can pay 1 food at the start of each round to plow (at most) 1 field.</t>
  </si>
  <si>
    <t>Plow Maker</t>
  </si>
  <si>
    <t>9da8b80c-9a2c-4983-8c83-42928bf99d46</t>
  </si>
  <si>
    <t>Whenever you use either of the "Plow 1 Field" or "Plow Field and/or Sow" action spaces, you can pay 1 Food to Plow 1 additional field.</t>
  </si>
  <si>
    <t>Potter</t>
  </si>
  <si>
    <t>458ef152-803d-4fe0-8bc2-b8d927ac0be4</t>
  </si>
  <si>
    <t>You receive 1 Cattle when you build your second stable, 1 Wild boar when you build your third and 1 Sheep when you build your fourth. (If you build several stables at once, you may be entitled to take several animals as well.)</t>
  </si>
  <si>
    <t>Quarryman</t>
  </si>
  <si>
    <t>f5b9f3a5-b4ae-4d23-beb2-1468a5f2cfd5</t>
  </si>
  <si>
    <t>You can use the Quarryman at any time to convert Stone to Food. For each Stone you convert, take 2 Food.</t>
  </si>
  <si>
    <t>Reed Collector</t>
  </si>
  <si>
    <t>d5120427-8df6-4587-95d4-cd47347cb1c8</t>
  </si>
  <si>
    <t>Place 1 Reed on the next 4 Round spaces. At the start of these rounds, you receive the Reed.</t>
  </si>
  <si>
    <t>Reeve</t>
  </si>
  <si>
    <t>f058c39a-63a1-47c4-a432-893ba638e1e0</t>
  </si>
  <si>
    <t>Take 1/2/3/4 Wood if there are still 1/3/6/9 rounds to play. At the end of the game, all players with the most played Occupation cards receive 3 Bonus points each.</t>
  </si>
  <si>
    <t>Renovator</t>
  </si>
  <si>
    <t>d5073704-bc26-4a5e-ba61-63941c5acbcd</t>
  </si>
  <si>
    <t>Pay 2 less Clay to renovate to a Clay hut, and pay 2 less Stone to renovate to a Stone house.</t>
  </si>
  <si>
    <t>Seasonal Worker</t>
  </si>
  <si>
    <t>3d894c5c-7bfd-4b4e-966c-4180ba993dfb</t>
  </si>
  <si>
    <t>Whenever you use the "Day Laborer" action space, you receive 1 additional Grain. From Round 6, you can choose to receive 1 Vegetable instead.</t>
  </si>
  <si>
    <t>Shepherd</t>
  </si>
  <si>
    <t>8c1c7af3-b963-498e-9717-7ee8201b0222</t>
  </si>
  <si>
    <t>During each Harvest, if you have at least 4 Sheep during the Breeding phase, you receive 2 lambs instead of 1 as long as you have room for them.</t>
  </si>
  <si>
    <t>Stablehand</t>
  </si>
  <si>
    <t>8a37aca5-7396-4228-a577-24e88da867dc</t>
  </si>
  <si>
    <t>Whenever you build at least 1 fence, you also receive 1 stable which you must build immediately. (This may be built inside or outside the fenced area.)(You do not need to pay any Wood for the stable.)</t>
  </si>
  <si>
    <t>Stockman</t>
  </si>
  <si>
    <t>dcc8c2f7-1377-4804-9559-7b4719b42747</t>
  </si>
  <si>
    <t>Stone Carrier</t>
  </si>
  <si>
    <t>88cbd69f-ee7a-46c0-a8be-e4d7da3108fb</t>
  </si>
  <si>
    <t>Whenever you take Stone with an action, you can also take 1 additional Stone. If you also receive other building resources, this costs you 1 Food.</t>
  </si>
  <si>
    <t>Stonecutter</t>
  </si>
  <si>
    <t>862af2bb-19d7-44d5-a6f0-387c5448c01f</t>
  </si>
  <si>
    <t>All Improvements, Rooms and Renovations cost 1 Stone less.</t>
  </si>
  <si>
    <t>Storyteller</t>
  </si>
  <si>
    <t>7511689e-1335-42d4-a024-516da560b404</t>
  </si>
  <si>
    <t>Whenever you use the "Traveling Players" action on an Action space, you can leave 1 Food on the space and receive 1 Vegetable instead.</t>
  </si>
  <si>
    <t>Swineherd</t>
  </si>
  <si>
    <t>3e514a79-50a3-4c4f-9912-0225b403b705</t>
  </si>
  <si>
    <t>Whenever you use the "1 Wild Boar" action space, you receive 1 additional Wild boar from the supply. (The "1 Wild Boar" action space is added in Stage 3.)</t>
  </si>
  <si>
    <t>Tenant Farmer</t>
  </si>
  <si>
    <t>1e16f539-c91d-40c3-9640-bcda0fba4dca</t>
  </si>
  <si>
    <t>You immediately receive a loan of one of each type of animal. Before scoring, return the 3 animals. For each animal that you cannot or do not want to return, you lose 1 point.</t>
  </si>
  <si>
    <t>Thatcher</t>
  </si>
  <si>
    <t>b389c2d3-511e-477a-b22f-9f64cf6aef46</t>
  </si>
  <si>
    <t>Pay 1 Reed less to build each room, for each Renovation, and for each of the Water Mill, Half-timbered House, Chicken Coop, Holiday House, Mansion and Corn Storehouse.</t>
  </si>
  <si>
    <t>Tutor</t>
  </si>
  <si>
    <t>85833a8b-fb00-4f2f-a924-0d396ee78a67</t>
  </si>
  <si>
    <t>At the end of the game, you receive 1 Bonus point for each Occupation that you play after this one.</t>
  </si>
  <si>
    <t>Undergardener</t>
  </si>
  <si>
    <t>f80f8a0b-c5fb-4f6a-b441-7f58be2b7923</t>
  </si>
  <si>
    <t>Whenever you use the "Day Laborer" Action space, you also receive 1 Vegetable.</t>
  </si>
  <si>
    <t>Woodcutter</t>
  </si>
  <si>
    <t>5b116183-78a2-4da5-845f-9046ae3308b4</t>
  </si>
  <si>
    <t>You receive 1 additional Wood whenever you use a Family member's action to take Wood.</t>
  </si>
  <si>
    <t>Wooden Hut Builder</t>
  </si>
  <si>
    <t>ad24ddf9-e926-4020-8243-a3f98ca4fdd0</t>
  </si>
  <si>
    <t>At the end of the game, you receive 1 bonus point for each room in your Wooden hut.</t>
  </si>
  <si>
    <t>Yeoman Farmer</t>
  </si>
  <si>
    <t>b7f9d754-2c92-4ce7-9c81-abe5d14984d0</t>
  </si>
  <si>
    <t>At the end of the game, you only lose points for Unused spaces and Begging cards.</t>
  </si>
  <si>
    <t>Agrarian</t>
  </si>
  <si>
    <t>a2a1cb1e-fe35-405c-816a-e775b234f1c9</t>
  </si>
  <si>
    <t>At the start of each round, you may place 1 Food from your supply on the "Plow 1 field" Action space. Any player that uses that space also receives the Food. At the end of the round, if the space has not been used, you take the Food back and may Plow 1 field.</t>
  </si>
  <si>
    <t>Animal Welfarist</t>
  </si>
  <si>
    <t>3342405f-5559-46b7-8f8a-0c9b4768bb99</t>
  </si>
  <si>
    <t>At the end of each Work phase in which you used both the "Build Stables" action on an Action space and the "Build Fences" action on an Action space, you receive 1 animal of each kind.</t>
  </si>
  <si>
    <t>Art Director</t>
  </si>
  <si>
    <t>a9e7c21d-6e0c-4d5b-a3aa-f5611cf188cc</t>
  </si>
  <si>
    <t>Whenever you use the "Traveling Players" Action, you receive an additional 1 Food and a building resource of your choice.</t>
  </si>
  <si>
    <t>Award Winner</t>
  </si>
  <si>
    <t>9cd91d0f-c8e4-4b6e-8021-a1793e75a2e9</t>
  </si>
  <si>
    <t>Once per round, when you build a Major or Minor Improvement, you may pay 1 additional building resource of those already paid for 1 Bonus Point.</t>
  </si>
  <si>
    <t>seanmemphis</t>
  </si>
  <si>
    <t>Benefactor</t>
  </si>
  <si>
    <t>b5406897-1f83-40eb-ba35-c56a4b0305fc</t>
  </si>
  <si>
    <t>Once during the game, when you have 4 fenced pastures, you may return 1 animal to the supply to extend your Wooden hut by 1 room at no cost.</t>
  </si>
  <si>
    <t>Boatswain</t>
  </si>
  <si>
    <t>8c7cb93d-2864-465c-80d5-ca8fbffdb6af</t>
  </si>
  <si>
    <t>Whenever you use the "Fishing" Action space, you may place 1 Grain from the supply on each of your empty plowed fields. These fields are now considered planted fields. (This does not count as a "Sow" action)</t>
  </si>
  <si>
    <t>Cabbage Lover</t>
  </si>
  <si>
    <t>ea088ef3-b060-4ff6-97d7-95ef5dabefd1</t>
  </si>
  <si>
    <t>When you play this card, you receive 1 Vegetable. For each Vegetable that you convert into Food, you can place 1 Clay from your personal supply on this card. At the end of the game, you receive 1 Bonus point for each Clay on this card, up to a maximum of 5 points.</t>
  </si>
  <si>
    <t>Card Player</t>
  </si>
  <si>
    <t>3df48faf-ae4b-4e81-8d97-6874bcc40d37</t>
  </si>
  <si>
    <t>From bottom to top, stack 1 Stone, Reed, Clay, and Wood on this card. At the end of each round, move the top resource to the bottom of the stack. Whenever you receive the top/bottom resource type, take 1 additional/fewer resource of that type. (Take from or move the resource to the supply).</t>
  </si>
  <si>
    <t>Cat Lover</t>
  </si>
  <si>
    <t>ed32650c-625a-4f68-8574-8f87ce4d8a7b</t>
  </si>
  <si>
    <t>If there are 1/2/4/7 animals on your farm, you may pay 1/2/3/4 fewer building resources of your choice for each new Wooden room.</t>
  </si>
  <si>
    <t>Cattle Dealer</t>
  </si>
  <si>
    <t>d98bdb99-7def-4175-97ae-fbd717e03001</t>
  </si>
  <si>
    <t>Whenever you fence a new pasture that covers at least 3 farmyard spaces, you can pay 1 Reed to receive 2 Cattle.</t>
  </si>
  <si>
    <t>really_unknow4</t>
  </si>
  <si>
    <t>Child Care Worker</t>
  </si>
  <si>
    <t>6299e45b-5063-40fe-b880-845332e1a268</t>
  </si>
  <si>
    <t>Whenever another player uses a "Family Growth" action, you may convert 1 Wood to 2 Food, or 1 Wood and 1 Reed to 5 Food.</t>
  </si>
  <si>
    <t>Cocotte</t>
  </si>
  <si>
    <t>6ace4baa-6a25-41cb-86f7-c2a80801c497</t>
  </si>
  <si>
    <t>Whenever you use the "Day Laborer" Action space, you can also play a Minor Improvement or pay 1 Food to play a Major Improvement.</t>
  </si>
  <si>
    <t>Convict Number 24601</t>
  </si>
  <si>
    <t>514897fd-09ea-478f-9df6-5ce2a413ed53</t>
  </si>
  <si>
    <t>Starting from next round, you cannot take actions with 1 of your Family members. At the end of the game, you receive 2 Bonus Points for every round after playing this card, including the current round.</t>
  </si>
  <si>
    <t>Country Doctor</t>
  </si>
  <si>
    <t>934dae21-3da1-4506-9236-4bebf6c2dd66</t>
  </si>
  <si>
    <t>Once during the game, when you have 3 planted Grain fields, you may play the "Family growth" action as "Family growth even without room".</t>
  </si>
  <si>
    <t>Cowboy And Mother</t>
  </si>
  <si>
    <t>f51864d7-151c-40f5-a612-288eb3da8fee</t>
  </si>
  <si>
    <t>From Round 4 on, at the end of any Work phase in which you used 2 or fewer Action spaces and have 2 or fewer Family members, you receive 1 Food. From Round 8/12, you may choose to receive an animal/Plow 1 field instead.</t>
  </si>
  <si>
    <t>Debt Collector</t>
  </si>
  <si>
    <t>89fdbc68-a1a5-4877-a315-faec44829eca</t>
  </si>
  <si>
    <t>When you play this card, place a Guest token on any Round space at least 3 higher than the current round. At the start of that round, pay the Starting player (which may be you) 1 Food and place the Guest. After that, play starts with the starting player as usual.</t>
  </si>
  <si>
    <t>Dove Hunter</t>
  </si>
  <si>
    <t>ea87dc4a-6640-46e2-8c0e-a5f9b1af6d20</t>
  </si>
  <si>
    <t>In the Feeding phase of each Harvest, the Chandler can convert either 1 Sheep to 4 Food or 1 Cattle to 6 Food.</t>
  </si>
  <si>
    <t>kadolec</t>
  </si>
  <si>
    <t>Drawing Genius</t>
  </si>
  <si>
    <t>6b17d867-f152-4621-a06b-b265cd305ac7</t>
  </si>
  <si>
    <t>Immediately after using the most recent Round card, you may play 1 Major or Minor Improvement. (Pay costs for the Improvement normally.)</t>
  </si>
  <si>
    <t>Drinker of Absinthe</t>
  </si>
  <si>
    <t>1e60bea7-4f98-448e-bb20-28336c756540</t>
  </si>
  <si>
    <t>Place 1 Food each on the spaces for rounds 7 to 14. At the start of these rounds, you receive the Food.</t>
  </si>
  <si>
    <t>Fencing Master</t>
  </si>
  <si>
    <t>d0739b6a-ebb0-42c6-9db7-e4376ff059e2</t>
  </si>
  <si>
    <t>Whenever you play an Occupation (including this one), place up to 2 fences from your supply on this card. From your 4th Occupation on, place up to 1 fence instead. You build these fences for free when taking a "Fences" Action.</t>
  </si>
  <si>
    <t>Fiddler</t>
  </si>
  <si>
    <t>c373d0d1-57f7-4448-b9ce-e9985dd4c205</t>
  </si>
  <si>
    <t>At the end of each round in which you did not receive any Building resources, you receive 1 Wood. If its an evennumbered round, you additionally receive 1 Food.</t>
  </si>
  <si>
    <t>Gardening Enthusiast</t>
  </si>
  <si>
    <t>627439d8-4164-4593-b53a-a3d376686717</t>
  </si>
  <si>
    <t>You immediately receive a loan of 1 Grain and 1 Vegetable. Before scoring, return the 2 crops from your supply. For each crop that you cannot or choose not to return, you receive 1 Negative point.</t>
  </si>
  <si>
    <t>Good Friend</t>
  </si>
  <si>
    <t>d91c52cf-a6af-4c5c-855b-1560b64c7901</t>
  </si>
  <si>
    <t>Place 3 Wood, 2 Clay, 2 Stone, and 1 Reed on this card. Whenever another player pays building resources to build a Minor Improvement, you may take 1 building resource of the same type from this card.</t>
  </si>
  <si>
    <t>Grain Speculator</t>
  </si>
  <si>
    <t>bb83592c-adf1-4ae3-b2cb-97209f7ddcf9</t>
  </si>
  <si>
    <t>Add 1, 3, and 5 to the current round and place 1 Grain on each corresponding Round space. At the start of these rounds, you receive the Grain.</t>
  </si>
  <si>
    <t>Harvester</t>
  </si>
  <si>
    <t>ee0a41b2-30e6-4844-939b-20723500353e</t>
  </si>
  <si>
    <t>If there are still 1/3/6/9 rounds to play, you immediately receive 1/2/3/4 Wood. At the end of the game, all players who harvest at least 5 goods during the final Harvest receive 3 Bonus points.</t>
  </si>
  <si>
    <t>Head Of The Revolution</t>
  </si>
  <si>
    <t>23f5fb40-3ad6-43b7-9b42-733d28497ec8</t>
  </si>
  <si>
    <t>If there are still 1/3/6/9 rounds to play, you immediately receive 1/2/3/4 Wood. After playing this card, the next player to have no Unused farmyard spaces (who currently has Unused spaces) receives 3 Bonus points.</t>
  </si>
  <si>
    <t>Immigrants Son</t>
  </si>
  <si>
    <t>7ac6b573-bb5e-4754-bbb4-195e9e753c5d</t>
  </si>
  <si>
    <t>When you play your 5th, 6th and 7th Occupation, you can Plow 1 field immediately afterward. (You cannot Plow immediately if you play this card as your 5th, 6th, or 7th Occupation.)</t>
  </si>
  <si>
    <t>luxor</t>
  </si>
  <si>
    <t>Journeyman</t>
  </si>
  <si>
    <t>acc5d14d-0819-42c2-80f8-c074cfc0546c</t>
  </si>
  <si>
    <t>Once you have a Stone house, you can pay 1 Food at the start of each round for 1 animal of your choice.</t>
  </si>
  <si>
    <t>Landscape Gardener</t>
  </si>
  <si>
    <t>401ab8ba-1bb3-45e5-b1c3-0633e1d76530</t>
  </si>
  <si>
    <t>When you Sow, you may Sow on this card as if it were 2 fields. When you play this card, you may take a "Sow" action. (This card does not count as a field when scoring.)</t>
  </si>
  <si>
    <t>Lemon Trader</t>
  </si>
  <si>
    <t>5392975a-005b-4b7e-b5de-27bb45b06b1e</t>
  </si>
  <si>
    <t>Twice per round, you may exchange 1 Grain from your supply for 1 building resource, or 1 Vegetable from your supply for 2 different building resources.</t>
  </si>
  <si>
    <t>Manual Labourer</t>
  </si>
  <si>
    <t>937a9b52-c35f-4c44-b235-90de1d205f26</t>
  </si>
  <si>
    <t>At the end of each round in which you received exactly 1 type of building resource (in any way), you also receive 1 more building resource of that type.</t>
  </si>
  <si>
    <t>Martial Artist</t>
  </si>
  <si>
    <t>20aa6037-bb3c-4404-9ac2-8ec14c9c3e77</t>
  </si>
  <si>
    <t>At the start of each Harvest, you may discard up to 2 Minor Improvements from your hand to receive 2 Food each.</t>
  </si>
  <si>
    <t>hemo</t>
  </si>
  <si>
    <t>Mastermind</t>
  </si>
  <si>
    <t>04ea85f2-d5c3-4672-b233-0376be1481cf</t>
  </si>
  <si>
    <t>At the end of the game, you receive 1 Bonus Point for each card with a Bonus point symbol that you play after this one. (An example of a Bonus point symbol appears on the bottom of this card.)</t>
  </si>
  <si>
    <t>woodnoggin</t>
  </si>
  <si>
    <t>Miser</t>
  </si>
  <si>
    <t>d3b220a0-6046-4a35-ad26-4bcaac7d5250</t>
  </si>
  <si>
    <t>Whenever you use a "Build Room(s)" action on an Action space, you may pay 1 Wood/ Clay/ Stone less and 1 Reed less if you build exactly 1 Wood/ Clay/ Stone room. (It is irrelevant whether you build stables.)</t>
  </si>
  <si>
    <t>Musketeer</t>
  </si>
  <si>
    <t>87bb38cc-c214-4aba-bb7c-09f83445a32e</t>
  </si>
  <si>
    <t>Place an Arrow marker in the intersection between 4 Action spaces. At the end of each Work phase, if 2/3/4 of those spaces are occupied by your Family members, you receive 1 Sheep / Wild boar / Cattle.</t>
  </si>
  <si>
    <t>Oceanographer</t>
  </si>
  <si>
    <t>dccf191f-330a-47a4-86fe-fd6d058e3a38</t>
  </si>
  <si>
    <t>Pile (from bottom to top) 1 Vegetable, 1 Stone, 1 Grain, 1 Clay, 1 Wood on this card. Whenever you Plow exactly 1 field, you may receive the top item.</t>
  </si>
  <si>
    <t>Parquet Setter</t>
  </si>
  <si>
    <t>ea5e85f1-2d77-49dd-8d8b-20f3a6edd30b</t>
  </si>
  <si>
    <t>At the end of each Work phase in which you reduced the number of your unused farmyard spaces, you receive 1 Wood. If you reduced it by 2 or more spaces, you also receive 1 Food.</t>
  </si>
  <si>
    <t>Pasteurization Expert</t>
  </si>
  <si>
    <t>3b50752e-0239-41f3-9ae6-4ef7af0b5b87</t>
  </si>
  <si>
    <t>Pile (from bottom to top) 1 Cattle, Sheep, Wild boar, Sheep on this card. You receive the top item when you receive that type of animal outside of the Breeding phase of Harvest.</t>
  </si>
  <si>
    <t>Pear Peeler</t>
  </si>
  <si>
    <t>c616c107-8918-4101-9847-84be1ec6c8cc</t>
  </si>
  <si>
    <t>Whenever you use an action to take Wood from an Action space, you may leave 1/2/3 Wood on the space and take 1 Grain/ Vegetable/ Grain and Vegetable in exchange.</t>
  </si>
  <si>
    <t>Pipe Smoker</t>
  </si>
  <si>
    <t>19252dbd-458e-4f9a-a139-2c6243617902</t>
  </si>
  <si>
    <t>Whenever you have at least 1 planted Grain field at the start of a Harvest, you receive 2 Wood.</t>
  </si>
  <si>
    <t>Powerhouse</t>
  </si>
  <si>
    <t>848af3f2-bd0f-46a4-9071-de6e2ca8762a</t>
  </si>
  <si>
    <t>Whenever you have at least 3/5 Stone in your supply at the start of the Work phase, you receive 1/2 Food.</t>
  </si>
  <si>
    <t>Prefect</t>
  </si>
  <si>
    <t>b8205aac-0e5d-4863-875c-5eb6d78ff994</t>
  </si>
  <si>
    <t>You receive 1 Food for each Occupation and for each Improvement used by any player to convert building resources to Food during Harvest.</t>
  </si>
  <si>
    <t>Prosecutor</t>
  </si>
  <si>
    <t>3e846dc6-7f28-43de-a612-bc00da7ddb4b</t>
  </si>
  <si>
    <t>If you have fewer Improvements than 2/3/4 other players, you may pay 1/2/3 building resource less of your choice when you play an Improvement.</t>
  </si>
  <si>
    <t>Racing Stable Manager</t>
  </si>
  <si>
    <t>d1836ec3-892a-47ea-9eeb-ba0f8f1d6bda</t>
  </si>
  <si>
    <t>Whenever you build at least 1 stable, you may also pay 1 Food to immediately Plow 1 field.</t>
  </si>
  <si>
    <t>Reformer</t>
  </si>
  <si>
    <t>7caae78e-f3b9-40c1-804a-c3244a727c0b</t>
  </si>
  <si>
    <t>You may keep any 1 animal on each of your played Occupation cards.</t>
  </si>
  <si>
    <t>Sailboat Constructor</t>
  </si>
  <si>
    <t>ab24b310-98df-45b6-bc18-33cc6c3e2073</t>
  </si>
  <si>
    <t>Place 4 stacks of resources on this card: 3 Wood, 3 Clay, 2 Stone, and 1 Grain with 1 Vegetable. In the Field phase of each Harvest you can buy (some or all of) these stacks. Pay 2/3/4/5 Food for the 1st/ 2nd/ 3rd/ 4th stack you buy.</t>
  </si>
  <si>
    <t>Sculptors Son</t>
  </si>
  <si>
    <t>27397538-32fe-41dd-9938-7491adffe706</t>
  </si>
  <si>
    <t>If you have the Joinery/ Pottery/ Basketmaker's Workshop or their upgrades, you receive an additional 2 Wood/ 2 Clay/ 1 Reed whenever you use a Family member's action to take only Wood/ Clay/ Reed.</t>
  </si>
  <si>
    <t>Shovel Worker</t>
  </si>
  <si>
    <t>dd4a3cba-b06f-4cb6-a566-a30f7acac437</t>
  </si>
  <si>
    <t>In the Field phase of each Harvest, you receive 1/2/3/4 Food if you have 2/3/4/5 pastures.</t>
  </si>
  <si>
    <t>dshin</t>
  </si>
  <si>
    <t>Stage Star</t>
  </si>
  <si>
    <t>a8150758-7d6b-41ec-85a2-141c71b7265d</t>
  </si>
  <si>
    <t>If you play this card in Stage 1, you immediately receive 6 wood. Whenever another player uses the "Traveling Player" action, you must pay him 1 Wood if you have any in your supply.</t>
  </si>
  <si>
    <t>Stroller</t>
  </si>
  <si>
    <t>4d8afdf9-3769-4cc5-bfcb-a31c7fba256b</t>
  </si>
  <si>
    <t>Pile 6 building resources of your choice, but including at least 1 of each type, on this card in any order. During the Field phase of each Harvest, you receive the top item.</t>
  </si>
  <si>
    <t>Sun Farmer</t>
  </si>
  <si>
    <t>018c4869-80b1-4348-b1a8-8d9995a9c662</t>
  </si>
  <si>
    <t>Whenever you use the "Take 1 Grain" action, you receive 1 additional Sheep. Whenever you use the accumulating "Sheep" action, you receive 1 additional Grain.</t>
  </si>
  <si>
    <t>milkmaid</t>
  </si>
  <si>
    <t>Tower Builder</t>
  </si>
  <si>
    <t>81b57954-548e-485b-a04b-9eb8d6710eaa</t>
  </si>
  <si>
    <t>If you are the only player to have only 2 rooms in your home and you use a "Build rooms" action on an Action space to build at least 1 room, you may build 1 additional room for free.</t>
  </si>
  <si>
    <t>Trailblazer</t>
  </si>
  <si>
    <t>1b605c47-cdf7-4b0e-9f56-ed654654fb12</t>
  </si>
  <si>
    <t>At the start of each round, if you have no empty plowed fields on your farm, you may pay 1 Food to Plow 1 field.</t>
  </si>
  <si>
    <t>Turkey Breeder</t>
  </si>
  <si>
    <t>6b76f9cc-72d6-4c01-9622-2d57bd09a768</t>
  </si>
  <si>
    <t>You may immediately build up to 4 fences and 1 stable for free. At the end of the final Harvest, you must return 4 Wood to the general supply. If you cannot, you must take 1 Begging Card for each Wood you cannot return.</t>
  </si>
  <si>
    <t>hako</t>
  </si>
  <si>
    <t>Unicycle Driver</t>
  </si>
  <si>
    <t>81c88d37-6b2e-485d-9d73-10735704872a</t>
  </si>
  <si>
    <t>At the start of each round, you may pay 1 Stone to place 1 of your unused fences as a road between 2 orthogonally adjacent Action spaces. At the end of each Work phase, you may use 1 empty Action space with a road to one occupied by you.</t>
  </si>
  <si>
    <t>Village Druid</t>
  </si>
  <si>
    <t>e01d72bc-42f9-4cb6-b0fe-69b8a5264989</t>
  </si>
  <si>
    <t>In the future, whenever you play an Occupation, you receive 1 Sheep afterward.</t>
  </si>
  <si>
    <t>Wealthiest European</t>
  </si>
  <si>
    <t>3b235002-0600-4e32-a7ba-124ff69e2a3b</t>
  </si>
  <si>
    <t>If this is your first Occupation, immediately take 1 building resource of your choice for each completed round of the game.</t>
  </si>
  <si>
    <t>Wood Gatherers</t>
  </si>
  <si>
    <t>9cf9ebf2-40c4-4200-ada9-343dd492f579</t>
  </si>
  <si>
    <t>Each round, if you spend 4 or more Wood for Improvements, rooms, stables, or fences, you receive 2 Wood at the end of the round.</t>
  </si>
  <si>
    <t>Workaholic</t>
  </si>
  <si>
    <t>92baeb00-331d-4926-a018-4db1f3022e91</t>
  </si>
  <si>
    <t>When you play the card, if there are no animals on your farm, place 5 Wood, 4 Clay, and 3 Stone on this card. At any time, if you have 5/7/9 animals, you receive all the Wood/Clay/ Stone on this card.</t>
  </si>
  <si>
    <t>Writing Maniac</t>
  </si>
  <si>
    <t>219f3961-0ae9-486c-ba59-5e3b3ef12ff6</t>
  </si>
  <si>
    <t>Place 1 Occupation (from your hand) face down on each space for rounds 5,7,9, and 11. At the start of these rounds, you can pay 2 Food to play the Occupation. If you do not, return it to your hand.</t>
  </si>
  <si>
    <t>Acater</t>
  </si>
  <si>
    <t>70c458b3-1a63-4a16-b51d-dec8ea45e49f</t>
  </si>
  <si>
    <t>Whenever you place Food from the supply on a future Round space you may place 1 additional Food per space.</t>
  </si>
  <si>
    <t>Acquirer</t>
  </si>
  <si>
    <t>eda9ed1c-489e-4c8b-9e6f-b4906156d4d4</t>
  </si>
  <si>
    <t>At the start of each round, you may pay Food equal to the number of Family members you have to buy 1 Good of your choice from the supply.</t>
  </si>
  <si>
    <t>grummelbaum</t>
  </si>
  <si>
    <t>Alms Collector</t>
  </si>
  <si>
    <t>a4b86932-afac-4f2c-ae8a-73ac7e248786</t>
  </si>
  <si>
    <t>When you play this card, if it is your first Occupation, you receive 1 Food for every other Occupation in play (by any player) up to a maximum 7 Food.</t>
  </si>
  <si>
    <t>Animal Husbandry Worker</t>
  </si>
  <si>
    <t>f8d781eb-79c8-4a37-a405-3512c9bc5566</t>
  </si>
  <si>
    <t>If there are still 3/6/9 rounds to play, you may immediately take a "Fences" action and pay 2/3/4 Wood less. At the end of the game, all players with the most pastures receive 2 Bonus points.</t>
  </si>
  <si>
    <t>Animal Renovator</t>
  </si>
  <si>
    <t>f00cf5eb-8b4b-4fa3-b17a-3bc09c2d8415</t>
  </si>
  <si>
    <t>This card can hold 2/4 Animals of your choice if you live in a Clay Hut/Stone house. When you play this card, you may renovate your Wooden Hut.</t>
  </si>
  <si>
    <t>Animal Tamer's Apprentice</t>
  </si>
  <si>
    <t>800ed63b-e7a5-4eba-8e36-b7dffc46d2f0</t>
  </si>
  <si>
    <t>At the start of each round, you receive 1 Sheep/Wild boar/Cattle for each Wood/ Clay/Stone room in your home that is not occupied by a Family member.</t>
  </si>
  <si>
    <t>Appraiser</t>
  </si>
  <si>
    <t>d7b222cf-7047-4297-98d4-9915c063588c</t>
  </si>
  <si>
    <t>Whenever you play an Improvement with at least 2 different Building resources in the printed cost, you receive 1 Wood and 1 Food before paying the costs of the Improvement.</t>
  </si>
  <si>
    <t>Archer</t>
  </si>
  <si>
    <t>62ace5bd-5dc3-4eea-9ca8-b17c6561243a</t>
  </si>
  <si>
    <t>Whenever you receive animals from an Action space, immediately afterward you receive 1/2/3 Wood if you have 1/2/3+ people on Action spaces that provide animals.</t>
  </si>
  <si>
    <t>Balance Farmer</t>
  </si>
  <si>
    <t>d39b536c-cfbf-4045-84c2-773cd06d9d92</t>
  </si>
  <si>
    <t>At the start of each round, if you have 2/3/4 types of building resources with the same amount (except 0), you receive 1/2/3 Food.</t>
  </si>
  <si>
    <t>ddxu2</t>
  </si>
  <si>
    <t>Banana Worker</t>
  </si>
  <si>
    <t>16fe0399-eee3-425f-b6c0-6becbbaa0ac6</t>
  </si>
  <si>
    <t>When you play this card, you receive 1 Wood and 1 Clay. Then you may play a Minor Improvement card by paying its costs.</t>
  </si>
  <si>
    <t>Bargain Hunter</t>
  </si>
  <si>
    <t>28ee033f-38ab-49e4-b1c3-d27ffecded4c</t>
  </si>
  <si>
    <t>At the start of each round, you may place 1 Food from your supply on the "Traveling Players" Action space to play a Minor Improvement. (The next player to use the Action space receives the Food.)</t>
  </si>
  <si>
    <t>Bargaining Harvester</t>
  </si>
  <si>
    <t>b28f5154-d4b6-4a19-a8c6-f7901c4480cc</t>
  </si>
  <si>
    <t>Whenever you harvest 1/2/3/4+ Goods you receive 1 Food/1 Sheep/1 Wild Boar/1 Animal of your choice.</t>
  </si>
  <si>
    <t>Barn Master</t>
  </si>
  <si>
    <t>d1a97332-b420-46d7-aa13-9bdfbb86a5d9</t>
  </si>
  <si>
    <t>When you play this card, you can build 1 Stable at no cost in each of your pastures that can not contain any more animals than it does.</t>
  </si>
  <si>
    <t>Barrel Maker</t>
  </si>
  <si>
    <t>c5829ccb-916e-43c7-8751-1f02d10238ea</t>
  </si>
  <si>
    <t>Whenever you have at least 7 Wood at the start of a harvest, you receive 1 Wood and 2 Food.</t>
  </si>
  <si>
    <t>Beastmaster</t>
  </si>
  <si>
    <t>7aa2ed87-f4f1-4aeb-be6a-9d51e5cbd9fb</t>
  </si>
  <si>
    <t>You may no longer convert animals to Food. Whenever you use an animal Accumulation space, you receive an additional 3 Food. At the end of the game, you receive 1 Bonus point for each animal category in which you score the maximum 4 points.</t>
  </si>
  <si>
    <t>Beauty and the Beast</t>
  </si>
  <si>
    <t>ac5974bd-e378-43de-a572-0143a70f7559</t>
  </si>
  <si>
    <t>Whenever your second Family member uses an Action space orthogonally adjacent to the Action space occupied by your first Family member, you receive 2 Food.</t>
  </si>
  <si>
    <t>Blackberry Farmer</t>
  </si>
  <si>
    <t>faad0d4f-3557-416d-a7ba-23588944eb2d</t>
  </si>
  <si>
    <t>Whenever you build fences, place Food on each remaining round space, up to the number of fences just built. At the start of these rounds, you receive the Food.</t>
  </si>
  <si>
    <t>Boar Lord</t>
  </si>
  <si>
    <t>79669397-a20f-4dd8-b901-f8cbd28650b9</t>
  </si>
  <si>
    <t>At the start of each Harvest, if you are the only player with most Wild Boar, you may Plow 1 field.</t>
  </si>
  <si>
    <t>Boat Constructor</t>
  </si>
  <si>
    <t>a0595384-f1d8-414c-bb71-84b525844e05</t>
  </si>
  <si>
    <t>Whenever you use the "Fishing" Action space you receive 1 additional Food and 1 Wood.</t>
  </si>
  <si>
    <t>Bone Collector</t>
  </si>
  <si>
    <t>a475b44e-5ad2-4510-bd2d-19d8933bb3c6</t>
  </si>
  <si>
    <t>For each Wild Boar, Cattle, or 2 Sheep you convert into Food, you receive 1 Wood from the general supply.</t>
  </si>
  <si>
    <t>Botanist</t>
  </si>
  <si>
    <t>5fd48d84-b753-4073-a476-7e276221f1bb</t>
  </si>
  <si>
    <t>Whenever you use a Stone Accumulation space, you receive 1 additional Food and 1 Grain or 1 Vegetable.</t>
  </si>
  <si>
    <t>Bowyer</t>
  </si>
  <si>
    <t>47273ab5-3daf-404d-b391-b460c6c176b3</t>
  </si>
  <si>
    <t>Whenever another player takes Sheep/Boar/Cattle from an action space, you receive 1 Food/1 Wood/1 Stone.</t>
  </si>
  <si>
    <t>Braid Maker</t>
  </si>
  <si>
    <t>2fc702f4-3b32-46f5-8159-bd2965c4a88b</t>
  </si>
  <si>
    <t>For you, the Basket Maker's Workshop is a Minor Improvement and costs only 1 Reed and 1 Stone. In each Harvest, the Braid Maker can convert up to 1 Reed to 2 Food.</t>
  </si>
  <si>
    <t>Building Planner</t>
  </si>
  <si>
    <t>ab1f5d50-4818-4bd7-8a54-4c11f00d31fb</t>
  </si>
  <si>
    <t>Place 1 Stable on the space for round 6, 4 Fences on Round 8 and 1 Wooden Room on Round 10. At the start of these rounds, you can build each item and pay 1 Wood less.</t>
  </si>
  <si>
    <t>Burger Flipper</t>
  </si>
  <si>
    <t>4d360757-ab82-4c50-be1a-fa70ce959b93</t>
  </si>
  <si>
    <t>Whenever you use the "Traveling Players" or "Fishing" Action space, you may move exactly 1 Food from that space to the other space and receive 1 Cattle.</t>
  </si>
  <si>
    <t>joeknapp38</t>
  </si>
  <si>
    <t>Business Tutor</t>
  </si>
  <si>
    <t>ede9ac34-8f38-4b6c-8a03-f886bb34ead5</t>
  </si>
  <si>
    <t>Whenever you renovate your Wooden hut, you may play up to 2 Improvements by paying their costs. Whenever you renovate your Clay hut, you may pay 1 Food to play up to 2 Occupations.</t>
  </si>
  <si>
    <t>Cabinet Owner</t>
  </si>
  <si>
    <t>aec4724c-6e81-4cda-91f3-18c4fbf8cfb0</t>
  </si>
  <si>
    <t>If there are still 1/3/6/9 rounds to play, you receive 1/2/3/4 Wood. At the end of the game, players who have the most played Improvements with a printed Wood cost receive 3 Bonus points each.</t>
  </si>
  <si>
    <t>Cactus Lover</t>
  </si>
  <si>
    <t>eb81fcaf-4841-49cb-b815-5d342f50b1d4</t>
  </si>
  <si>
    <t>When you play this card, for each built stable in your farm, you may immediately play 1 Major or Minor Improvement by paying its costs.</t>
  </si>
  <si>
    <t>Casino Manager</t>
  </si>
  <si>
    <t>08f3bd93-436d-49e6-984f-f2fea01af351</t>
  </si>
  <si>
    <t>If there are still 1/3/6/9 rounds to play, you immediately receive 1/2/3/4 Wood. At the end of the game, all players with the fewest remaining playing pieces (Family members, fences, and stables) in their supply receive 3 Bonus points each.</t>
  </si>
  <si>
    <t>Cattle Rancher</t>
  </si>
  <si>
    <t>c029d411-e369-48e8-bb9b-cd967d71c00e</t>
  </si>
  <si>
    <t>Whenever you use the "Day Laborer" Action space, you may pay 1 Food for 1 Cattle. From Round 6, this costs you nothing.</t>
  </si>
  <si>
    <t>Champion Breeder</t>
  </si>
  <si>
    <t>5610a0dd-4e07-4100-a62b-98a8a3e5dcdc</t>
  </si>
  <si>
    <t>Whenever you place 2/3 newborn animals on your farm during the Breeding phase of the Harvest, you receive 1/2 Bonus points.</t>
  </si>
  <si>
    <t>Cheapskate</t>
  </si>
  <si>
    <t>4f3d9804-2767-44e5-bdc0-5e9a308ee579</t>
  </si>
  <si>
    <t>When you play this card, if it is your third Occupation, you may immediately pay 1 Food to play another Occupation and/or immediately play a Minor Improvement by paying its cost.</t>
  </si>
  <si>
    <t>Chess Player</t>
  </si>
  <si>
    <t>c72b11a4-4085-4c38-9f59-e93325f242e6</t>
  </si>
  <si>
    <t>When you use the r Reed action space you also receive 1 Stone. When you use the 1 Sheep action space you also receive 1 Wild Boar.</t>
  </si>
  <si>
    <t>brosset37</t>
  </si>
  <si>
    <t>Child Psychologist</t>
  </si>
  <si>
    <t>1102306b-d69d-413a-ad64-037d5920866a</t>
  </si>
  <si>
    <t>Whenever another player grows their family, you can pay 2 Food to the supply to play an Occupation.</t>
  </si>
  <si>
    <t>Circus Manager</t>
  </si>
  <si>
    <t>2f166d21-fa45-4eed-876d-3fd0bd69e97a</t>
  </si>
  <si>
    <t>Whenever you use your last person to choose the "Traveling Players" action on an Action space, you may immediately afterward pay 1 Food to play 1 Occupation.</t>
  </si>
  <si>
    <t>Clerk</t>
  </si>
  <si>
    <t>d60d72fe-c664-4ba1-9af1-be39552f84b7</t>
  </si>
  <si>
    <t>Immediately select a future round space and subtract the number of the current round from it. Place this many Food from the supply on that space. At the start of that round, you receive the Food.</t>
  </si>
  <si>
    <t>Coal Investor</t>
  </si>
  <si>
    <t>b94f3814-ea4c-4511-81d2-189fafb1967c</t>
  </si>
  <si>
    <t>If you play this card in Stage 1, place 4 Wood and 4 Clay on the space for Round 9. At the start of this round, you receive the resources.</t>
  </si>
  <si>
    <t>Coal Miner</t>
  </si>
  <si>
    <t>69e8a776-29f7-4435-aa00-807cf8098a60</t>
  </si>
  <si>
    <t>Whenever you use a Stone Accumulation space, you also receive 1 Wood and 1 Clay.</t>
  </si>
  <si>
    <t>Compost Farmer</t>
  </si>
  <si>
    <t>8069739d-f474-4151-b056-2138a975d991</t>
  </si>
  <si>
    <t>Whenever you use the "Plow 1 Field" or "Plow and/or Sow" Action space, you may pay 1 Wood to build 1 Stable.</t>
  </si>
  <si>
    <t>weky</t>
  </si>
  <si>
    <t>Cottar</t>
  </si>
  <si>
    <t>eaa5d180-100c-4757-a333-99a55cfd73eb</t>
  </si>
  <si>
    <t>Whenever, at the start of a round, no other player has less Food than you, you receive 1 Wood.</t>
  </si>
  <si>
    <t>Dairy Crier</t>
  </si>
  <si>
    <t>1a0f20a0-49c3-44c2-925f-7e44596bebe4</t>
  </si>
  <si>
    <t>When you play this card, each player can choose to receive 2 Sheep or 2 food. You receive 1 additional Cattle.</t>
  </si>
  <si>
    <t>Diligent Farmer</t>
  </si>
  <si>
    <t>dc3d69cb-6173-4613-ba9f-471ca9f23bfd</t>
  </si>
  <si>
    <t>When you play this card, if you would score the maximum 4 points in 3 scoring categories (including fenced stables), you can extend your home by 1 room at no cost.</t>
  </si>
  <si>
    <t>shiunyuans</t>
  </si>
  <si>
    <t>Drunkard</t>
  </si>
  <si>
    <t>ce9c56c7-6818-4009-be8d-7a83d348ad3c</t>
  </si>
  <si>
    <t>At the start of each Round, you may pay 1 Food. If you do, at the end of each Work phase, you may move 1 Person from the "Take 1 Grain" Action space to an unoccupied Action space and take that action.</t>
  </si>
  <si>
    <t>Dung Collector</t>
  </si>
  <si>
    <t>854ed0fb-f1ee-4e64-8ba6-38f926afc118</t>
  </si>
  <si>
    <t>Whenever you breed 2 or more newborn animals, you may pay 1 Food to Plow 1 field.</t>
  </si>
  <si>
    <t>power_sharpner</t>
  </si>
  <si>
    <t>Dusk Worker</t>
  </si>
  <si>
    <t>405a72eb-1e2c-46ab-89bf-d63a3bf849a2</t>
  </si>
  <si>
    <t>You may immediately Plow 1 field and build 1 or 2 free fences.</t>
  </si>
  <si>
    <t>Elder's Daughter</t>
  </si>
  <si>
    <t>e209dfd7-b8e0-4527-a64e-bc8a64e7c478</t>
  </si>
  <si>
    <t>If there are still 1/3/6/9 rounds to play, you immediately receive 1/2/3/4 Clay. At the end of the game, all players with the most Major Improvements receive 3 bonus points each.</t>
  </si>
  <si>
    <t>Employee of the Month</t>
  </si>
  <si>
    <t>125b960a-da88-4a60-8077-b6b0b44e87ff</t>
  </si>
  <si>
    <t>Place different Goods on each of the next Round spaces, up to the number of your played Occupations. (Nor counting this one.) At the start of these rounds, you receive the Good.</t>
  </si>
  <si>
    <t>Engineering Apprentice</t>
  </si>
  <si>
    <t>06fc36ca-e6ea-4f95-bda2-5d24c5dc838f</t>
  </si>
  <si>
    <t>When you play your and, 3rd, sth, and 7th Occupation, you can build 1 stable at no cost afterward. (If you play this card as your 2nd, 3rd, sth, or 7th Occupation, build 1 stable at no cost afterward.)</t>
  </si>
  <si>
    <t>Entrepreneur</t>
  </si>
  <si>
    <t>0b450c18-806e-49ae-8298-0579f128408d</t>
  </si>
  <si>
    <t>At the start of each round, you may move 1 Food from your supply to this card or 1 Food from this card to the general supply. If you do either, you receive 1 building resource of a type you do not currently have.</t>
  </si>
  <si>
    <t>Eremite</t>
  </si>
  <si>
    <t>8c6f92db-9767-4d3d-af56-bd9a197d3a16</t>
  </si>
  <si>
    <t>At the start of each round, if you have no played Minor Improvements in front of you, you receive 1 Food. At the start of each Harvest, if you have no played Minor Improvements in front of you, you receive 1 Wood.</t>
  </si>
  <si>
    <t>Experienced Farmer</t>
  </si>
  <si>
    <t>6055faa0-7ff4-4b34-aceb-3c1592146f0c</t>
  </si>
  <si>
    <t>Pile (from bottom to top) 1 Cattle, Cattle, Boar, Sheep, Vegetable, Grain on this card. At the start of each Harvest in which you have more plowed fields than any of the other players, you receive the top item.</t>
  </si>
  <si>
    <t>Family Physician</t>
  </si>
  <si>
    <t>90219e5e-738d-421d-8a87-0518444e1d16</t>
  </si>
  <si>
    <t>Whenever you use an action space orthogonally adjacent to 2/3/4+ action spaces occupied by other players Family members, you receive 1 Food/1 Grain/1 Vegetable before you take the action.</t>
  </si>
  <si>
    <t>Farm Overseer</t>
  </si>
  <si>
    <t>9bc3d283-47b1-4b0a-9ae3-7e2297eed34e</t>
  </si>
  <si>
    <t>Whenever you Plow at least 1 field you receive 1 Food for each stable on your farm. Whenever you build at least 1 stable you receive 1 Food for each plowed field on your farm.</t>
  </si>
  <si>
    <t>Farm Worker</t>
  </si>
  <si>
    <t>d553045c-848e-4e48-8737-0a44a37d1ff1</t>
  </si>
  <si>
    <t>Whenever you Plow 1 or more fields, you may convert 1 building resource into 3 Food for each field you just plowed.</t>
  </si>
  <si>
    <t>Field Agent</t>
  </si>
  <si>
    <t>752b156e-8796-4e39-8a70-ffde9074bfb2</t>
  </si>
  <si>
    <t>When you Plow at least 1 field, you can pay 2 food to get 1 Grain/Vegerable or do a Sow action.</t>
  </si>
  <si>
    <t>Field Barterer</t>
  </si>
  <si>
    <t>c8184495-e44f-4c89-8eb9-e0b60b74fa7b</t>
  </si>
  <si>
    <t>When you play this card, you may place up to 4 different building resources on it from your supply. At the start of each harvest, you may return a resource from this card to the supply to Plow 1 field.</t>
  </si>
  <si>
    <t>Field Doctor</t>
  </si>
  <si>
    <t>6b9c77e4-9f45-4e32-982d-40f81d52bed1</t>
  </si>
  <si>
    <t>Once during the game, if you live in a 2 room home surrounded by 4 plowed fields, you may play the "Family growth" action as "Family growth even without room".</t>
  </si>
  <si>
    <t>Football Player</t>
  </si>
  <si>
    <t>328cd657-0998-4751-9b0e-a1ae0e84833d</t>
  </si>
  <si>
    <t>Place a marker on the Round 1 Action space. Whenever you use the marked space, pay 0/1/2 Food and move the marker to the Round space that is 1/2/3 rounds greater. At the end of the game, you receive Bonus points equal to the Stage number where the marker is.</t>
  </si>
  <si>
    <t>mockingjay</t>
  </si>
  <si>
    <t>Fresh Dirt Worker</t>
  </si>
  <si>
    <t>31bcc024-0561-4af0-9890-e1ae341b1273</t>
  </si>
  <si>
    <t>At the start of each round if you have exactly 1/2/3 empty plowed field(s) you receive 1 Clay/Wood/building resource of your choice.</t>
  </si>
  <si>
    <t>Fresh Fence Worker</t>
  </si>
  <si>
    <t>7f980c60-4996-4430-b4d3-2e1ae069269c</t>
  </si>
  <si>
    <t>At the start of each round, if you have exactly 1/3/4/5 empty fenced pasture(s), you receive 1 Food/Sheep/Grain/Animal of your choice.</t>
  </si>
  <si>
    <t>Friendly Worker</t>
  </si>
  <si>
    <t>cefbba41-1b65-4a6c-8121-e26c63ac527a</t>
  </si>
  <si>
    <t>Each round, if you have a person on the "Day Laborer" Action space you may use non-accumulating Round 1-9 Action spaces even if they are occupied.</t>
  </si>
  <si>
    <t>Gardener's Wife</t>
  </si>
  <si>
    <t>0804a35c-6b97-4029-b4a8-10309114b517</t>
  </si>
  <si>
    <t>Whenever you grow your Family, you receive 1 Vegetable from the supply.</t>
  </si>
  <si>
    <t>Gelder</t>
  </si>
  <si>
    <t>e4ceeedb-c137-44dd-96dd-46fdc1ef9a41</t>
  </si>
  <si>
    <t>Place 4 Food on this card. Whenever you use an Animal accumulation space with exactly 1 Animal on it, you may remove 1 of these Food, to receive 1 Stone and 1 Bonus point.</t>
  </si>
  <si>
    <t>Giant</t>
  </si>
  <si>
    <t>0e5c758a-4136-47f8-8459-7edd7bb26548</t>
  </si>
  <si>
    <t>Each round you may take one of your people's actions twice. If you use an Accumulation space with that action, you get double the amount of Goods and/or Food. Each round, starting next round, you must place 1 fewer person.</t>
  </si>
  <si>
    <t>Gluten Free Baker</t>
  </si>
  <si>
    <t>a028aef3-2169-42a8-9d4d-37cba589d3d5</t>
  </si>
  <si>
    <t>You may not convert Grain to Food for the rest of the game. For you, the "Bake bread" action reads "Convert up to 2 Vegetables to 4 Food and 1 Bonus point each". When you play this card, you may take a "Bake bread" Action.</t>
  </si>
  <si>
    <t>wsefranc</t>
  </si>
  <si>
    <t>Graduate</t>
  </si>
  <si>
    <t>ae9402ea-19e7-4ff0-b599-0698af3b6eae</t>
  </si>
  <si>
    <t>If this is your 7th occupation, this card provides room for one Family member.</t>
  </si>
  <si>
    <t>Grain Seller</t>
  </si>
  <si>
    <t>1b24ae30-6848-4562-8084-00e2e3c25773</t>
  </si>
  <si>
    <t>At any time, you may pay 1/2/3 Grain for 1 Sheep/Boar/Cattle. When you play this card, you may move all your planted Grain to your supply. (This does not count as a harvest.)</t>
  </si>
  <si>
    <t>Grantor</t>
  </si>
  <si>
    <t>3ab924f8-2686-4755-b53b-d745b8bfd187</t>
  </si>
  <si>
    <t>When you play this card you receive 2 Food for each of your other played Occupations up to a maximum of 8 Food.</t>
  </si>
  <si>
    <t>Gym Trainer</t>
  </si>
  <si>
    <t>cdbbc8f0-87fc-4ee4-b24a-0cad7e0b1198</t>
  </si>
  <si>
    <t>Whenever you use your 4th or 5th person to take building resource(s) from an Action space, you also receive 1 Wood and 1 Food.</t>
  </si>
  <si>
    <t>Haberdasher</t>
  </si>
  <si>
    <t>13be6f0b-4456-495f-a2fd-bdc700ebc0ef</t>
  </si>
  <si>
    <t>When you play this card, you receive 1 Grain. Instead of the "Bake Bread" action on the corresponding Action space, you may take the "1 Minor Improvement" action and vice versa. (This card does not affect additional actions on those spaces.)</t>
  </si>
  <si>
    <t>Ham Glazer</t>
  </si>
  <si>
    <t>92254b6a-d10c-4ae5-a017-8117fd240018</t>
  </si>
  <si>
    <t>For you, the "Bake bread" action reads "Bake Bread and/or convert 1 Wild Boar to 6 Food". When you play this card, and each time another player takes a "Bake bread" action, you may convert 1 Wild Boar to 6 Food.</t>
  </si>
  <si>
    <t>Handmaid</t>
  </si>
  <si>
    <t>9d15a663-31a1-40cf-98c6-3cdae0ccf0d2</t>
  </si>
  <si>
    <t>Once during the game, when you have all the types of animals, you may play the "Family growth" action as "Family growth even without room"</t>
  </si>
  <si>
    <t>Hasty Trader</t>
  </si>
  <si>
    <t>e2587932-90f7-4bdc-98d2-69b567db684a</t>
  </si>
  <si>
    <t>When you play this card, you may convert as many building resources to Food as you have Family members. For each Wood or Clay, you receive 2 Food, for each Stone or Reed, you receive 3 Food.</t>
  </si>
  <si>
    <t>Hen Keeper</t>
  </si>
  <si>
    <t>e98ce41e-2fcf-4683-ac81-6377becb3060</t>
  </si>
  <si>
    <t>Whenever you harvest Grain you may place them on this card. The Grain cannot be used anymore but are counted as Grain at the end of the game. At the end of the game, you receive 1/2/3 Bonus points for 2/4/6 Grain on this card.</t>
  </si>
  <si>
    <t>Hewer</t>
  </si>
  <si>
    <t>b0caeb41-4bc3-4b63-b4f6-a2ded5601aff</t>
  </si>
  <si>
    <t>From Round 3, at the end of each round in which no player used a person to take Clay from an Action space, you receive 1 Stone and 1 Food.</t>
  </si>
  <si>
    <t>Hill Bandit</t>
  </si>
  <si>
    <t>58ed7ec1-14c8-40c1-bf5e-660829e18bc6</t>
  </si>
  <si>
    <t>Whenever another player builds an Improvement with a printed Clay cost, you receive 1 Food and 1 Clay.</t>
  </si>
  <si>
    <t>Hill Cultivator</t>
  </si>
  <si>
    <t>5775b061-c5b1-4732-a8f1-fa6cfcb7b38d</t>
  </si>
  <si>
    <t>Whenever you use the "Take 1 Grain"/"Take 1 Vegetable" Action space, you receive an additional 2/3 Clay.</t>
  </si>
  <si>
    <t>Historian</t>
  </si>
  <si>
    <t>a73ca263-184d-41e8-8912-6d912eb735f3</t>
  </si>
  <si>
    <t>When you play this card, you may place up to 4 different resources on it from your supply. At the start of each round, you may return a resource from this card to the supply to play an occupation.</t>
  </si>
  <si>
    <t>Guy</t>
  </si>
  <si>
    <t>Homesteader</t>
  </si>
  <si>
    <t>35239c49-15cd-47d3-8f3d-5065b5dd05f6</t>
  </si>
  <si>
    <t>At the start of Rounds 12, 13, and 14, you may Plow 1 field if you live ina Wooden Hut.</t>
  </si>
  <si>
    <t>graey</t>
  </si>
  <si>
    <t>Honour Student</t>
  </si>
  <si>
    <t>f2f73f29-2678-4dee-bbf9-583e9c8b1d86</t>
  </si>
  <si>
    <t>Pile (from bottom to top) 1 Stone, Vegetable, Wood, Grain, Sheep and Clay on this card. You receive the top item after you play an Occupation.</t>
  </si>
  <si>
    <t>Horseman</t>
  </si>
  <si>
    <t>71c0fcb4-6df9-48a3-aabf-8cd488194883</t>
  </si>
  <si>
    <t>At the start of each Harvest, you receive 1 Sheep/Wild boar/Cattle if you have 1/2/3+ fenced stable(s).</t>
  </si>
  <si>
    <t>Indentured Servant</t>
  </si>
  <si>
    <t>80496b38-4e73-4eba-b484-f7a37e41521a</t>
  </si>
  <si>
    <t>Indentured Servant Once any player has renovated to a Stone house, place 2 Food on each remaining Round space. At the start of these rounds, you receive the Food. (If a player has already renovated to Stone, place the Food immediately.)</t>
  </si>
  <si>
    <t>Inventory Manager</t>
  </si>
  <si>
    <t>b217b662-bbfb-4a80-aae5-3a828f782554</t>
  </si>
  <si>
    <t>Whenever you build an Improvement, you receive your choice of 1 Wood or Clay immediately after paying its cost.</t>
  </si>
  <si>
    <t>Joiner</t>
  </si>
  <si>
    <t>09bc1d83-cbf1-4521-95bc-c3ee20f5b3ba</t>
  </si>
  <si>
    <t>Whenever you use a Family member's action to take Food, you receive an additional 1 Wood.</t>
  </si>
  <si>
    <t>Junior Partner</t>
  </si>
  <si>
    <t>390be7b1-312e-4274-befb-920adc494f54</t>
  </si>
  <si>
    <t>Whenever any player (including you) plays a Passing card, you receive 2 food.</t>
  </si>
  <si>
    <t>Junk Dealer</t>
  </si>
  <si>
    <t>f5d91c38-f98a-47fe-93bb-a1cf684858a7</t>
  </si>
  <si>
    <t>You receive 1 Clay/1 Reed whenever you use a Food/Animal accumulation space.</t>
  </si>
  <si>
    <t>Khnum</t>
  </si>
  <si>
    <t>37fdd9b7-f450-478c-b513-4f79466a6818</t>
  </si>
  <si>
    <t>When you play this card, if you have at least 4/8 Sheep on your farm, you may immediately take a "Family Growth with room" action/ "Family Growth without room" action.</t>
  </si>
  <si>
    <t>Lady of the Manor</t>
  </si>
  <si>
    <t>e88bb268-42cf-4c17-b892-cd4eb413e3ca</t>
  </si>
  <si>
    <t>If there are still 1/3/6/9 rounds to play, you immediately receive 1/2/3/4 Wood. At the end of the game, any player who scored the maximum 4 points in the most scoring categories receives 3 Bonus points. (The scoring categories include 4 fenced stables.)</t>
  </si>
  <si>
    <t>Land Surveyor</t>
  </si>
  <si>
    <t>242bcd22-7a0d-40f2-8a7b-902791b35435</t>
  </si>
  <si>
    <t>In the Field phase of each Harvest, you receive 1/2/3/4 Food for having 2/4/6/7 Plowed fields.</t>
  </si>
  <si>
    <t>Livestock Expert</t>
  </si>
  <si>
    <t>8b5909a5-4c83-48a0-b306-00c2236e9521</t>
  </si>
  <si>
    <t>If you play this card in Round 11 or before, you immediately double the amount of sheep, wild boar or cattle on your farm. (Take the additional animals from the supply.)</t>
  </si>
  <si>
    <t>Longbowman</t>
  </si>
  <si>
    <t>8845ecbe-120d-4dff-82d2-f7979261f398</t>
  </si>
  <si>
    <t>Whenever you use an Action space orthogonally adjacent to an animal Accumulation space, you may immediately afterward place 1 Wood from your supply on the animal Accumulation space and take 1 of the animals. The next player to use that space receives the Wood.</t>
  </si>
  <si>
    <t>Manure Shoveler</t>
  </si>
  <si>
    <t>fb307224-e533-4d2a-99a9-475f3e859a18</t>
  </si>
  <si>
    <t>When you have 2/4/6+ Animals you receive one Grain/Vegetable/Grain and Vegetable before you take a Sow action.</t>
  </si>
  <si>
    <t>Margrave</t>
  </si>
  <si>
    <t>0f064a21-25dd-437c-8bff-325bb1a0b41e</t>
  </si>
  <si>
    <t>If you live in a Stone house, you receive 2 Food whenever a player renovates and you receive 1 Bonus point at the end of the game for every opponent who does not live in a Stone house.</t>
  </si>
  <si>
    <t>Master Fencer</t>
  </si>
  <si>
    <t>c38029ee-dbd9-4661-bf49-353d621f1139</t>
  </si>
  <si>
    <t>Once you live ina Send house, you may pay 2/3 Wood at the start of each round to build 3/4 fences.</t>
  </si>
  <si>
    <t>Master Huntsman</t>
  </si>
  <si>
    <t>a1b12791-a921-4a02-a060-32eb5a391576</t>
  </si>
  <si>
    <t>Whenever you build a Major Improvement, you receive 1 Wild boar. When you play this card, you receive 1 Wild boar.</t>
  </si>
  <si>
    <t>Master Renovator</t>
  </si>
  <si>
    <t>c157956a-7a97-4c84-a279-153ebf1a0d48</t>
  </si>
  <si>
    <t>At the end of the Work phases in rounds 7 and 9, you may take a "Renovation" action without placing a person and pay 1 less building resource.</t>
  </si>
  <si>
    <t>Master Tanner</t>
  </si>
  <si>
    <t>f8be5c39-8b27-44c2-8fab-7d48a5c00d48</t>
  </si>
  <si>
    <t>Whenever you convert Wild boar or Cattle into Food, you may place 1 Food from your supply on this card for each animal. Once during the game, when there is Food on this card equal to the number of your rooms, play your next "Family growth" action as "Family growth even without room".</t>
  </si>
  <si>
    <t>Mayor Candidate</t>
  </si>
  <si>
    <t>9484b507-846c-49c0-a884-4252e7ff1f7d</t>
  </si>
  <si>
    <t>When you play this card, you receive 2 Wood and 2 Stone. At the end of the game, you receive 1 Negative point for each Wood and each Stone in your supply. (You can't return building resources to the supply without reason.)</t>
  </si>
  <si>
    <t>Mbaba Mwana</t>
  </si>
  <si>
    <t>619cf393-db80-4c32-bd9d-744984a9dbe6</t>
  </si>
  <si>
    <t>When you Plow your 4th / 7th Field, you immediately receive a "Family Growth with room" action / "Family Growth without room" action.</t>
  </si>
  <si>
    <t>Merchant Plowman</t>
  </si>
  <si>
    <t>17070f99-512a-4df6-8ead-5d152255b30d</t>
  </si>
  <si>
    <t>The Joinery is a now a Minor Improvement for you. Whenever you use the Joinery, Sawmill, or Cabinetmaker to convert 1 or more Wood to Food during the Harvest, you may pay 1 Food to Plow 1 field.</t>
  </si>
  <si>
    <t>Meticulous Men</t>
  </si>
  <si>
    <t>0afee4d0-688d-43dc-86ef-3406b33cff1c</t>
  </si>
  <si>
    <t>Place 8 Food from the supply on this card. Each time your Family members take exactly 2 goods from an Accumulation space, you also take 1 Food from this card. You score 2 Bonus points if there is no Food on this card at the end of the game.</t>
  </si>
  <si>
    <t>Miller</t>
  </si>
  <si>
    <t>ebcd6cc5-93e2-4dd2-8743-49f070c0b9ff</t>
  </si>
  <si>
    <t>Whenever another player uses the "Take 1 Grain" Action space, you may Bake bread. When you play this card, you can build a Baking Improvement by paying its costs.</t>
  </si>
  <si>
    <t>Mountain Plowman</t>
  </si>
  <si>
    <t>61869272-eadc-404a-a06b-1534560af19a</t>
  </si>
  <si>
    <t>Whenever you Plow 1 or more fields, you receive 1 Sheep from the supply for each field you just plowed.</t>
  </si>
  <si>
    <t>Native</t>
  </si>
  <si>
    <t>dcb44ae9-a7b0-4de6-9bd8-73bb4d6243a0</t>
  </si>
  <si>
    <t>Whenever you use the "Plow 1 Field" or "Sow and/ or Bake Bread" Action spaces, you receive 1 Reed.</t>
  </si>
  <si>
    <t>Naturalist</t>
  </si>
  <si>
    <t>beffa40f-3db8-4712-b44f-60561a8e2ae6</t>
  </si>
  <si>
    <t>When you Plow your 5th, 6th, 7th, and 8th field, you may pay 1 Food to receive a Guest token that you place that round as you would a Family member.</t>
  </si>
  <si>
    <t>Ninja</t>
  </si>
  <si>
    <t>8da73ba7-b605-467b-a411-bc092c5e24b5</t>
  </si>
  <si>
    <t>Immediately move the person that played this Occupation to an occupied Action space except the "Starting Player" Action space, and take that action.</t>
  </si>
  <si>
    <t>Nurse Maid</t>
  </si>
  <si>
    <t>65aca671-a747-4b39-9dae-208c218e470a</t>
  </si>
  <si>
    <t>Whenever another player has a larger family than you after offspring, you receive 1 Food. If that player has at least 2 more Family members than you, you receive 1 Good of your choice instead.</t>
  </si>
  <si>
    <t>Officer</t>
  </si>
  <si>
    <t>0d03742e-0b9c-4359-8e3e-3af2e534e5e0</t>
  </si>
  <si>
    <t>Once you live in a Stone house, you may pay 1 Food at the start of each round for a Guest token which you must place that round.</t>
  </si>
  <si>
    <t>Old Hiker</t>
  </si>
  <si>
    <t>832a3739-9eb3-41c6-9112-40292084ca28</t>
  </si>
  <si>
    <t>When you play this card, you receive 1 building resource of your choice and a Guest token which you may place this round after all players have placed all of their Family members.</t>
  </si>
  <si>
    <t>Omnifarmer</t>
  </si>
  <si>
    <t>575ca4b7-27ba-4e5a-b955-0a4ce70a043b</t>
  </si>
  <si>
    <t>Each harvest, you can either place 1 harvested crop or 1 newborn animal on this card. You can no longer use the goods on this card. During the scoring, you receive 3/5/7/9 bonus points for 2/3/4/5 different goods on this card.</t>
  </si>
  <si>
    <t>apeirox</t>
  </si>
  <si>
    <t>Organised Handyman</t>
  </si>
  <si>
    <t>72920bc9-867b-416e-9406-02561359e020</t>
  </si>
  <si>
    <t>Place up to 1 Minor Improvement (from your hand) face down on each space for rounds 9, 11, and 13. Ar the start of these rounds, you may play the Improvement by paying its cost. If you do, you receive 2 Food. If you do not, return it to your hand.</t>
  </si>
  <si>
    <t>Oven Admirer</t>
  </si>
  <si>
    <t>1f4c03d8-1792-4b9a-8cba-5abcc8944612</t>
  </si>
  <si>
    <t>When you play this card, if you have the Stone Oven, you receive 2 Vegetables and 1 Animal of your choice.</t>
  </si>
  <si>
    <t>Oven Inspector</t>
  </si>
  <si>
    <t>b460c71c-a233-46c0-9213-59c9eb9902bf</t>
  </si>
  <si>
    <t>Whenever you use the "Bake bread" action, you can use this card to convert up to 1 Grain into 4 Food. When you play this card, you can also take the "Bake bread" action. If another player builds an Oven, you may immediately pay 1 Food to play this Occupation.</t>
  </si>
  <si>
    <t>Over Achiever</t>
  </si>
  <si>
    <t>8c14f0e2-2d49-4e20-9cc9-5d737407fe93</t>
  </si>
  <si>
    <t>Whenever you use a "Family growth" Action, you may play 1 additional Major or Minor Improvement by paying its cost less 1 resource of your choice.</t>
  </si>
  <si>
    <t>Part Time Builder</t>
  </si>
  <si>
    <t>ee1a255a-7116-437f-bd47-0e82715dc967</t>
  </si>
  <si>
    <t>When you play this card, if you have 4 stables in your supply, place 1 stable on each of the "Take 1 Grain", "Plow 1 field" , "Day Laborer", and "Build rooms" Action spaces. When another player uses the space, build the stable on your farm for free. You may not use a space with one of your stables on it.</t>
  </si>
  <si>
    <t>Parvenu</t>
  </si>
  <si>
    <t>c6fd13ed-7cd8-43df-8bd1-531e3addc3ca</t>
  </si>
  <si>
    <t>If you play an ad in Round 7 or before, you immediately double the amount of Clay or Reed in your supply.</t>
  </si>
  <si>
    <t>Pasture Planner</t>
  </si>
  <si>
    <t>d6478600-dbc6-4736-aab0-3394d2b26e46</t>
  </si>
  <si>
    <t>If played in Stage 1, place 1 Wood from the general supply on as many unused Farmyard spaces as you choose. These spaces can only be used for pastures. You may use the Wood to pay for a pasture on that space. You may not build pastures on spaces without Wood.</t>
  </si>
  <si>
    <t>Patroness</t>
  </si>
  <si>
    <t>d2d74e22-f31a-48da-bf6d-ef33a75c199c</t>
  </si>
  <si>
    <t>Whenever you play an Occupation after this one, you receive 1 building resource of your choice afterward.</t>
  </si>
  <si>
    <t>Peasant</t>
  </si>
  <si>
    <t>687685f2-951f-4e11-bbc3-5ac4b1fe7d81</t>
  </si>
  <si>
    <t>Whenever you build a Major improvement, you may pay 1 Food to Plow 1 field afterward.</t>
  </si>
  <si>
    <t>Pen Builder</t>
  </si>
  <si>
    <t>dc1e11c7-c1fd-4d6d-a6fa-026db589c3ff</t>
  </si>
  <si>
    <t>At any time, you may place Wood on this card from your supply. You may not use this Wood for anything. For each Wood on this card you may hold 2 animals of any type on this card.</t>
  </si>
  <si>
    <t>Peon</t>
  </si>
  <si>
    <t>fae6eee5-9da7-4953-85e0-f1af7dcea0ef</t>
  </si>
  <si>
    <t>Whenever you use the "Take 1 Grain" Action space, you may take a "Bake bread" action afterward. Whenever you use the "Take 1 Vegetable" Action space, you may take a "Sow" action afterward.</t>
  </si>
  <si>
    <t>Photographer</t>
  </si>
  <si>
    <t>e076f4f9-47a6-432d-8f8f-0e7b7b659765</t>
  </si>
  <si>
    <t>Whenever you take a Family Growth or Renovation action, place 1 Food from the general supply on this card. You cannot use these Food, but each is worth 1 Bonus point at the end of the game.</t>
  </si>
  <si>
    <t>Pickler</t>
  </si>
  <si>
    <t>4f2427ba-dd86-4068-b0ce-82fab6f1fc22</t>
  </si>
  <si>
    <t>If there are still 1/3/6/9 rounds to play, you immediately receive 1/2/3/4 Wood. At the end of the game, all players who have the most Vegetables receive 3 Bonus points each.</t>
  </si>
  <si>
    <t>Pioneer</t>
  </si>
  <si>
    <t>e86605c8-05ca-40db-bd32-b8632cebf3d3</t>
  </si>
  <si>
    <t>Whenever you use the most recent Round card with one of your people, you receive an additional 1 building resource of your choice and 1 Food before taking the action.</t>
  </si>
  <si>
    <t>Poker Player</t>
  </si>
  <si>
    <t>eddc8966-306b-4762-ba8d-0326839da0db</t>
  </si>
  <si>
    <t>If this is your first Occupation, you receive 9/6/5/3 Bonus points at the end of the game if you played 7 Occupations by the end of round 8/10/12/14.</t>
  </si>
  <si>
    <t>Primitive Man</t>
  </si>
  <si>
    <t>4f36986c-4d7c-4ca4-aeb6-56237d219aef</t>
  </si>
  <si>
    <t>You receive 1 Wood at the start of each round, if you have no Improvement in front of you. From Rounds 6/10 on, you receive 1 building resource/1 good of your choice.</t>
  </si>
  <si>
    <t>kentw</t>
  </si>
  <si>
    <t>Project Servant</t>
  </si>
  <si>
    <t>6f00168b-b184-4a4a-a081-ba1df7b3f13d</t>
  </si>
  <si>
    <t>You receive 3 Food if you have 1 Built Stable/1 Pasture/2 Sown Fields/Renovated to Stone at the end of working phase in Round 7/9/11/13.</t>
  </si>
  <si>
    <t>Prophet</t>
  </si>
  <si>
    <t>ce294e98-b037-4a34-ba9b-5a5c57d2ee9c</t>
  </si>
  <si>
    <t>When you play this card, you may immediately perform the "After Renovation, also Fences" action. (Pay costs normally.)</t>
  </si>
  <si>
    <t>Prudent Merchant</t>
  </si>
  <si>
    <t>aca5c642-9645-4177-8f60-77db587d4240</t>
  </si>
  <si>
    <t>Once this game, immediatly after playing an Improvement, you may choose to receive its printed cost from the supply.</t>
  </si>
  <si>
    <t>Ram Wrangler</t>
  </si>
  <si>
    <t>3b6eea93-fef0-401d-966c-e56f77368ca4</t>
  </si>
  <si>
    <t>Whenever you breed a Sheep, you receive 1 Grain afterward.</t>
  </si>
  <si>
    <t>Real Estate Agent</t>
  </si>
  <si>
    <t>020fdf81-37e6-4c9c-89e1-61b24b5296d2</t>
  </si>
  <si>
    <t>At the start of each Field phase, if no other player has fewer unused spaces than you, receive 2 Food. At the end of each Field phase, you may rearrange your rooms, stables, fences and fields into a new (legal) configuration.</t>
  </si>
  <si>
    <t>Renaissance Man</t>
  </si>
  <si>
    <t>2b65b2ed-d9d5-45d5-b2f8-a1dc53d5db4b</t>
  </si>
  <si>
    <t>At the start of each Work phase, if you have at least 1 Wood, Clay, Reed, Stone, Grain, and Vegetable in your personal supply, you receive 1 Bonus point. (Planted resources and resources occupying farm spaces do not count.)</t>
  </si>
  <si>
    <t>kosherdill</t>
  </si>
  <si>
    <t>Resource Gatherer</t>
  </si>
  <si>
    <t>625f7fff-8672-4fc2-96a3-6c15c0fa879e</t>
  </si>
  <si>
    <t>At the start of each round, if you live in a stone house, you may choose to receive 2 Wood, 2 Clay, 1 Reed, or 1 Stone from the general supply.</t>
  </si>
  <si>
    <t>Restless Father</t>
  </si>
  <si>
    <t>34e7ad4e-a361-492d-b86d-47130731817f</t>
  </si>
  <si>
    <t>Whenever you take a "Family growth" action, you can immediately Plow 1 field.</t>
  </si>
  <si>
    <t>Rice Farmer</t>
  </si>
  <si>
    <t>b3f0ed4e-e20c-4836-a8b4-a8a4e0a3b1e3</t>
  </si>
  <si>
    <t>Whenever you use the "Take 1 Reed" Action space, you receive an additional 1 Grain. Whenever you use the "Take 1 Grain" Action space, you receive an additional 1 Reed.</t>
  </si>
  <si>
    <t>Riverman</t>
  </si>
  <si>
    <t>40e01bcc-9242-45f7-93e3-40bec27aab59</t>
  </si>
  <si>
    <t>Whenever you use a Family members action to take the "1 Reed" action space you receive an additional 2 Food or can pay 1 Food to receive an additional Reed.</t>
  </si>
  <si>
    <t>River Pig</t>
  </si>
  <si>
    <t>68d709fa-8323-4041-bda3-83c283b55440</t>
  </si>
  <si>
    <t>At the start of each odd- numbered round, place 1 Wood from the general supply on the "Fishing" Action space. At the end of the game you receive 2/3 Bonus points if you have 3/5 Wood in your supply.</t>
  </si>
  <si>
    <t>Rule Breaker</t>
  </si>
  <si>
    <t>65dffe09-529f-427f-97fb-d61c79ed700d</t>
  </si>
  <si>
    <t>At the end of the game, you receive 1 Bonus point for each scoring category where you have scored exactly 3 points.</t>
  </si>
  <si>
    <t>Scapegrace</t>
  </si>
  <si>
    <t>a4e29842-b5ee-465d-8c25-dc9bcc812caf</t>
  </si>
  <si>
    <t>When you play this, you receive 1 Bonus point for each complete Stage left to be played. You may not play Occupations anymore.</t>
  </si>
  <si>
    <t>School Lunch Lady</t>
  </si>
  <si>
    <t>9166cf83-d809-4487-ba6c-62553405be3c</t>
  </si>
  <si>
    <t>In the future, whenever you play an Occupation, you receive 1 Grain before you pay the costs of the Occupation.</t>
  </si>
  <si>
    <t>Scrounger</t>
  </si>
  <si>
    <t>2de4b2ba-1dfe-406b-8ac9-40556fba3a1d</t>
  </si>
  <si>
    <t>Scrounger If there are still 9/6/3/1 rounds to play, you receive 4 Wood/3 Clay/2 Stone/1 building resource of your choice. At the end of the game, each player with at least 1 of each building resource receives 3 Bonus points.</t>
  </si>
  <si>
    <t>Seal Trainer</t>
  </si>
  <si>
    <t>7a7e98ca-450f-4eb7-988d-d97c1fbe5134</t>
  </si>
  <si>
    <t>Whenever you take Fishing, you can put the Food on Seal Trainer. You can still use this food normally. When you take Travelling Players, you can remove 1 food from Seal Trainer to receive 2 Bonus points.</t>
  </si>
  <si>
    <t>Self-Employee</t>
  </si>
  <si>
    <t>c8d9044a-1e92-4cab-b589-222f1cd22447</t>
  </si>
  <si>
    <t>Immediately before the Round 1 Work phase you may play this card for free without taking an action. It counts as a played Occupation for all purposes.</t>
  </si>
  <si>
    <t>Shearer</t>
  </si>
  <si>
    <t>81e6fe3b-6c10-4de0-a561-01f85d9f8b17</t>
  </si>
  <si>
    <t>maninteitz</t>
  </si>
  <si>
    <t>Shoplifter</t>
  </si>
  <si>
    <t>01de8453-b367-4ba2-b507-0385afc56981</t>
  </si>
  <si>
    <t>During the next round, whenever you take building resources from an Action space, you receive I additional Food with each resource.</t>
  </si>
  <si>
    <t>Silo Builder</t>
  </si>
  <si>
    <t>9c7a6cc2-b1be-433c-b524-48322a9f88c9</t>
  </si>
  <si>
    <t>You receive 1 Grain when you build your first stable, 1 Grain when you build your second, 1 Vegetable when you build your third, and 1 Vegetable when you build your fourth. (If you build several stables at once, you may take several resources.)</t>
  </si>
  <si>
    <t>Smuggler</t>
  </si>
  <si>
    <t>138b405b-2ba9-4724-a152-9813264f802f</t>
  </si>
  <si>
    <t>During the Feeding phase of each Harvest, you may convert up to 2 goods as follows: 1 Wood to 1 Grain, or 1 Grain to 1 Stone.</t>
  </si>
  <si>
    <t>Snake Oil Salesman</t>
  </si>
  <si>
    <t>fbe88895-dc2d-4426-9e26-7874738799d7</t>
  </si>
  <si>
    <t>Place 1 food on the next 4 round spaces. At the start of those rounds the last player in turn order receives the food. Once the 4th food is given, you receive 2 clay and 2 stone.</t>
  </si>
  <si>
    <t>blackjackdavie</t>
  </si>
  <si>
    <t>Soil Nutritionist</t>
  </si>
  <si>
    <t>09e78484-c9c3-40c0-8751-8197206f62ff</t>
  </si>
  <si>
    <t>Whenever you plow at least 1 field, you receive 2 Clay. Whenever you sow, you may pay 1 Clay per field to place 1 extra Good from the general supply on them.</t>
  </si>
  <si>
    <t>South Pole Explorer</t>
  </si>
  <si>
    <t>689ecba9-d1ad-4e71-9f1c-0d1a1e5c5b0a</t>
  </si>
  <si>
    <t>If you play this card during Stage 1, the next player to use all bottom farmyard spaces recieves 2 Cattle and you receive 1 Vegetable.</t>
  </si>
  <si>
    <t>Speculator</t>
  </si>
  <si>
    <t>9852a863-e51f-4ea3-af4d-c883d109588a</t>
  </si>
  <si>
    <t>If you play this card in Stage 1, you may build a Major Improvement for free at the start of Round 9.</t>
  </si>
  <si>
    <t>Spring Worker</t>
  </si>
  <si>
    <t>f621cfd0-31f1-4180-adc0-bc1d15414583</t>
  </si>
  <si>
    <t>At the start of rounds 5, 8, 10 and 12 you may sow and/or bake.</t>
  </si>
  <si>
    <t>Stable Artificer</t>
  </si>
  <si>
    <t>d5e36d5b-9588-4fdf-a633-236671eb5edc</t>
  </si>
  <si>
    <t>If there are still 1/3/6/9 rounds to play, you immediately receive 1/2/3/4 Wood. At the end of the game, any player who has 4 stables on his/her farm receives 3 Bonus points.</t>
  </si>
  <si>
    <t>Stone Baron</t>
  </si>
  <si>
    <t>0328bbd5-2dcc-407d-be0b-78196624783e</t>
  </si>
  <si>
    <t>If there are 6/9 rounds to play you receive 1/2 Stone. At the end of the game all players with a Stone House receive 2 Bonus points.</t>
  </si>
  <si>
    <t>Stone Custodian</t>
  </si>
  <si>
    <t>57991502-c174-4e52-9463-442cbb6e9be3</t>
  </si>
  <si>
    <t>At the end of each Work phase, you receive 1 Food for each Stone Accumulation space with Stone on it.</t>
  </si>
  <si>
    <t>Stone Sculptor</t>
  </si>
  <si>
    <t>736cb3d7-692b-43a9-8741-06d1d9d360c5</t>
  </si>
  <si>
    <t>In each Harvest, you may convert up to 1 Stone to 1 Bonus point and 1 Food.</t>
  </si>
  <si>
    <t>Store Owner</t>
  </si>
  <si>
    <t>8b20e7ba-7957-4e76-b93e-c75fbe4dbac6</t>
  </si>
  <si>
    <t>Store Owner Whenever you build a Major Improvement you receive 1 Bonus point and 1 Food.</t>
  </si>
  <si>
    <t>Stud Master</t>
  </si>
  <si>
    <t>024c083c-3a4d-4040-b9f9-21a0a5577fc6</t>
  </si>
  <si>
    <t>When you play this card, you receive 1 Animal of every type which is already in your farm.</t>
  </si>
  <si>
    <t>Sugar Daddy</t>
  </si>
  <si>
    <t>0b9658fa-ee5a-43a9-b92a-35177de12c55</t>
  </si>
  <si>
    <t>Once you live in a Stone house, whenever you play an Occupation (including this one), you receive 1 Good of your choice afterward.</t>
  </si>
  <si>
    <t>Supervisor</t>
  </si>
  <si>
    <t>aa583538-5ad2-4a74-b280-162b0654fc62</t>
  </si>
  <si>
    <t>At the start of each round, if you have no unused spaces, you receive 1 Guest token which you place that round as you would a Family member.</t>
  </si>
  <si>
    <t>Surveyor</t>
  </si>
  <si>
    <t>981172bc-34fa-4fa6-8cb5-4557a6b9c2c4</t>
  </si>
  <si>
    <t>At the end of each round in which all your Family members were placed on Round 1-14 action spaces you receive 3 different building resources of your choice.</t>
  </si>
  <si>
    <t>Tarzan</t>
  </si>
  <si>
    <t>d4fc249c-c428-4f67-abae-5c924ec1e43d</t>
  </si>
  <si>
    <t>At the end of the Breeding phase of each Harvest, if you have at least 6 Food in your supply, you receive 1 Animal of your choice (you can't use it for breeding in the same phase).</t>
  </si>
  <si>
    <t>Thatcher's Helper</t>
  </si>
  <si>
    <t>92efc23a-0dd5-42a6-beb8-6158a518c1f6</t>
  </si>
  <si>
    <t>Pile (from bottom to top) 1 Reed, Wood, Wood, Reed, Wood, Reed. Whenever any player (including you) takes a Family Growth action, you may pay 0/1 Food to the general supply to get the Wood/Reed on top.</t>
  </si>
  <si>
    <t>Treasure Hunter</t>
  </si>
  <si>
    <t>ce4a61b6-ff00-4c54-88a1-d1221bdd2107</t>
  </si>
  <si>
    <t>Immediately place up to 5 Building resources from the general supply on Unused farmyard spaces. The spaces must not be orthogonally adjacent. When you use these spaces, you receive the resource. These spaces count as used for scoring but unused otherwise.</t>
  </si>
  <si>
    <t>Trinket Collector</t>
  </si>
  <si>
    <t>61b5fbe2-57cd-4448-ad38-6fda3f7a5b75</t>
  </si>
  <si>
    <t>At the end of the game, you receive 1 Bonus point for each of your improvements that doesn't give Victory points or Bonus points.</t>
  </si>
  <si>
    <t>Universal Educator</t>
  </si>
  <si>
    <t>2a213464-6f86-49e6-8baa-a58cbcd90f16</t>
  </si>
  <si>
    <t>Whenever you play an Occupation (including this one), you receive 1 Food for each of your planted fields.</t>
  </si>
  <si>
    <t>lavajuice</t>
  </si>
  <si>
    <t>Vegetable Vendor</t>
  </si>
  <si>
    <t>ce99ccaf-3b4f-472f-8b41-536b4cd295c0</t>
  </si>
  <si>
    <t>Whenever you use the "Major or Minor Improvement" Action space, you receive 1 Vegetable. Whenever you use the "Take 1 Vegetable" Action space, you may play a Major or Minor Improvement by paying its cost.</t>
  </si>
  <si>
    <t>Veggie Lover</t>
  </si>
  <si>
    <t>55b7a087-9342-4ec6-ab51-85c062e37fab</t>
  </si>
  <si>
    <t>In the Feeding phase of each Harvest, you may convert up to 1 pair of 1 Grain and 1 Vegetable to 6 Food. Immediately before scoring, you may exchange 1/2/3 pairs of 1 Grain and 1 Vegetable from your supply for 2/4/6 Bonus points.</t>
  </si>
  <si>
    <t>Villein</t>
  </si>
  <si>
    <t>12d1d97d-58e4-4ce8-92ac-bdb622ba7aa3</t>
  </si>
  <si>
    <t>Whenever you play an Occupation (including this one), you may take a "Sow" action afterward. Whenever you play a Minor Improvement, you may take a "Bake bread" action afterward.</t>
  </si>
  <si>
    <t>Vinedresser</t>
  </si>
  <si>
    <t>b4d747c7-6381-4bf0-b7e5-aa8bae96e358</t>
  </si>
  <si>
    <t>At the start of each round, if you have 2 Grain and 2 Vegetables in your supply or planted, you can pay 1 Wood to Plow 1 field.</t>
  </si>
  <si>
    <t>Vineyard Labor</t>
  </si>
  <si>
    <t>40b35ce9-4456-4028-80be-bb9564798c7c</t>
  </si>
  <si>
    <t>You may sow Wood and/or Food as if it were Grain. Whenever you sow, you receive 1 Wood and 1 Food before you sow.</t>
  </si>
  <si>
    <t>Visionary</t>
  </si>
  <si>
    <t>93a6d8cc-ab06-419b-8b53-f4219b491a90</t>
  </si>
  <si>
    <t>If you play this card in round 1-4, you immediately receive 1 vegetable, 2 wild boars, and 1 stone. Before round 11, you cannot grow your family, unless all other players have more than 2 family members.</t>
  </si>
  <si>
    <t>Visiting Quarryman</t>
  </si>
  <si>
    <t>6e26d576-aee4-488b-810b-976593b5061e</t>
  </si>
  <si>
    <t>Place 2 Guest tokens on this card. Twice during the game, you may place 1 of the Guest tokens as you would an additional Family member. This Guest must use a Clay or Stone Accumulation space.</t>
  </si>
  <si>
    <t>Walrus Hunter</t>
  </si>
  <si>
    <t>10b7913a-59c9-41d1-a00e-ee8788ea5c1b</t>
  </si>
  <si>
    <t>Whenever you use the "Fishing" Action space, you also receive 1 Wild boar.</t>
  </si>
  <si>
    <t>Wares Salesman</t>
  </si>
  <si>
    <t>05f6fcdc-c5be-4436-8806-ab70dd9c5dbb</t>
  </si>
  <si>
    <t>Each time any player (including you) builds an improvement or plays an occupation that lets them turn building resources into food, you receive exactly 1 of the corresponding building resource and 1 reed. (If multiple, choose one).</t>
  </si>
  <si>
    <t>Wealthiest Cousin</t>
  </si>
  <si>
    <t>92022989-e918-4056-bab3-7d2bec1e87de</t>
  </si>
  <si>
    <t>If this is your second Occupation, you get 1 Food for every completed Round of the game up to 4 Food. When you play this card, you receive 1 Grain.</t>
  </si>
  <si>
    <t>Wealthy Man</t>
  </si>
  <si>
    <t>188f445c-71e5-4c9f-b0fd-31f5903dc686</t>
  </si>
  <si>
    <t>If this is your first Occupation, you immediately receive 1 Bonus point for every Improvement you have. (Improvements played after you play this card do not affect this toral.)</t>
  </si>
  <si>
    <t>Well Seller</t>
  </si>
  <si>
    <t>fff3c1dd-1994-4d85-b632-0d243878c81e</t>
  </si>
  <si>
    <t>Whenever another player builds the Well, you receive 1 Wood and 3 Stone.</t>
  </si>
  <si>
    <t>Wheat Farmer</t>
  </si>
  <si>
    <t>19e2f807-902a-4db6-8e02-d1f26d18f0b8</t>
  </si>
  <si>
    <t>Whenever you harvest a Grain field, you may leave the Grain on the field and take 1 Grain from the general supply instead.</t>
  </si>
  <si>
    <t>Wolf</t>
  </si>
  <si>
    <t>9127d990-ad50-46f4-acbc-6f6145518314</t>
  </si>
  <si>
    <t>Pile (from bottom to top) 1 Clay, 1 Wood, andi Grain on this card. Whenever you receive a Good of the same type as the top marker, you may move the marker to your supply to receive 1 Wild boar.</t>
  </si>
  <si>
    <t>Zealous Farmer</t>
  </si>
  <si>
    <t>eb41fa2f-d6f2-4c79-9ebb-7c79a98d5166</t>
  </si>
  <si>
    <t>When you play this card, if you would score at least 3 points in 4 scoring categories (including fenced stables), you immediately receive a "Family Growth without room" action.</t>
  </si>
  <si>
    <t>Zoo Director</t>
  </si>
  <si>
    <t>9567de85-ad84-42e6-be64-c782eb68ec68</t>
  </si>
  <si>
    <t>At the end of the game, you receive 1 Bonus point for every 3 animals on your farmyard.</t>
  </si>
  <si>
    <t>Animal Dealer</t>
  </si>
  <si>
    <t>3b411bd5-c84a-43d2-ae5d-f238a920a85c</t>
  </si>
  <si>
    <t>Whenever you use one of the "Sheep", "Wild boar", or "Cattle" Action spaces, you can pay 1 food to take 1 additional animal of that type. (The "Sheep", "Wild boar", and "Cattle" cards are added in stages 1, 3 and 4.)</t>
  </si>
  <si>
    <t>Bricklayer</t>
  </si>
  <si>
    <t>ff372946-5f58-4a91-a703-e168933f6e88</t>
  </si>
  <si>
    <t>Pay 1 less Clay for each Improvement and Renovation. Pay 2 less Clay for each Room.</t>
  </si>
  <si>
    <t>Businessman</t>
  </si>
  <si>
    <t>fd14ba42-4674-4172-a9a5-b6b346d92960</t>
  </si>
  <si>
    <t>Whenever you use the "Starting Player" Action space, you can play an additional Minor or Major Improvement after you play the Minor Improvement.</t>
  </si>
  <si>
    <t>Butcher</t>
  </si>
  <si>
    <t>89606ae4-f326-487e-a980-a04da70a7fa2</t>
  </si>
  <si>
    <t>You can convert your animals into Food at any time (even without an Improvement with the baking symbol). You receive 1 Food for each Sheep, 2 for each Wild boar and 3 for each Cattle.</t>
  </si>
  <si>
    <t>Cabinetmaker</t>
  </si>
  <si>
    <t>982e3ae7-5c5b-4c88-98e0-21c211e910b6</t>
  </si>
  <si>
    <t>In each Harvest, the Cabinetmaker can convert up to 1 Wood to 2 Food.</t>
  </si>
  <si>
    <t>Church Warden</t>
  </si>
  <si>
    <t>612202b9-d075-4179-909e-5f632d095fdb</t>
  </si>
  <si>
    <t>If there are still 1/3/6/9 rounds to play, you immediately receive 1/2/3/4 Wood. At the end of the game, any player who performed actions with at least 5 people in Round 14 receives 3 Bonus points. (A Guest is counted.)</t>
  </si>
  <si>
    <t>Clay Digger</t>
  </si>
  <si>
    <t>9e033bda-0990-4d8e-91b6-d56f462bf73e</t>
  </si>
  <si>
    <t>Include the "1 Clay" Action card from the 3-player game as an additional Clay pit. Immediately place 3 Clay on the card and add 1 Clay at the start of each round. Any player who uses this action must pay you 3 Food.</t>
  </si>
  <si>
    <t>Clay Hut Builder</t>
  </si>
  <si>
    <t>a3126cba-c011-401a-923e-db47c9df8095</t>
  </si>
  <si>
    <t>Once you live in a Clay hut, place 2 Clay on each of the next 5 Round spaces. At the start of these rounds, you receive the Clay. (If you already live in a Clay hut or a Stone house when you play this card, place the Clay on the Round spaces immediately.)</t>
  </si>
  <si>
    <t>Clay Plasterer</t>
  </si>
  <si>
    <t>edd3ba91-642f-439c-a261-31f9c02e53de</t>
  </si>
  <si>
    <t>Renovating your Wooden hut to a Clay hut costs you only 1 Clay and 1 Reed. Each room of your Clay hut costs you 3 Clay and 2 Reed.</t>
  </si>
  <si>
    <t>Cowherd</t>
  </si>
  <si>
    <t>2c9ff9fa-d044-499d-bea0-8e77443c21e9</t>
  </si>
  <si>
    <t>Whenever you use the "Take 1 Cattle" action space, you receive 1 additional Cattle from the supply (The "Take 1 Cattle" Action is added in Stage 4).</t>
  </si>
  <si>
    <t>Farm Steward</t>
  </si>
  <si>
    <t>30cda5fe-5b24-48fa-9f0e-5fe11626024c</t>
  </si>
  <si>
    <t>Once you live in a Clay hut or Stone house, play your next "Family Growth" Action as a "Family growth even without room". (Similar to the Round card from Stage 5. All future Family growth is carried out as normal.)(If you use the Stage 2 Family growth space to take this action, you can still play a Minor Improvement afterwards.)</t>
  </si>
  <si>
    <t>Fence Builder</t>
  </si>
  <si>
    <t>580bbc67-8ebe-458f-adee-e871c6434349</t>
  </si>
  <si>
    <t>When you play this card, place one of your fences on an Action space of your choice. If you use an action on this Action space, you can also build fences as an additional action. (From now on, you only have 14 fences available for building.)</t>
  </si>
  <si>
    <t>Fence Deliveryman</t>
  </si>
  <si>
    <t>bf923c91-e820-4de2-ad3d-cd2c9f55fd6c</t>
  </si>
  <si>
    <t>Add 6 and 10 to the number of the current round. Place 4 of your fences on each corresponding Round space. At the start of these rounds, you can pay 2 Food to build all 4 fences immediately. (You may build fewer than 4 fences. You do not need to pay Wood to build the fences.)</t>
  </si>
  <si>
    <t>Fencer</t>
  </si>
  <si>
    <t>ef6fd109-c6e4-4fad-8ae7-3a1e7577b03e</t>
  </si>
  <si>
    <t>Whenever another player builds 1 to 4 fences, you receive 1 Wood from the supply. Whenever another player builds 5 or more fences, you receive 2 Wood. (If you build fences yourself, you receive no benefit.)</t>
  </si>
  <si>
    <t>Fieldsman</t>
  </si>
  <si>
    <t>208a62d5-106b-4de9-bf44-9ab95c390232</t>
  </si>
  <si>
    <t>Whenever you Sow 1 field, place 2 additional goods from the supply on it. Whenever you Sow 2 fields, place 1 extra good from the supply on each. (If you sow three or more fields, there is no advantage.)</t>
  </si>
  <si>
    <t>Field Watchman</t>
  </si>
  <si>
    <t>1df56e2b-a7d7-426c-8a6d-c75d62a79558</t>
  </si>
  <si>
    <t>Whenever you use the action space "Take 1 Grain", you can also Plow up to 1 field.</t>
  </si>
  <si>
    <t>Gardener</t>
  </si>
  <si>
    <t>30d7404d-3c76-4e77-be52-a3afd6a48f98</t>
  </si>
  <si>
    <t>Take Vegetables from the supply and not from your Vegetable field whenever you harvest them — you keep the Vegetables on the fields.</t>
  </si>
  <si>
    <t>Groom</t>
  </si>
  <si>
    <t>17072391-757b-46f6-a8f5-28762d336909</t>
  </si>
  <si>
    <t>Once you have a Stone house, you can build 1 stable at the beginning of each round at a cost of 1 Wood. You do not need to place a Family member on an Action space to do this.</t>
  </si>
  <si>
    <t>Hide Farmer</t>
  </si>
  <si>
    <t>73f59cdf-db65-4091-ab27-99c2823a5e8f</t>
  </si>
  <si>
    <t>At the end of the game, you can pay 1 Food each for any number of unused farmyard spaces. These do not lose you points in the scoring.</t>
  </si>
  <si>
    <t>Juggler</t>
  </si>
  <si>
    <t>8959d699-df1c-421d-9d8d-4e18959ab557</t>
  </si>
  <si>
    <t>Whenever you use the "Traveling Players" action on an Action space, you can choose to receive twice as much Food as is on the card. If you do this, you must give one food each to the owners of the Magician, Conjurer, Street Musician, Puppeteer, Acrobat, Dancer, Animal Trainer and Storyteller.</t>
  </si>
  <si>
    <t>Layabout</t>
  </si>
  <si>
    <t>1da588d2-4074-4f49-9230-26bde8eb4d17</t>
  </si>
  <si>
    <t>Once you have played this card, you may not take part in the next Harvest. (You also do not need to feed your family during that Harvest.)</t>
  </si>
  <si>
    <t>Manservant</t>
  </si>
  <si>
    <t>8e558d61-c4d1-4bb1-87be-dd36812c9418</t>
  </si>
  <si>
    <t>When you build a Stone house, place 3 Food on each remaining round space. At the start of these rounds, you receive the Food. (If you already have a Stone house when you play this card, place the Food immediately.)</t>
  </si>
  <si>
    <t>Market Crier</t>
  </si>
  <si>
    <t>0fdb60b8-58dc-404d-9ba3-5364e54fb55d</t>
  </si>
  <si>
    <t>Whenever you use the "Take 1 Grain" Action, you can take an additional 1 Grain and 1 Vegetable. If you do this, the other players each receive 1 Grain from the supply.</t>
  </si>
  <si>
    <t>Milking Hand</t>
  </si>
  <si>
    <t>56d06ac9-6821-4f78-bb6f-fcfa15b5ae00</t>
  </si>
  <si>
    <t>In the Field phase of the Harvest, you receive 1/2/3 Food for having at least 1/3/5 Cattle, without having to give up the Cattle. At the end of the game, you receive 1 Bonus point for every 2 Cattle.</t>
  </si>
  <si>
    <t>Net Fisherman</t>
  </si>
  <si>
    <t>b05570fa-d996-4fc4-9244-555dc423b52d</t>
  </si>
  <si>
    <t>If one of your people uses an Action space that directly provides Reed, you can take all Food markers from the "Fishing" space in the Returning home phase (Phase 4).</t>
  </si>
  <si>
    <t>Outrider</t>
  </si>
  <si>
    <t>0b074c4c-deb9-4153-8a11-da4f38fdd2d0</t>
  </si>
  <si>
    <t>Whenever you use the most recent Round card with one of your people, you receive 1 additional Grain.</t>
  </si>
  <si>
    <t>Pig Breeder</t>
  </si>
  <si>
    <t>793274c7-4894-4853-8927-ee6ff5486243</t>
  </si>
  <si>
    <t>Your Wild boar breed at the end of Round 12, if there is room for the piglet. When you play this card, you receive 1 Wild boar.</t>
  </si>
  <si>
    <t>Pig Catcher</t>
  </si>
  <si>
    <t>210ba69e-e1fd-4526-9b00-bd1bb7f095bc</t>
  </si>
  <si>
    <t>Whenever you use a person to take Wood that is on an Action space, you can leave 2 of the Wood on the space and receive a Wild boar instead.</t>
  </si>
  <si>
    <t>Puppeteer</t>
  </si>
  <si>
    <t>e51f266f-8613-428d-8670-de912ad3ac26</t>
  </si>
  <si>
    <t>Whenever another player chooses the "Traveling players" action on an Action space, you can pay 1 Food to play an Occupation.</t>
  </si>
  <si>
    <t>Rancher</t>
  </si>
  <si>
    <t>2fa764e6-ee5b-4fae-9a72-a8d550e67637</t>
  </si>
  <si>
    <t>Whenever, at the start of a round, you have fewer unused farmyard spaces than any of the other players, you receive 1 wood. (If there is a tie, you get nothing.)</t>
  </si>
  <si>
    <t>Sheep Whisperer</t>
  </si>
  <si>
    <t>edc811ea-547e-4c16-a2c4-05ddab94c2e3</t>
  </si>
  <si>
    <t>Add 4, 7, 9 and 11 to the current round and place 1 Sheep on each corresponding Round space. At the start of these rounds, you receive the Sheep.</t>
  </si>
  <si>
    <t>Social Climber</t>
  </si>
  <si>
    <t>94cb84dc-bb39-482c-8768-b7052ea2219c</t>
  </si>
  <si>
    <t>Whenever you are the first player to renovate to a Clay hut or a Stone house, you receive 3 Stone. If you are the second, you receive 2 Stone; the third, you receive 1 Stone. (This is not given for renovations performed before you played this card.)</t>
  </si>
  <si>
    <t>Stone Carver</t>
  </si>
  <si>
    <t>6fb10b6f-f3a4-45fe-bb27-be5fbe0ff888</t>
  </si>
  <si>
    <t>In each Harvest, the Stone Carver can convert up to 1 Stone to 3 Food.</t>
  </si>
  <si>
    <t>Street Musician</t>
  </si>
  <si>
    <t>542213b8-7982-44ee-923e-d11a820725c6</t>
  </si>
  <si>
    <t>You receive 1 Grain whenever another player takes the "Traveling Players" action on an Action space.</t>
  </si>
  <si>
    <t>Village Elder</t>
  </si>
  <si>
    <t>bb654fc8-93a4-48f9-9d50-c114061a2503</t>
  </si>
  <si>
    <t>If there are still 1/3/6/9 rounds to play, you immediately receive 1/2/3/4 Wood. At the end of the game, all players with the most played Improvements receive 3 Bonus points each.</t>
  </si>
  <si>
    <t>Water Carrier</t>
  </si>
  <si>
    <t>568bdaa5-10ae-4d53-b365-81cd09bf1a34</t>
  </si>
  <si>
    <t>Once any player has built the Well, place 1 Food on the remaining Round spaces. At the start of these Rounds, you receive the Food. (If the well has already been built, place the Food immediately.)</t>
  </si>
  <si>
    <t>Well Builder</t>
  </si>
  <si>
    <t>52b00bb8-bef6-4963-a1fa-f9aabe98193d</t>
  </si>
  <si>
    <t>For you, the Well is not a Major but now a Minor Improvement and costs only 1 Stone and 1 Wood to build.</t>
  </si>
  <si>
    <t>Wood Collector</t>
  </si>
  <si>
    <t>e3ce3804-9481-431a-b17c-c741dfb6967b</t>
  </si>
  <si>
    <t>Place 1 Wood on each of the next 5 Round spaces. At the start of these rounds, you receive the Wood.</t>
  </si>
  <si>
    <t>Acrobat</t>
  </si>
  <si>
    <t>d20b59bb-baa2-4585-b8ff-1f94ebbdba17</t>
  </si>
  <si>
    <t>Whenever you use the "Traveling players" action on an Action space, after all of the other players have finished their turns you may move that person to a free "Plow" or "Take 1 Grain" Action space and take the action.</t>
  </si>
  <si>
    <t>Adoptive Parents</t>
  </si>
  <si>
    <t>8e461fa4-a956-4851-af09-44e69f5ce235</t>
  </si>
  <si>
    <t>When you take a family growth action, you can pay 1 food to immediately place the offspring in your home. This allows you to take an action with it this round. If you do this, the offspring does not count as "newborn".</t>
  </si>
  <si>
    <t>Animal Breeder</t>
  </si>
  <si>
    <t>09fb893f-ab95-4b14-b7e8-49b347886ae2</t>
  </si>
  <si>
    <t>Whenever you fence unused spaces to create at least one new pasture, you can buy a pair of animals: 2 Sheep for 1 Food, 2 Wild boar for 2 Food, or 2 Cattle for 3 Food.</t>
  </si>
  <si>
    <t>Animal Handler</t>
  </si>
  <si>
    <t>c7130518-a872-4e35-8bb2-349cab91fc9f</t>
  </si>
  <si>
    <t>Place 1 sheep on the space for round 7, 1 Wild boar on round 10 and 1 Cattle on round 14. At the start of these rounds, you can buy the animal for 1 Food.</t>
  </si>
  <si>
    <t>Animal Tamer</t>
  </si>
  <si>
    <t>17be8534-07ab-49d6-aebe-0c5c79373b05</t>
  </si>
  <si>
    <t>You can keep 1 animal in each room of your home. You may keep more than 1 type of animal in your home.</t>
  </si>
  <si>
    <t>Animal Trainer</t>
  </si>
  <si>
    <t>7131e869-f952-4b9a-be2c-ca059f682418</t>
  </si>
  <si>
    <t>Whenever you take food from a "Traveling players" space, you may immediately use it to buy animals: Pay 2 food for each Sheep or Wild Boar and 3 food for each Cattle.</t>
  </si>
  <si>
    <t>Basin Maker</t>
  </si>
  <si>
    <t>e19f7665-5029-4dc1-aaca-32d0a439c871</t>
  </si>
  <si>
    <t>For each Wild boar that you convert into food, you can place up to 2 wood from your personal supply on this card. At the end of the game, you receive 1 bonus point for each wood on this card except the 1st, 4th, 7th and 10th.</t>
  </si>
  <si>
    <t>Brushwood Collector</t>
  </si>
  <si>
    <t>b545ad56-8e69-4fc7-bac4-ec5dbd1c3c17</t>
  </si>
  <si>
    <t>You may replace the required Reed with a total of 1 Wood for any Renovation or Extension. (You use brushwood to make the roof.)</t>
  </si>
  <si>
    <t>Cattle Breeder</t>
  </si>
  <si>
    <t>d5ed30ba-99d6-4a77-a01c-a5e2768ae1ee</t>
  </si>
  <si>
    <t>Your Cattle breed at the end of Round 12, if there is space for the calf. When you play this card, you receive 1 Cattle.</t>
  </si>
  <si>
    <t>Clay Worker</t>
  </si>
  <si>
    <t>f107e799-6096-45c8-8fbd-ab8f680b6e0c</t>
  </si>
  <si>
    <t>Whenever you use an action of a person to take Wood or Clay, you also receive 1 additional Clay.</t>
  </si>
  <si>
    <t>Constable</t>
  </si>
  <si>
    <t>dc450aeb-8b1f-4aaa-8fb3-9076023406f3</t>
  </si>
  <si>
    <t>If there are still 1/3/6/9 rounds to play, you immediately receive 1/2/3/4 Wood. At the end of the game, any player who has no negative points receives 5 Bonus points.</t>
  </si>
  <si>
    <t>Countryman</t>
  </si>
  <si>
    <t>55d7adae-5650-4c32-8c01-c97769b5d1d9</t>
  </si>
  <si>
    <t>After all players have placed their people, you may move one of your Family members from a "Take 1 Grain" or "Take 1 Vegetable" Action space to a free "Sow" Action space after you have taken the Grain or Vegetable.</t>
  </si>
  <si>
    <t>Educator</t>
  </si>
  <si>
    <t>7123eb72-1ee3-4fc4-8c30-267c46d2ff7a</t>
  </si>
  <si>
    <t>Whenever another player plays an Occupation card, you can pay 3 Food to play one yourself. From your 4th Occupation on, this only costs 2 Food. (If you play an Occupation yourself, you cannot use this card to play a second Occupation.)</t>
  </si>
  <si>
    <t>Fence Overseer</t>
  </si>
  <si>
    <t>28b5f12e-17d3-4db8-b4aa-d1bd290c69c8</t>
  </si>
  <si>
    <t>Once each round, for a cost of 1 food, you can immediately fence a pasture of 1 farmyard space around a stable that you have just built. You do not need to pay wood for the fences.</t>
  </si>
  <si>
    <t>Foreman</t>
  </si>
  <si>
    <t>398e7def-d405-4ea3-ad94-d9413ac73abb</t>
  </si>
  <si>
    <t>At the start of the Work phase, you can place 1 Food from the general supply on an Action space of your choice.</t>
  </si>
  <si>
    <t>Forester</t>
  </si>
  <si>
    <t>9a14fa03-2c88-4e6e-a40a-80b8eb08f785</t>
  </si>
  <si>
    <t>Whenever you use the "Sow" action, you can plant up to a maximum of 3 Wood on this card. The wood is treated the same as sown Grain and is harvested during the Field phase.</t>
  </si>
  <si>
    <t>Frame Builder</t>
  </si>
  <si>
    <t>9735a8e5-2c88-4bc4-8f37-16bb54cf9ca5</t>
  </si>
  <si>
    <t>In each renovation, you may replace exactly 1 Clay or 1 Stone with 1 Wood. In each extension, you may replace exactly 2 Clay or 2 Stone with 1 Wood.</t>
  </si>
  <si>
    <t>House Steward</t>
  </si>
  <si>
    <t>ae8252ba-8c4d-478e-bfad-60d1851932d1</t>
  </si>
  <si>
    <t>If there are still 1/3/6/9 rounds to play, you immediately receive 1/2/3/4  Wood. At the end of the game, the player(s) with the most rooms in their home receive 3 Bonus points each.</t>
  </si>
  <si>
    <t>Magician</t>
  </si>
  <si>
    <t>767efc88-eaca-4b29-87d0-ae7c9ba5ccfd</t>
  </si>
  <si>
    <t>Whenever you use your last person to choose the "Traveling Players" action on an Action space, you receive an additional 1 Grain and 1 Food.</t>
  </si>
  <si>
    <t>Manufacturer</t>
  </si>
  <si>
    <t>fd510d1a-5b69-4992-bab4-4944730b61e3</t>
  </si>
  <si>
    <t>Once you have a Clay hut or a Stone house, the Joinery, Pottery and Basketmaker's Workshop are Minor Improvements for you and their cost is reduced by 2 building resources of your choice.</t>
  </si>
  <si>
    <t>Market Woman</t>
  </si>
  <si>
    <t>2485cf89-a1e1-4e4a-8dd3-a10aa15fca08</t>
  </si>
  <si>
    <t>Whenever you receive Vegetables through a Family member's action or through a Minor Improvement, you receive an additional 2 Grain.</t>
  </si>
  <si>
    <t>Organic Farmer</t>
  </si>
  <si>
    <t>9d12c62f-eb3e-403c-ac2c-344db4d41ccf</t>
  </si>
  <si>
    <t>At the end of the game, you receive 1 Bonus point for each pasture that contains at least 1 animal, but could contain at least 3 more animals than it does. (This also applies to the Forest Pasture.)</t>
  </si>
  <si>
    <t>Perpetual Student</t>
  </si>
  <si>
    <t>b4600636-c370-4952-a367-fefe552958ad</t>
  </si>
  <si>
    <t>Whenever you can play an Occupation card, you can ask an other player to randomly draw one of your cards instead of choosing one yourself. If you do this, you receive 3 Food before you pay the costs of the card, but you must play the card that the other player draws. If you are unable to pay the costs of the card, you must draw Begging cards for any missing Food.</t>
  </si>
  <si>
    <t>Pieceworker</t>
  </si>
  <si>
    <t>29a37fdd-2307-40af-b8c5-6a97c8533b0d</t>
  </si>
  <si>
    <t>Whenever you receive Wood, Clay, Reed, Stone or Grain on an Action space, you can buy one more of the same good for 1 Food. Whenever you receive Vegetable(s) on an Action space, you can buy one more for 2 Food.</t>
  </si>
  <si>
    <t>Pig Whisperer</t>
  </si>
  <si>
    <t>bbeeee01-ddc0-4861-a335-ae48530aea43</t>
  </si>
  <si>
    <t>Add 4, 7 and 10 to the number of the current round and place 1 Wild boar on each corresponding Round space. At the start of these rounds, you receive the Wild boar.</t>
  </si>
  <si>
    <t>Plowman</t>
  </si>
  <si>
    <t>a1549514-4362-47c4-8fa8-5a8f5b7cc7ce</t>
  </si>
  <si>
    <t>Add 4, 7 and 10 to the current round and place 1 field on each corresponding Round space. At the start of these rounds, you can Plow that field by paying 1 Food.</t>
  </si>
  <si>
    <t>Resource Seller</t>
  </si>
  <si>
    <t>cca40942-116a-4c6c-b3d1-c1473cadc7b9</t>
  </si>
  <si>
    <t>Pile (from bottom to top) 1 Stone, Clay, Stone, Clay, Reed, Clay, Wood on this card. You receive the top marker when you receive that type of building resource.</t>
  </si>
  <si>
    <t>Schnaps Distiller</t>
  </si>
  <si>
    <t>98d406f3-cb16-4b39-b6f3-38164afd4312</t>
  </si>
  <si>
    <t>In the Feeding phase of each Harvest, you can convert up to 1 Vegetable to 5 Food.</t>
  </si>
  <si>
    <t>Scholar</t>
  </si>
  <si>
    <t>be52ab23-e3c6-4a99-895d-97760faf2936</t>
  </si>
  <si>
    <t>Once you have a Stone house, at the start of a round you can always either pay 1 Food to play an Occupation card or play an Improvement card by paying its costs.</t>
  </si>
  <si>
    <t>Seed Seller</t>
  </si>
  <si>
    <t>b9207ea9-f13c-404c-8ced-0701d272c5df</t>
  </si>
  <si>
    <t>Whenever you use the "Take 1 Grain" Action space, you receive 1 additional Grain. When you play this card, you receive 1 Grain.</t>
  </si>
  <si>
    <t>Serf</t>
  </si>
  <si>
    <t>2d74fabc-bf83-4c99-9655-6dd75e0b7a63</t>
  </si>
  <si>
    <t>Whenever you use the "Sow and/or Bake Bread" action, you receive 1 Grain before taking the action. Alternatively, you can exchange 1 Grain for 1 Vegetable.</t>
  </si>
  <si>
    <t>Sheep Farmer</t>
  </si>
  <si>
    <t>b34af80b-4bfd-427e-a3c6-581378cb00f7</t>
  </si>
  <si>
    <t>Whenever you take Sheep with one of your people, you receive an additional Sheep from the supply. You can exchange 3 Sheep for 1 Cattle and 1 Wild boar at any time (except during the breeding phase).</t>
  </si>
  <si>
    <t>Shepherd Boy</t>
  </si>
  <si>
    <t>b18a0eb4-978a-412b-a91a-8dd578703d46</t>
  </si>
  <si>
    <t>Once you live in a Stone house, place 1 Sheep on each remaining Round space. At the start of these rounds, you receive the Sheep. (If you already live in a Stone house, place the Sheep immediately.)</t>
  </si>
  <si>
    <t>Slaughterman</t>
  </si>
  <si>
    <t>aaf0f634-476d-4a3e-ac3a-6f16b4499897</t>
  </si>
  <si>
    <t>Whenever another player converts 1 or more animals into Food, you receive 1 Food from the supply. In the Feeding phase, you are the last player to feed your family (so you can benefit if other players slaughter).(If you convert an animal yourself, you receive no additional food.)</t>
  </si>
  <si>
    <t>Stone Breaker</t>
  </si>
  <si>
    <t>9bac21f2-d19d-4649-8d60-6b8535658698</t>
  </si>
  <si>
    <t>At any time, you can renovate your Clay hut to a Stone house without using a "Renovation" Action space. (You must still pay the costs of the renovation.)</t>
  </si>
  <si>
    <t>Storehouse Clerk</t>
  </si>
  <si>
    <t>c74b2268-3ba6-4c2e-af29-9c61213565f0</t>
  </si>
  <si>
    <t>Whenever you have at least 5 Stone at the start of a round, you receive 1 extra Stone. If you have at least 6 Reed, you receive 1 Reed. If you have at least 7 Clay, you receive 1 Clay. If you have at least 8 Wood, you receive 1 Wood.</t>
  </si>
  <si>
    <t>Storehouse Keeper</t>
  </si>
  <si>
    <t>65e44c3d-e5f5-41ee-92ae-73b3dad70dee</t>
  </si>
  <si>
    <t>Whenever you use a Family member's action to take Reed and Stone, you also receive your choice of 1 Clay or 1 Grain.</t>
  </si>
  <si>
    <t>Tanner</t>
  </si>
  <si>
    <t>345378fb-94ce-411a-ac28-937bae46f77f</t>
  </si>
  <si>
    <t>When you convert Wild boar or Cattle to Food, you can choose to place them on this card. At the end of the game, you receive 1/2/3 Bonus points for 2/4/6 slaughtered Wild boar as well as for 2/3/4 Cattle.</t>
  </si>
  <si>
    <t>Tinsmith</t>
  </si>
  <si>
    <t>c28407b3-163e-4c02-accc-36bd38e23554</t>
  </si>
  <si>
    <t>You can convert Clay into Food at any time. You receive 1 Food per Clay. If any player has built a Well (including the Village Well), you receive 3 Food for every 2 Clay.</t>
  </si>
  <si>
    <t>Traveling Salesman</t>
  </si>
  <si>
    <t>8865c586-f3bc-494e-98c7-b2fd7b1c8788</t>
  </si>
  <si>
    <t>Whenever you select a "Minor Improvement" action on an Action space, you can play a Major instead of a Minor Improvement. If you select the "Major or Minor Improvement" action, you can play 2 Minor Improvements.</t>
  </si>
  <si>
    <t>Veterinarian</t>
  </si>
  <si>
    <t>7a196a37-723d-4665-89e0-bf7c33503737</t>
  </si>
  <si>
    <t>When you play this card, place 4 Sheep, 3 Wild boar and 2 Cattle cubes in a container. At the start of each round, draw two animals. If they are the same, keep one. Return the 1 or 2 animals to the container.</t>
  </si>
  <si>
    <t>Weaver</t>
  </si>
  <si>
    <t>5c0aaee0-5176-4931-a1b9-4b5070d9cd6d</t>
  </si>
  <si>
    <t>Whenever you have at least 2 Sheep at the start of the Work phase, you receive 1 Food.</t>
  </si>
  <si>
    <t>Wood Carver</t>
  </si>
  <si>
    <t>6ee33431-2db3-4155-b023-8edf755969de</t>
  </si>
  <si>
    <t>In each round, you pay 1 Wood less for one of the following: an Improvement, a Room of a Woden hut, a stable or a fence.</t>
  </si>
  <si>
    <t>Wood Deliveryman</t>
  </si>
  <si>
    <t>5e183f2f-8470-4883-bb30-49c253248d1e</t>
  </si>
  <si>
    <t>Place 1 Wood on each remaining space for rounds 8 to 14. At the start of these rounds, you receive the Wood.</t>
  </si>
  <si>
    <t>Wood Distributor</t>
  </si>
  <si>
    <t>8026f141-51f1-4840-af45-19b5fd819ac8</t>
  </si>
  <si>
    <t>At the start of the Work phase of each round, you can distribute the Wood from the "3 Wood" Action space as evenly as possible onto the neighbouring "Clay", "Reed" and "Fishing" spaces. When you play this card, you receive 2 Wood.</t>
  </si>
  <si>
    <t>Butterfly Catcher</t>
  </si>
  <si>
    <t>0cc15eeb-e5ff-4eeb-83ca-39963cbd2191</t>
  </si>
  <si>
    <t>Place 1 Food from the general supply on up to 3 unused farmyard spaces on all Farms. When the spaces are used, you receive the Food.</t>
  </si>
  <si>
    <t>Wallfly</t>
  </si>
  <si>
    <t>Chairman</t>
  </si>
  <si>
    <t>e295b0ea-2d81-4692-887b-097fa42819b6</t>
  </si>
  <si>
    <t>If this is your first Occupation you may play 2 Occupations for free at the start of next round. You may not play Occupations anymore after those Occupations are played.</t>
  </si>
  <si>
    <t>Colliery Overman</t>
  </si>
  <si>
    <t>1ab50803-ea2e-437d-8e27-1e535aa46222</t>
  </si>
  <si>
    <t>Once during the game, after using a Stone Accumulation space, you may pay exactly 3 Stone and 1 Reed to build at most 1 Stone Room.</t>
  </si>
  <si>
    <t>Cookery Seller</t>
  </si>
  <si>
    <t>8bdb18e6-60a1-4d90-b2b2-2b4c6d81c7f9</t>
  </si>
  <si>
    <t>Whenever another player builds an Improvement with a Cooking symbol you receive 1 Food and 1 Grain which you may Bake immediately.</t>
  </si>
  <si>
    <t>Early Expert</t>
  </si>
  <si>
    <t>8de754e0-93b0-4577-af78-31100f5da51b</t>
  </si>
  <si>
    <t>After using a Round 1-4 action space, you receive 1 food. If you paid building resource(s) for a cost when using the space, 1 of those resources returns to your supply.</t>
  </si>
  <si>
    <t>Lumin</t>
  </si>
  <si>
    <t>Furrier</t>
  </si>
  <si>
    <t>84d79dfa-dc30-4a75-815e-0d3f7a4128bd</t>
  </si>
  <si>
    <t>Place 2 Cattle and 2 Wild Boar on this card. Whenever another player builds an Improvement with a Cooking symbol you receive a Animal from this card.</t>
  </si>
  <si>
    <t>Guild Farmer</t>
  </si>
  <si>
    <t>2dd07ad8-7e1e-4a50-a7b4-04376f09c01d</t>
  </si>
  <si>
    <t>Pile (from bottom to top) 1 Cattle, 1 Reed, 1 Vegetable, 1 Stone and 1 Grain on this card from the supply. At most once per Harvest when you convert a Building resource to Food you receive the top item.</t>
  </si>
  <si>
    <t>Ice Cream Seller</t>
  </si>
  <si>
    <t>c161c761-4731-4c35-928a-d3f24e941769</t>
  </si>
  <si>
    <t>Whenever any player uses the "Family growth even without room" action space and you have at least 1 Cattle you receive 1 Food and 1 Bonus point.</t>
  </si>
  <si>
    <t>Innovative Builder</t>
  </si>
  <si>
    <t>3c2c07d7-f9ac-4ffe-a3fe-cffc6318b059</t>
  </si>
  <si>
    <t>Whenever you build 1 or more Rooms you may discard 1 Minor Improvement from your hand to receive a discount of the printed cost of the Improvement on 1 Room.</t>
  </si>
  <si>
    <t>Lady with lamp</t>
  </si>
  <si>
    <t>73a6656e-7812-42ac-8e6c-9dd713eb1f08</t>
  </si>
  <si>
    <t>In the Feeding phase of the next Harvest you can return 3 Clay to the supply to feed all your Family members.</t>
  </si>
  <si>
    <t>Major</t>
  </si>
  <si>
    <t>39a766f7-58b1-4a88-a8e0-0f9cd7b87a71</t>
  </si>
  <si>
    <t>Place 4 different building resources and 1 Vegetable on 5 different unbuilt Major Improvements. When these Improvements are acquired, you receive the Good.</t>
  </si>
  <si>
    <t>Nile Farmer</t>
  </si>
  <si>
    <t>e55826b6-e366-4d6e-a8ab-fcc48ca7eead</t>
  </si>
  <si>
    <t>Whenever you take exactly 3 Food from an Action space, you may Plow 1 field.</t>
  </si>
  <si>
    <t>Novelist</t>
  </si>
  <si>
    <t>b09979ef-d0af-4000-ba7c-fc81c87f2a90</t>
  </si>
  <si>
    <t>If you live in a Clay hut (but not a Stone house) you receive 1 Food, 1 Reed and 1 Bonus point whenever you use a Clay Accumulation space.</t>
  </si>
  <si>
    <t>Old Crafter</t>
  </si>
  <si>
    <t>ed406436-d39f-4c19-b5dd-d2f87b0a1112</t>
  </si>
  <si>
    <t>When you Renovate your home you receive 3 Food and 1 Reed before taking the action.</t>
  </si>
  <si>
    <t>Porcelain Maker</t>
  </si>
  <si>
    <t>5039b3a0-12e8-4ad6-9113-cb8ff9c69137</t>
  </si>
  <si>
    <t>Before you play an Improvement with a printed Clay cost, you receive 2 Food and 1 Clay before paying the cost.</t>
  </si>
  <si>
    <t>Roof Topper</t>
  </si>
  <si>
    <t>eb558f37-ca19-40a7-a013-e5a2cf4ed036</t>
  </si>
  <si>
    <t>When you play this card you receive 1 Reed. Yoy may place each Reed you spend for an extension or renovation on this card. At the end of the game, you receive 1 Bonus point for every 2 Reed on this card.</t>
  </si>
  <si>
    <t>Spragger</t>
  </si>
  <si>
    <t>589efe2e-b490-4d14-9b84-b729d755e3ac</t>
  </si>
  <si>
    <t>Place 3 Wood on this card from the supply. At the start of each Harvest you may move 1 of these Wood to your supply. When the last Wood is moved you may play 1 Occupation for free.</t>
  </si>
  <si>
    <t>Village Lady</t>
  </si>
  <si>
    <t>efc3bfea-6fe8-4176-a9f1-12af25376768</t>
  </si>
  <si>
    <t>At the start of each Round, you may discard 2 cards from your hand to Plow 1 field.</t>
  </si>
  <si>
    <t>Oxmond</t>
  </si>
  <si>
    <t>Animal Farmer</t>
  </si>
  <si>
    <t>8ebae7fa-c162-4a00-8f40-36c1a97be93d</t>
  </si>
  <si>
    <t>At the end of the game, you receive 1 bonus point for each of your pastures that cannot contain any more animals than it does. If all of your pastures qualify, you receive 1 additional bonus point.</t>
  </si>
  <si>
    <t>Astronomer</t>
  </si>
  <si>
    <t>208b537d-3e57-40ee-9e34-542446987bf7</t>
  </si>
  <si>
    <t>When you play this card, you receive 2 Food and 1 building resource of your choice. Whenever 3/4 of your Family members use 3/4 adjacent Action spaces (forming a vertical or horizontal line), you receive 1/3 Bonus points.</t>
  </si>
  <si>
    <t>Baker's Apprentice</t>
  </si>
  <si>
    <t>28466f2f-300d-4075-b469-ff0939659fb5</t>
  </si>
  <si>
    <t>When you play this card, you receive 1 Grain. You can use the "Take 1 Grain" and "Sow and/or Bake Bread" Action spaces even if another player has placed a person on the space. When you play this card, you can immediately take a "Bake bread" action.</t>
  </si>
  <si>
    <t>Carrot Farmer</t>
  </si>
  <si>
    <t>666f0b1d-a70f-475d-b645-34dd7eb4b9fa</t>
  </si>
  <si>
    <t>Place 3 vegetables from the general supply on this card. Whenever you use the "Plow 1 Field" Action space, you may pay 1 Food for one of the Vegetables.</t>
  </si>
  <si>
    <t>Chief Forester</t>
  </si>
  <si>
    <t>4e0a5b38-dfaf-4d17-8cb0-191f8423d98b</t>
  </si>
  <si>
    <t>Each time you use a Wood accumulation space, you also get a "Sow" action for exactly 1 field.</t>
  </si>
  <si>
    <t>Clay Starter</t>
  </si>
  <si>
    <t>47ec0d73-4277-4230-9791-b6027762a084</t>
  </si>
  <si>
    <t>When you play this card, if you only have 2 rooms in your Wooden hut, immediately pay 1 Food to renovate it to Clay for free.</t>
  </si>
  <si>
    <t>Craft Teacher</t>
  </si>
  <si>
    <t>18712968-27b5-45d7-94e5-a66b9690fcf3</t>
  </si>
  <si>
    <t>Each time after you build the Major Improvement "Joinery", "Pottery", and "Basketmaker's Workshop", you can pay 1 Food to play up to 2 occupations.</t>
  </si>
  <si>
    <t>Crop Farmer</t>
  </si>
  <si>
    <t>1e6c4901-d7e9-4b72-b047-9579fcd3110d</t>
  </si>
  <si>
    <t>The next time you build at least 1 fence, you recieve 1 Vegetable and 1 Food. Each time you build at least 1 fence after that, you recieve 1 Grain and 1 Food.</t>
  </si>
  <si>
    <t>Eager Student</t>
  </si>
  <si>
    <t>566f7d37-8367-4dcc-8383-6f2259d28249</t>
  </si>
  <si>
    <t>Grain Lover</t>
  </si>
  <si>
    <t>c7e7445e-129c-4f3a-a941-a6c755932017</t>
  </si>
  <si>
    <t>If there are still 7 rounds to play, you may Plow 1 field, which you may immediately Sow with 1 Grain from your supply. At the end of the game, all players with the most Grain receive 2 Bonus points each.</t>
  </si>
  <si>
    <t>Lumberjack</t>
  </si>
  <si>
    <t>d3225414-2809-420d-94dd-c32db2332f97</t>
  </si>
  <si>
    <t>When you play this card, you receive 2 Wood. Additionally, place 1 Wood on each of the next round spaces, up to the number of fences you built. At the start of these rounds, you get the Wood.</t>
  </si>
  <si>
    <t>Resource Collector</t>
  </si>
  <si>
    <t>6a37e763-3a3e-49d2-ad88-964b6a6fe4ab</t>
  </si>
  <si>
    <t>Place 1 Wood, 1 Clay, 1 Reed, and 1 Stone on the next 4 Round spaces in any order you choose. At the start of those rounds, you receive the resource.</t>
  </si>
  <si>
    <t>Resource Dealer</t>
  </si>
  <si>
    <t>ad5aa318-cec6-40af-9da1-c803645ed663</t>
  </si>
  <si>
    <t>Pile (from bottom to top) 1 Stone, 1 Clay, 1 Stone, 1 Reed, 1 Wood, and 1 Clay on this card. Whenever you build a room, play an Improvement, or renovate your home, you may use the top resource(s) on this card.</t>
  </si>
  <si>
    <t>Small Scale Farmer</t>
  </si>
  <si>
    <t>c7cfffe9-bc52-4a08-9466-15730ec69b55</t>
  </si>
  <si>
    <t>As long as your home has exactly 2 rooms, you receive 1 Wood at the start of each Round.</t>
  </si>
  <si>
    <t>Stablemaster</t>
  </si>
  <si>
    <t>c503eee0-5b52-4127-ba68-a866e86c2d9b</t>
  </si>
  <si>
    <t>When you play this card, you can immediately build exactly 1 stable for 1 Wood. Exactly one of your unfenced stables can hold up to 3 animals of one type.</t>
  </si>
  <si>
    <t>Troll</t>
  </si>
  <si>
    <t>3f6c2443-3c30-4178-bbe0-99f8814f66d4</t>
  </si>
  <si>
    <t>At the start of each Work phase, if you live in a Stone house, you may put 1 of your played cards under this card. It has lost its function, but each gives 1 Bonus point at the end of the game.</t>
  </si>
  <si>
    <t>Wintercrafter</t>
  </si>
  <si>
    <t>24e0d84e-7a0e-402e-bae4-e7e7e6eee0cb</t>
  </si>
  <si>
    <t>Between the Field and Feeding phases of each Harvest, you may play a Minor Improvement or pay 2 Food to build a Major Improvement by paying its cost.</t>
  </si>
  <si>
    <t>Amazon</t>
  </si>
  <si>
    <t>abb6fc30-9289-4925-b3bb-82263c1ff0e9</t>
  </si>
  <si>
    <t>Whenever you use the "Fishing" Action space in Round 7/9/11/13, you receive 1 additional Sheep/Wild boar/Cattle animal of your choice.</t>
  </si>
  <si>
    <t>Animal Buyer</t>
  </si>
  <si>
    <t>77c9c0f7-b4d9-4deb-9174-c772fbe2e8f1</t>
  </si>
  <si>
    <t>At the end of the Field phase of each Harvest, you may buy 1 or 2 animals. Pay 2/3/4 Food for each Sheep/Wild boar/Cattle.</t>
  </si>
  <si>
    <t>Apple Picker</t>
  </si>
  <si>
    <t>2523aaa1-1fd1-436b-9590-9d7d63d2c9cc</t>
  </si>
  <si>
    <t>Whenever you use the "Take 1 Grain" or "Take 1 Vegetable" Action space, you receive an additional 1 Wood and 1 Food.</t>
  </si>
  <si>
    <t>Bargaining Baker</t>
  </si>
  <si>
    <t>d0828a82-f1df-40d0-b651-72df226f443d</t>
  </si>
  <si>
    <t>When you build an Oven, pay 1 Building resource less of your choice. Whenever you build a "baking symbol" Improvement, you receive 1 Grain before building the Improvement. (An Oven is a "baking symbol"-Improvement with "Oven" in the name.)</t>
  </si>
  <si>
    <t>stijn263</t>
  </si>
  <si>
    <t>Bee Keeper</t>
  </si>
  <si>
    <t>8ccfd61e-056c-43cc-8a39-94308c0487dd</t>
  </si>
  <si>
    <t>When you play this card, immediately build 1 stable without paying Wood and place it on its side. The stable loses its regular animal functions. (It is still worth 1 additional point if fenced.) In the Feeding phase of each harvest, you receive 1 Food as long as the stable is on your farm.</t>
  </si>
  <si>
    <t>braggart</t>
  </si>
  <si>
    <t>Borrower</t>
  </si>
  <si>
    <t>a6c39713-790c-4486-9cf0-7c2466b0ddbf</t>
  </si>
  <si>
    <t>When you play this card, you receive 7 Food and 2 Begging cards. At any time, you may pay 3 Food to discard one of these 2 Begging cards or a Begging card you received instead of paying 1 Food to feed your family.</t>
  </si>
  <si>
    <t>schwza</t>
  </si>
  <si>
    <t>Branch Collector</t>
  </si>
  <si>
    <t>843e1922-4284-4f8b-b1fb-218686bdb59f</t>
  </si>
  <si>
    <t>Whenever you use Clay or Stone for an Extension, Renovation, or Improvement, you receive 1 Wood from the general supply before paying its costs.</t>
  </si>
  <si>
    <t>Bread Carrier</t>
  </si>
  <si>
    <t>a6f5a064-7bf1-4c04-ba1f-138d9eefc483</t>
  </si>
  <si>
    <t>Once any player has built an Oven, place 1 Food on the Remaining round spaces. At the start of the rounds, you receive the Food. (If an Oven has already been built, place the Food immediately. If multiple Ovens are built, you only receive the Food once.)</t>
  </si>
  <si>
    <t>ira</t>
  </si>
  <si>
    <t>Chemist</t>
  </si>
  <si>
    <t>d791f4ea-231c-4142-9729-61120ea03837</t>
  </si>
  <si>
    <t>Whenever you use a person's action to take Wood from a Building resource Accumulation space, you may immediately place 1 Clay from your supply on another Building resource Accumulation space to receive 2 Food.</t>
  </si>
  <si>
    <t>Cloister Dweller</t>
  </si>
  <si>
    <t>f8b94991-79f3-4b15-a807-57a9ecae7dc9</t>
  </si>
  <si>
    <t>At the end of the game, you receive 1 Bonus point for each of the 5 columns of your farmyard that is either all rooms, all fields, or all in the same pasture.</t>
  </si>
  <si>
    <t>colby</t>
  </si>
  <si>
    <t>Contractor</t>
  </si>
  <si>
    <t>cbe79a63-e4f2-4716-9513-bc3789043987</t>
  </si>
  <si>
    <t>Whenever you build a room, renovate your home, or build a Major Improvement, you can replace up to 1 Building resource of your choice with 1 Food.</t>
  </si>
  <si>
    <t>tibs</t>
  </si>
  <si>
    <t>Covetous Farmer</t>
  </si>
  <si>
    <t>057e7725-43b4-486d-8a01-55d0c5798b68</t>
  </si>
  <si>
    <t>Once each round, during one of your turns, you may take 1 Building resource from the general supply of a type that you do not have and every other player does have.</t>
  </si>
  <si>
    <t>Cowboy</t>
  </si>
  <si>
    <t>d3cc624f-96ec-405b-b45d-0ceb770ba892</t>
  </si>
  <si>
    <t>You can use the "Take 1 Sheep", "Wild boar" or "Cattle" Action spaces, even if they are occupied. If you do this, take 1 animal of that type. Additionally, you can keep 2 animals of the same type on 1 of your Unused farmyard spaces. (The space still counts as used.)</t>
  </si>
  <si>
    <t>Crop Rotator</t>
  </si>
  <si>
    <t>b0c89736-80e3-45ef-97ae-3be05dd2691f</t>
  </si>
  <si>
    <t>Whenever you remove the last Grain/Vegetable from a field, you may immediately sow a Vegetable/Grain in that field. When you play this card, immediately take 1 Grain or Vegetable from each of your fields and place them in your supply.</t>
  </si>
  <si>
    <t>alweth</t>
  </si>
  <si>
    <t>Debris Dealer</t>
  </si>
  <si>
    <t>a9df62fe-acaa-4456-964b-bdd8266f1885</t>
  </si>
  <si>
    <t>When you renovate your Clay hut, you receive 2 Clay afterward. Once you live in a Clay hut or Stone house, whenever another player renovates their Wooden/Clay hut, you receive 2 Wood/Clay.</t>
  </si>
  <si>
    <t>Diplomat</t>
  </si>
  <si>
    <t>e02398e7-419c-48f7-8cee-5e5236a8ef51</t>
  </si>
  <si>
    <t>Once during round 14, you may use an Action space even if it is occupied by other players. If you play this card in Round 7 or before, you may do this twice instead.</t>
  </si>
  <si>
    <t>Engineer</t>
  </si>
  <si>
    <t>b94fdcee-842f-4e0b-8ed0-cc728b6737c5</t>
  </si>
  <si>
    <t>Whenever you play an Improvement, you receive 1 Food before paying the costs of the Improvement. If the Improvement has a printed Stone cost, you receive 2 Food instead of 1.</t>
  </si>
  <si>
    <t>Expert Builder</t>
  </si>
  <si>
    <t>34d03dab-e8d3-43f8-a326-7de213413853</t>
  </si>
  <si>
    <t>Whenever any player (including you) builds 1 or more rooms, they must place 1 resource of those paid on this card. You may use these resources to pay for your extensions or renovations.</t>
  </si>
  <si>
    <t>Family Planner</t>
  </si>
  <si>
    <t>532c3b19-3f69-4b8c-9650-e5fbe8a95252</t>
  </si>
  <si>
    <t>Add 4, 7 and 10 to the current round and place up to 1 person still in your supply on each corresponding Round space. At the start of these rounds and not earlier, you may take the person as a new Family member, if you have room. (If you don't, return it to your supply.) It counts as a Newborn, and it may take actions the following round.</t>
  </si>
  <si>
    <t>Farm School Graduate</t>
  </si>
  <si>
    <t>f43e060f-ddf0-45a1-993f-469640f3bed0</t>
  </si>
  <si>
    <t>You may only play this card as your first Occupation. From now on, you may not use any Occupation action on any Action space. At the start of each Harvest, you may pay 2 Food to play an Occupation.</t>
  </si>
  <si>
    <t>Fence Dealer</t>
  </si>
  <si>
    <t>f8d2ffad-19e0-4ccb-8215-42aef2f2efeb</t>
  </si>
  <si>
    <t>You may only build 12 fences. ~~(Remove the other 3 fences from the game.)~~ Whenever you build fences, you may build 2 fences for every 1 Wood paid.</t>
  </si>
  <si>
    <t>Food Connoisseur</t>
  </si>
  <si>
    <t>caac20d8-16f5-4ddb-a1e5-3112f25aa05e</t>
  </si>
  <si>
    <t>Pile (from bottom to top) 1 Clay, 1 Vegetable, 1 Stone, 1 Grain, 1 Wood and 1 Reed on this card. Whenever you use a person to take Food from the "Day Laborer", "Fishing" or "Traveling Players" Action space, additionally take the top item on this card.</t>
  </si>
  <si>
    <t>Forest Farmer</t>
  </si>
  <si>
    <t>23e5c097-b934-4723-93d3-2350e6101f47</t>
  </si>
  <si>
    <t>Place 3 Arrow markers on this card. Each round, between the Work and Returning home phase, you may pay 1 Wood and return 1 marker to move one of your people from the "Plow 1 field" or "Plow 1 field and/or Sow" Action space to a free Action space and take the action.</t>
  </si>
  <si>
    <t>Gem Hunter</t>
  </si>
  <si>
    <t>29f11346-8178-450f-bd8e-e8a76020c875</t>
  </si>
  <si>
    <t>Whenever you use a person to take Clay from a Building resource Accumulation space, you may also receive 1 Stone. In Round 9 or before, if there are 3 or more Clay on the space, you must leave 1 Clay on the space to receive the Stone.</t>
  </si>
  <si>
    <t>Godfather</t>
  </si>
  <si>
    <t>1a4d473f-e7c8-4111-a43a-51c6e3785a22</t>
  </si>
  <si>
    <t>Whenever you use an Action space orthogonally adjacent to an occupied "Family Growth" Action space from stage 2 or stage 5, you receive 1 Grain immediately before the action is resolved.</t>
  </si>
  <si>
    <t>Hedge Master</t>
  </si>
  <si>
    <t>0297aab9-f839-4ed6-9099-a83105a85750</t>
  </si>
  <si>
    <t>Whenever you build fences, you receive 1 Bonus point. When you play this card, you immediately get a "Build fences" action.</t>
  </si>
  <si>
    <t>Heiress</t>
  </si>
  <si>
    <t>5586b2ad-284a-4045-823d-5635974232b5</t>
  </si>
  <si>
    <t>At the start of round 6/10/13, you may ~~(before phase 1)~~ build 1 Wooden/Clay/Stone room if your home is made of the same material. Pay 1 less Clay for the Clay room, and 2 less Stone for the Stone room. (When you play this card, place the Room tiles on the corresponding round spaces.)</t>
  </si>
  <si>
    <t>Herdsman</t>
  </si>
  <si>
    <t>d09ec530-35f6-4f58-9799-ee41cf452d4c</t>
  </si>
  <si>
    <t>Whenever you use the "Day Laborer" Action space, you receive 1 additional Sheep. From round 6, you can choose to receive 1 Wild boar instead.</t>
  </si>
  <si>
    <t>Hill Farmer</t>
  </si>
  <si>
    <t>616e8f49-fd07-45b3-a498-d12b7a6cc247</t>
  </si>
  <si>
    <t>Whenever you build 1 or more fences or Plow 1 or more fields, you receive 2/1 Food if you have exactly 2/3 rooms.</t>
  </si>
  <si>
    <t>Hoarder</t>
  </si>
  <si>
    <t>50f0c157-3c4a-4556-9d85-254042a7708f</t>
  </si>
  <si>
    <t>Each Harvest, you can place 1 Building resource on this card from your supply. At the end of the game, you receive 1/2/3/5 Bonus points for 1/2/3/4 different resources on this card.</t>
  </si>
  <si>
    <t>Humble Farmboy</t>
  </si>
  <si>
    <t>05cc8abb-ac55-423f-b0b9-8a4e87c6c98a</t>
  </si>
  <si>
    <t>If there are still 1/3/6/9 rounds to play, you immediately receive 1/2/3/4 Wood. At the end of the game, all players with the fewest cards in front of them receive 3 Bonus Points. (Count Occupations plus Improvements and exclude Begging cards.)</t>
  </si>
  <si>
    <t>Hunter</t>
  </si>
  <si>
    <t>f312dc9e-8617-431c-b2df-a483c77099f1</t>
  </si>
  <si>
    <t>Whenever you receive animals outside the Breeding phase of a Harvest, you may immediately convert them into Food. Take 2/3/4 Food for each Sheep/Wild Boar/Cattle converted.</t>
  </si>
  <si>
    <t>Lady in Waiting</t>
  </si>
  <si>
    <t>f8981b45-c12b-45f8-87f6-5ede10fbaba7</t>
  </si>
  <si>
    <t>If you play this card during Stage 1, place 1 person still in your supply on Round 12. At the start of this round, you can pay 2 Food to move this person into your home whether or not you have room. It counts as an adult Family member and may take actions starting Round 12.</t>
  </si>
  <si>
    <t>Livestock Keeper</t>
  </si>
  <si>
    <t>3ff35362-3f06-4eb9-9411-e9d3fdf3bb06</t>
  </si>
  <si>
    <t>When you play this card, you receive 1 Wild boar. If you already have a Wild boar, you receive 1 Cattle instead. In the Breeding phase of each Harvest, you may pay 1 Food to receive 2 offsprings of exactly 1 animal type that breeds instead of 1.</t>
  </si>
  <si>
    <t>Mailman</t>
  </si>
  <si>
    <t>b3f684f3-ad79-45a6-a2fb-4956ccb206d1</t>
  </si>
  <si>
    <t>Place 2 Wood, 2 Clay, 1 Reed, and 1 Stone on four different revealed Action spaces respectively (occupied or unoccupied.) Afterward, any player (including you) who uses one of these spaces, may also take the extra resource(s) by paying you 1 Food first.</t>
  </si>
  <si>
    <t>Master Cook</t>
  </si>
  <si>
    <t>ca8c9203-f67d-489e-879b-dcc44d6933a1</t>
  </si>
  <si>
    <t>Each round, instead of placing your first Family member on an Action space, you may place it on this card and receive 2 Food and 1 Guest token to place that round. (You may not do this if you will be placing more people after your first without another player placing in between.)</t>
  </si>
  <si>
    <t>Master Stableman</t>
  </si>
  <si>
    <t>d92653a9-6b3c-4ed9-a4d7-ce611e681460</t>
  </si>
  <si>
    <t>Whenever you use a person's action to take 2 or more animals from an Accumulation space, you can also build up to 2 stables, at a cost of 1 Wood each, before taking the animals.</t>
  </si>
  <si>
    <t>Minimalist</t>
  </si>
  <si>
    <t>337605d3-bc0c-42b6-adbe-7bbb4cdff2ad</t>
  </si>
  <si>
    <t>At the end of the game, you receive 9/6/4/2 Bonus points for having exactly 0/1/2/3 Improvements in front of you.</t>
  </si>
  <si>
    <t>coyotek4</t>
  </si>
  <si>
    <t>Pawnbroker</t>
  </si>
  <si>
    <t>2cd6912c-ab32-40a1-9e92-95e3be89d0f2</t>
  </si>
  <si>
    <t>At any time, you may convert all the printed Victory points (if any) of an Improvement in front of you to 3 Food per point. Afterward, you may not return or remove the Improvement and you no longer receive its Victory points. If the Pawnbroker gets turned face down or discarded, you still lose the points.</t>
  </si>
  <si>
    <t>Permaculturist</t>
  </si>
  <si>
    <t>02743a24-69a8-4895-857f-8bcae7103ed0</t>
  </si>
  <si>
    <t>You may sow Grain on Unused farmyard spaces. Planted spaces count as Grain fields and do not need to be adjacent to your existing plowed fields. You may move Grain from these fields to the general supply at any time and you must move Grain before scoring. (Or if this card gets removed or turned face down).</t>
  </si>
  <si>
    <t>bjwells</t>
  </si>
  <si>
    <t>Politician</t>
  </si>
  <si>
    <t>835ce271-dc9f-4d6b-a7b9-2838f061a9e4</t>
  </si>
  <si>
    <t>Twice each round, you may exchange 1 Reed for 1 Stone, or 1 Stone for 1 Reed. When you play this card, you receive 1 Stone.</t>
  </si>
  <si>
    <t>Remodeler</t>
  </si>
  <si>
    <t>1b9f47a7-7341-42d6-84f9-7baa07d8871d</t>
  </si>
  <si>
    <t>When you renovate your Wooden hut, you may first return 1 built stable to extend your hut by 1 Wooden room for free before paying the costs of the Renovation. (The stable can be rebuilt later.)</t>
  </si>
  <si>
    <t>Resource Lender</t>
  </si>
  <si>
    <t>86f908b2-8338-4f88-b4ea-b713ad5ed2df</t>
  </si>
  <si>
    <t>Whenever you receive Building resources from an Action space, instead of placing them in your supply, you may add 1 resource of 1 type received and place them all on the next Round spaces with 1 per space (in any order and discard any excess.) At the start of these rounds, you receive the resource.</t>
  </si>
  <si>
    <t>Silo Girl</t>
  </si>
  <si>
    <t>3eb207f6-b36b-489e-97af-5909dc370cb1</t>
  </si>
  <si>
    <t>Once you live in a Stone house, place 1 Grain on each remaining even Round space and 1 Vegetable on each remaining odd Round space. At the start of these rounds, you receive the resources. (If you already live in a Stone house, place the resources immediately.)</t>
  </si>
  <si>
    <t>Stable Deliveryman</t>
  </si>
  <si>
    <t>c913a95a-2ff4-4bb6-934f-23efcd622791</t>
  </si>
  <si>
    <t>Add 3, 5, 7, and 9 to the current round and place up to 1 of your unbuilt stables on each remaining corresponding Round space. At the start of these rounds you may pay 1 Wood to build that stable immediately. (If you don't, return that stable to your supply. Until then, you cannot build that stable.)</t>
  </si>
  <si>
    <t>toxodon</t>
  </si>
  <si>
    <t>Stone Curator</t>
  </si>
  <si>
    <t>8c04e95c-0b19-4777-8db6-cc32092178c8</t>
  </si>
  <si>
    <t>Whenever you use a Stone Accumulation space, you receive 1 additional Food. At the end of the game, you receive 1 Bonus point for every 2 rooms in your Stone house and every 2 Improvements with a printed Stone cost.</t>
  </si>
  <si>
    <t>synegg</t>
  </si>
  <si>
    <t>Storehouse Minder</t>
  </si>
  <si>
    <t>8a496170-46d7-4ec6-b3d9-4443189db8d3</t>
  </si>
  <si>
    <t>When you play this card, you may place 1 to 4 Building resources of different types on it from your supply. At the start of each Harvest, choose up to 2 resource types currently on this card and add 1 of each from the general supply. Each round, you may take all the resources of any 1 type remaining.</t>
  </si>
  <si>
    <t>Sunday Worker</t>
  </si>
  <si>
    <t>d87b68bc-734e-4576-94a7-cbdbeff29f8b</t>
  </si>
  <si>
    <t>Once during Rounds 7 and 14, you may pay 1 Food to take one of your peoples' actions twice. If you use an Accumulation space with that action, you get double the amount of Goods and/or Food.</t>
  </si>
  <si>
    <t>Sunrise Admirer</t>
  </si>
  <si>
    <t>7866f01c-b22a-4817-b25c-0c91316746a2</t>
  </si>
  <si>
    <t>At the start of the next 3 rounds, you may pay 2 Food to Plow 1 of the three Eastern-most spaces on your farm (the farm side opposite your home) if they are unused. (Normal plowing rules still apply.) If you choose not to, discard the Sunrise Admirer.</t>
  </si>
  <si>
    <t>Tapestry Weaver</t>
  </si>
  <si>
    <t>409d4068-d134-4694-abc5-2bf327db75be</t>
  </si>
  <si>
    <t>Whenever you have at least 3 Sheep during the Field phase of a Harvest, place 1 Food from the general supply in your home. You may only place 1 Food per room. You cannot use these Food, but each is worth 1 Bonus point at the end of the game.</t>
  </si>
  <si>
    <t>playerx</t>
  </si>
  <si>
    <t>Tavern Keeper</t>
  </si>
  <si>
    <t>c637694b-880a-43d7-bb8a-a3df75101818</t>
  </si>
  <si>
    <t>At the start of each Harvest, receive 1 Food and 1 Grain if you have at least 1 room in your home that is not occupied by a Family member. At the end of the game, receive 1 Bonus Point for every empty room.</t>
  </si>
  <si>
    <t>mattgoh88</t>
  </si>
  <si>
    <t>Tile Maker</t>
  </si>
  <si>
    <t>f9845508-7483-4bc9-ab27-2e76616b8120</t>
  </si>
  <si>
    <t>If there are 1/3/6/9 rounds left to play you receive 1/2/3/4 Clay. At the end of the game all players with a Clay hut receive 2 Bonus points. (This card does not give Bonus points for a Stone house.)</t>
  </si>
  <si>
    <t>Village Fool</t>
  </si>
  <si>
    <t>6b882abb-cc55-48ab-a030-a78f093a1fe5</t>
  </si>
  <si>
    <t>At the start of each round, you may place 1 card face down from your hand under Village Fool. That card can no longer be used for the rest of the game. At the end of the game, you receive 1 Bonus points for each card under Village Fool except the 3rd, 5th, 7th and 9th.</t>
  </si>
  <si>
    <t>Wheelbarrow Pusher</t>
  </si>
  <si>
    <t>01d5f22b-45c6-4b96-8cbb-a3c1a89ea7ed</t>
  </si>
  <si>
    <t>Whenever you use a person's actions to take exactly 1 resource from a Building resource Accumulation space, you receive an additional 1 Building resource of your choice or 1 Food. In a 4/5 player game, you instead receive an additional 1 Building resource of your choice and 1 Food.</t>
  </si>
  <si>
    <t>Wood Worker</t>
  </si>
  <si>
    <t>efee26f5-97b7-4396-b9cc-4367af70826a</t>
  </si>
  <si>
    <t>Whenever you use any Action space, immediately afterward you may place 1 Food from your supply on the space to receive 1 Wood. The next player to use the Action space receives this food.</t>
  </si>
  <si>
    <t>card_type</t>
  </si>
  <si>
    <t>deck</t>
  </si>
  <si>
    <t>card_name</t>
  </si>
  <si>
    <t>card_uuid</t>
  </si>
  <si>
    <t>min_no_players</t>
  </si>
  <si>
    <t>requirement</t>
  </si>
  <si>
    <t>cost</t>
  </si>
  <si>
    <t>victory_points</t>
  </si>
  <si>
    <t>is_passing_minor</t>
  </si>
  <si>
    <t>card_text</t>
  </si>
  <si>
    <t>card_creator</t>
  </si>
  <si>
    <t>has_bonus_symbol</t>
  </si>
  <si>
    <t>"Family growth" action is revealed</t>
  </si>
  <si>
    <t>"Whenever you use the most recent Round card with a Person, you may afterward pay 1 Food to play 1 Occupation.</t>
  </si>
  <si>
    <t>Family Counselor</t>
  </si>
  <si>
    <t>c1b22050-83d7-435b-bde3-f7d923969ac5</t>
  </si>
  <si>
    <t>Whenever at the a of a Work phase all of your adult Family members were placed on the same piece of cardboard, you receive 1 Food, if it were 2 Adults. For 3 Adults, you receive 1 Grain. For 4+ Adults, you receive 1 Vegetable.</t>
  </si>
  <si>
    <t>Firewood Collector</t>
  </si>
  <si>
    <t>d75a05e1-6556-4ab5-bb5f-c6bbe71695da</t>
  </si>
  <si>
    <t>Each time you use the "Plow 1 field", "Take 1 Grain", "Sow and/or Bake bread", or "Plow 1 field and/or Sow" action space, at the end of that turn, you get 1 Wood.</t>
  </si>
  <si>
    <t>dealt</t>
  </si>
  <si>
    <t>drafted</t>
  </si>
  <si>
    <t>played</t>
  </si>
  <si>
    <t>won</t>
  </si>
  <si>
    <t>ADP</t>
  </si>
  <si>
    <t>PWR</t>
  </si>
  <si>
    <t>http://play-agricola.com/Agricola/Images/eminoranimalpen.jpg</t>
  </si>
  <si>
    <t>http://play-agricola.com/Agricola/Images/eminoranimalyard.jpg</t>
  </si>
  <si>
    <t>http://play-agricola.com/Agricola/Images/eminoraxe.jpg</t>
  </si>
  <si>
    <t>http://play-agricola.com/Agricola/Images/eminorbakersoven.jpg</t>
  </si>
  <si>
    <t>http://play-agricola.com/Agricola/Images/eminorbakingtray.jpg</t>
  </si>
  <si>
    <t>http://play-agricola.com/Agricola/Images/eminorbeanfield.jpg</t>
  </si>
  <si>
    <t>http://play-agricola.com/Agricola/Images/eminorbuilderstrowel.jpg</t>
  </si>
  <si>
    <t>http://play-agricola.com/Agricola/Images/eminorbuildingmaterial.jpg</t>
  </si>
  <si>
    <t>http://play-agricola.com/Agricola/Images/eminorbutterchurn.jpg</t>
  </si>
  <si>
    <t>http://play-agricola.com/Agricola/Images/eminorcanoe.jpg</t>
  </si>
  <si>
    <t>http://play-agricola.com/Agricola/Images/eminorcarppond.jpg</t>
  </si>
  <si>
    <t>http://play-agricola.com/Agricola/Images/eminorcattlemarket.jpg</t>
  </si>
  <si>
    <t>http://play-agricola.com/Agricola/Images/eminorceramics.jpg</t>
  </si>
  <si>
    <t>http://play-agricola.com/Agricola/Images/eminorclayroof.jpg</t>
  </si>
  <si>
    <t>http://play-agricola.com/Agricola/Images/eminorclaysupports.jpg</t>
  </si>
  <si>
    <t>http://play-agricola.com/Agricola/Images/eminorclogs.jpg</t>
  </si>
  <si>
    <t>http://play-agricola.com/Agricola/Images/eminorcornscoop.jpg</t>
  </si>
  <si>
    <t>http://play-agricola.com/Agricola/Images/eminordovecote.jpg</t>
  </si>
  <si>
    <t>http://play-agricola.com/Agricola/Images/eminordrinkingtrough.jpg</t>
  </si>
  <si>
    <t>http://play-agricola.com/Agricola/Images/eminorfeedpellets.jpg</t>
  </si>
  <si>
    <t>http://play-agricola.com/Agricola/Images/eminorfield.jpg</t>
  </si>
  <si>
    <t>http://play-agricola.com/Agricola/Images/eminorfishingrod.jpg</t>
  </si>
  <si>
    <t>http://play-agricola.com/Agricola/Images/eminorfruittree.jpg</t>
  </si>
  <si>
    <t>http://play-agricola.com/Agricola/Images/eminorgypsysrock.jpg</t>
  </si>
  <si>
    <t>http://play-agricola.com/Agricola/Images/eminorhalftimberedhouse.jpg</t>
  </si>
  <si>
    <t>http://play-agricola.com/Agricola/Images/eminorhelpfulneighbors.jpg</t>
  </si>
  <si>
    <t>http://play-agricola.com/Agricola/Images/eminorlettucepatch.jpg</t>
  </si>
  <si>
    <t>http://play-agricola.com/Agricola/Images/eminormadonnastatue.jpg</t>
  </si>
  <si>
    <t>http://play-agricola.com/Agricola/Images/eminormanger.jpg</t>
  </si>
  <si>
    <t>http://play-agricola.com/Agricola/Images/eminormarketstall.jpg</t>
  </si>
  <si>
    <t>http://play-agricola.com/Agricola/Images/eminormillstone.jpg</t>
  </si>
  <si>
    <t>http://play-agricola.com/Agricola/Images/eminorminipasture.jpg</t>
  </si>
  <si>
    <t>http://play-agricola.com/Agricola/Images/eminorouthouse.jpg</t>
  </si>
  <si>
    <t>http://play-agricola.com/Agricola/Images/eminorplane.jpg</t>
  </si>
  <si>
    <t>http://play-agricola.com/Agricola/Images/eminorpotatodibber.jpg</t>
  </si>
  <si>
    <t>http://play-agricola.com/Agricola/Images/eminorprivateforest.jpg</t>
  </si>
  <si>
    <t>http://play-agricola.com/Agricola/Images/eminorquarry.jpg</t>
  </si>
  <si>
    <t>http://play-agricola.com/Agricola/Images/eminorraft.jpg</t>
  </si>
  <si>
    <t>http://play-agricola.com/Agricola/Images/eminorreedpond.jpg</t>
  </si>
  <si>
    <t>http://play-agricola.com/Agricola/Images/eminorridingplow.jpg</t>
  </si>
  <si>
    <t>http://play-agricola.com/Agricola/Images/eminorsackcart.jpg</t>
  </si>
  <si>
    <t>http://play-agricola.com/Agricola/Images/eminorsimplefireplace.jpg</t>
  </si>
  <si>
    <t>http://play-agricola.com/Agricola/Images/eminorspices.jpg</t>
  </si>
  <si>
    <t>http://play-agricola.com/Agricola/Images/eminorspindle.jpg</t>
  </si>
  <si>
    <t>http://play-agricola.com/Agricola/Images/eminorstable.jpg</t>
  </si>
  <si>
    <t>http://play-agricola.com/Agricola/Images/eminorstonehouseextension.jpg</t>
  </si>
  <si>
    <t>http://play-agricola.com/Agricola/Images/eminorstonetongs.jpg</t>
  </si>
  <si>
    <t>http://play-agricola.com/Agricola/Images/eminorturnwrestplow.jpg</t>
  </si>
  <si>
    <t>http://play-agricola.com/Agricola/Images/eminorwoodfiredoven.jpg</t>
  </si>
  <si>
    <t>http://play-agricola.com/Agricola/Images/eminorwritingdesk.jpg</t>
  </si>
  <si>
    <t>http://play-agricola.com/Agricola/Cards/Cards/xminorAbandonedWillow_3845_4.jpg</t>
  </si>
  <si>
    <t>http://play-agricola.com/Agricola/Cards/Cards/xminorAbsinthe_4005_5.jpg</t>
  </si>
  <si>
    <t>http://play-agricola.com/Agricola/Cards/Cards/xminorAmusementPark_3774_11.jpg</t>
  </si>
  <si>
    <t>http://play-agricola.com/Agricola/Cards/Cards/xminorAppleGarden_3224_4.jpg</t>
  </si>
  <si>
    <t>http://play-agricola.com/Agricola/Cards/Cards/xminorArtistsGarden_2582_11.jpg</t>
  </si>
  <si>
    <t>http://play-agricola.com/Agricola/Cards/Cards/xminorBaguette_2659_7.jpg</t>
  </si>
  <si>
    <t>http://play-agricola.com/Agricola/Cards/Cards/xminorBarberShop_3225_6.jpg</t>
  </si>
  <si>
    <t>http://play-agricola.com/Agricola/Cards/Cards/xminorBathroom_2569_13.jpg</t>
  </si>
  <si>
    <t>http://play-agricola.com/Agricola/Cards/Cards/xminorBreakfastOutdoors_2863_5.jpg</t>
  </si>
  <si>
    <t>http://play-agricola.com/Agricola/Cards/Cards/xminorBrickyard_4271_3.jpg</t>
  </si>
  <si>
    <t>http://play-agricola.com/Agricola/Cards/Cards/xminorCamembert_2399_5.jpg</t>
  </si>
  <si>
    <t>http://play-agricola.com/Agricola/Cards/Cards/xminorChameleon_2397_6.jpg</t>
  </si>
  <si>
    <t>http://play-agricola.com/Agricola/Cards/Cards/xminorChocolade_2576_10.jpg</t>
  </si>
  <si>
    <t>http://play-agricola.com/Agricola/Cards/Cards/xminorCoffeeBreak_3786_9.jpg</t>
  </si>
  <si>
    <t>http://play-agricola.com/Agricola/Cards/Cards/xminorCornrick_4011_10.jpg</t>
  </si>
  <si>
    <t>http://play-agricola.com/Agricola/Cards/Cards/xminorDiary_2436_2.jpg</t>
  </si>
  <si>
    <t>http://play-agricola.com/Agricola/Cards/Cards/xminorEncirclingWall_3106_10.jpg</t>
  </si>
  <si>
    <t>http://play-agricola.com/Agricola/Cards/Cards/xminorEveningPrayer_2939_6.jpg</t>
  </si>
  <si>
    <t>http://play-agricola.com/Agricola/Cards/Cards/xminorFiveRings_3797_6.jpg</t>
  </si>
  <si>
    <t>http://play-agricola.com/Agricola/Cards/Cards/xminorFlatHill_3366_7.jpg</t>
  </si>
  <si>
    <t>http://play-agricola.com/Agricola/Cards/Cards/xminorFullbottomedWig_3904_4.jpg</t>
  </si>
  <si>
    <t>http://play-agricola.com/Agricola/Cards/Cards/xminorGoblet_3085_10.jpg</t>
  </si>
  <si>
    <t>http://play-agricola.com/Agricola/Cards/Cards/xminorGoldenRose_4384_4.jpg</t>
  </si>
  <si>
    <t>http://play-agricola.com/Agricola/Cards/Cards/xminorGrainMillOven_2589_8.jpg</t>
  </si>
  <si>
    <t>http://play-agricola.com/Agricola/Cards/Cards/xminorGrotto_2597_9.jpg</t>
  </si>
  <si>
    <t>http://play-agricola.com/Agricola/Cards/Cards/xminorGroundPickaxePlow_2854_7.jpg</t>
  </si>
  <si>
    <t>http://play-agricola.com/Agricola/Cards/Cards/xminorHammock_4245_6.jpg</t>
  </si>
  <si>
    <t>http://play-agricola.com/Agricola/Cards/Cards/xminorHayRake_2318_5.jpg</t>
  </si>
  <si>
    <t>http://play-agricola.com/Agricola/Cards/Cards/xminorHaystack_2427_4.jpg</t>
  </si>
  <si>
    <t>http://play-agricola.com/Agricola/Cards/Cards/xminorHeatwave_3796_7.jpg</t>
  </si>
  <si>
    <t>http://play-agricola.com/Agricola/Cards/Cards/xminorHomework_3213_9.jpg</t>
  </si>
  <si>
    <t>http://play-agricola.com/Agricola/Cards/Cards/xminorKidsCorner_2481_11.jpg</t>
  </si>
  <si>
    <t>http://play-agricola.com/Agricola/Cards/Cards/xminorKitchenTable_2794_26.jpg</t>
  </si>
  <si>
    <t>http://play-agricola.com/Agricola/Cards/Cards/xminorLighthouse_2365_11.jpg</t>
  </si>
  <si>
    <t>http://play-agricola.com/Agricola/Cards/Cards/xminorMarch_2496_5.jpg</t>
  </si>
  <si>
    <t>http://play-agricola.com/Agricola/Cards/Cards/xminorOrchard_3861_7.jpg</t>
  </si>
  <si>
    <t>http://play-agricola.com/Agricola/Cards/Cards/xminorParForceHunting_3785_3.jpg</t>
  </si>
  <si>
    <t>http://play-agricola.com/Agricola/Cards/Cards/xminorParkCemetery_3685_10.jpg</t>
  </si>
  <si>
    <t>http://play-agricola.com/Agricola/Cards/Cards/xminorPeasantsBoutique_3863_4.jpg</t>
  </si>
  <si>
    <t>http://play-agricola.com/Agricola/Cards/Cards/xminorRockPyramid_2678_9.jpg</t>
  </si>
  <si>
    <t>http://play-agricola.com/Agricola/Cards/Cards/xminorSofa_3939_9.jpg</t>
  </si>
  <si>
    <t>http://play-agricola.com/Agricola/Cards/Cards/xminorStarClassificationMe_3479_2.jpg</t>
  </si>
  <si>
    <t>http://play-agricola.com/Agricola/Cards/Cards/xminorStoneHouseReconstruc_3911_14.jpg</t>
  </si>
  <si>
    <t>http://play-agricola.com/Agricola/Cards/Cards/xminorStrawThatchedHut_2346_7.jpg</t>
  </si>
  <si>
    <t>http://play-agricola.com/Agricola/Cards/Cards/xminorSundaySchool_2347_10.jpg</t>
  </si>
  <si>
    <t>http://play-agricola.com/Agricola/Cards/Cards/xminorSwimmingStudio_2763_5.jpg</t>
  </si>
  <si>
    <t>http://play-agricola.com/Agricola/Cards/Cards/xminorThePortLeHavre_2845_9.jpg</t>
  </si>
  <si>
    <t>http://play-agricola.com/Agricola/Cards/Cards/xminorThreshingMachinePlow_2394_8.jpg</t>
  </si>
  <si>
    <t>http://play-agricola.com/Agricola/Cards/Cards/xminorTimetable_2822_5.jpg</t>
  </si>
  <si>
    <t>http://play-agricola.com/Agricola/Cards/Cards/xminorTreesfortheCitizens_3081_13.jpg</t>
  </si>
  <si>
    <t>http://play-agricola.com/Agricola/Cards/Cards/xminorTriptotheLake_2464_5.jpg</t>
  </si>
  <si>
    <t>http://play-agricola.com/Agricola/Cards/Cards/xminorTuileriesGarden_3302_7.jpg</t>
  </si>
  <si>
    <t>http://play-agricola.com/Agricola/Cards/Cards/xminorVegetableHarvest_3378_8.jpg</t>
  </si>
  <si>
    <t>http://play-agricola.com/Agricola/Cards/Cards/xminorWateringCan_2610_4.jpg</t>
  </si>
  <si>
    <t>http://play-agricola.com/Agricola/Cards/Cards/xminorWildGame_2960_3.jpg</t>
  </si>
  <si>
    <t>http://play-agricola.com/Agricola/Cards/Cards/xminorWinterDeadwood_2391_5.jpg</t>
  </si>
  <si>
    <t>http://play-agricola.com/Agricola/Cards/Cards/xminorWitchesDanceGround_2815_7.jpg</t>
  </si>
  <si>
    <t>http://play-agricola.com/Agricola/Cards/Cards/xminorWoodSaw_2972_5.jpg</t>
  </si>
  <si>
    <t>https://hauk88.github.io/PlayAgricolaStatistics/img/globus_allegory.png</t>
  </si>
  <si>
    <t>https://hauk88.github.io/PlayAgricolaStatistics/img/globus_almsbasket.png</t>
  </si>
  <si>
    <t>https://hauk88.github.io/PlayAgricolaStatistics/img/globus_alternativematerials.png</t>
  </si>
  <si>
    <t>https://hauk88.github.io/PlayAgricolaStatistics/img/globus_animaltrap.png</t>
  </si>
  <si>
    <t>https://hauk88.github.io/PlayAgricolaStatistics/img/globus_apiary.png</t>
  </si>
  <si>
    <t>https://hauk88.github.io/PlayAgricolaStatistics/img/globus_aquavit.png</t>
  </si>
  <si>
    <t>https://hauk88.github.io/PlayAgricolaStatistics/img/globus_archangel.png</t>
  </si>
  <si>
    <t>https://hauk88.github.io/PlayAgricolaStatistics/img/globus_art.png</t>
  </si>
  <si>
    <t>https://hauk88.github.io/PlayAgricolaStatistics/img/globus_artichokefield.png</t>
  </si>
  <si>
    <t>https://hauk88.github.io/PlayAgricolaStatistics/img/globus_babysling.png</t>
  </si>
  <si>
    <t>https://hauk88.github.io/PlayAgricolaStatistics/img/globus_bakery.png</t>
  </si>
  <si>
    <t>https://hauk88.github.io/PlayAgricolaStatistics/img/globus_bamboo.png</t>
  </si>
  <si>
    <t>https://hauk88.github.io/PlayAgricolaStatistics/img/globus_bananatree.png</t>
  </si>
  <si>
    <t>https://hauk88.github.io/PlayAgricolaStatistics/img/globus_barkbreads.png</t>
  </si>
  <si>
    <t>https://hauk88.github.io/PlayAgricolaStatistics/img/globus_barn.png</t>
  </si>
  <si>
    <t>https://hauk88.github.io/PlayAgricolaStatistics/img/globus_barteringshack.png</t>
  </si>
  <si>
    <t>https://hauk88.github.io/PlayAgricolaStatistics/img/globus_beanhole.png</t>
  </si>
  <si>
    <t>https://hauk88.github.io/PlayAgricolaStatistics/img/globus_blackswanlake.png</t>
  </si>
  <si>
    <t>https://hauk88.github.io/PlayAgricolaStatistics/img/globus_boartrap.png</t>
  </si>
  <si>
    <t>https://hauk88.github.io/PlayAgricolaStatistics/img/globus_bonanza.png</t>
  </si>
  <si>
    <t>https://hauk88.github.io/PlayAgricolaStatistics/img/globus_bonus.png</t>
  </si>
  <si>
    <t>https://hauk88.github.io/PlayAgricolaStatistics/img/globus_bonusroom.png</t>
  </si>
  <si>
    <t>https://hauk88.github.io/PlayAgricolaStatistics/img/globus_bookmark.png</t>
  </si>
  <si>
    <t>https://hauk88.github.io/PlayAgricolaStatistics/img/globus_bounty.png</t>
  </si>
  <si>
    <t>https://hauk88.github.io/PlayAgricolaStatistics/img/globus_breadmachine.png</t>
  </si>
  <si>
    <t>https://hauk88.github.io/PlayAgricolaStatistics/img/globus_mycabbage.png</t>
  </si>
  <si>
    <t>https://hauk88.github.io/PlayAgricolaStatistics/img/globus_candyroom.png</t>
  </si>
  <si>
    <t>https://hauk88.github.io/PlayAgricolaStatistics/img/globus_caravan.png</t>
  </si>
  <si>
    <t>https://hauk88.github.io/PlayAgricolaStatistics/img/globus_carpet.png</t>
  </si>
  <si>
    <t>https://hauk88.github.io/PlayAgricolaStatistics/img/globus_carrotharvester.png</t>
  </si>
  <si>
    <t>https://hauk88.github.io/PlayAgricolaStatistics/img/globus_carrots.png</t>
  </si>
  <si>
    <t>https://hauk88.github.io/PlayAgricolaStatistics/img/globus_cheesefondue.png</t>
  </si>
  <si>
    <t>https://hauk88.github.io/PlayAgricolaStatistics/img/globus_cherryorchard.png</t>
  </si>
  <si>
    <t>https://hauk88.github.io/PlayAgricolaStatistics/img/globus_childrensplayground.png</t>
  </si>
  <si>
    <t>https://hauk88.github.io/PlayAgricolaStatistics/img/globus_childstoy.png</t>
  </si>
  <si>
    <t>https://hauk88.github.io/PlayAgricolaStatistics/img/globus_chimney.png</t>
  </si>
  <si>
    <t>https://hauk88.github.io/PlayAgricolaStatistics/img/globus_clayexchange.png</t>
  </si>
  <si>
    <t>https://hauk88.github.io/PlayAgricolaStatistics/img/globus_claytablet.png</t>
  </si>
  <si>
    <t>https://hauk88.github.io/PlayAgricolaStatistics/img/globus_clayworkersshop.png</t>
  </si>
  <si>
    <t>https://hauk88.github.io/PlayAgricolaStatistics/img/globus_cloister.png</t>
  </si>
  <si>
    <t>https://hauk88.github.io/PlayAgricolaStatistics/img/globus_coalpit.png</t>
  </si>
  <si>
    <t>https://hauk88.github.io/PlayAgricolaStatistics/img/globus_coarsegrain.png</t>
  </si>
  <si>
    <t>https://hauk88.github.io/PlayAgricolaStatistics/img/globus_cokestove.png</t>
  </si>
  <si>
    <t>https://hauk88.github.io/PlayAgricolaStatistics/img/globus_collarandchain.png</t>
  </si>
  <si>
    <t>https://hauk88.github.io/PlayAgricolaStatistics/img/globus_consolationprize.png</t>
  </si>
  <si>
    <t>https://hauk88.github.io/PlayAgricolaStatistics/img/globus_cookpot.png</t>
  </si>
  <si>
    <t>https://hauk88.github.io/PlayAgricolaStatistics/img/globus_cornonthecob.png</t>
  </si>
  <si>
    <t>https://hauk88.github.io/PlayAgricolaStatistics/img/globus_cornucopia.png</t>
  </si>
  <si>
    <t>https://hauk88.github.io/PlayAgricolaStatistics/img/globus_costermongersbarrow.png</t>
  </si>
  <si>
    <t>https://hauk88.github.io/PlayAgricolaStatistics/img/globus_cottonfield.png</t>
  </si>
  <si>
    <t>https://hauk88.github.io/PlayAgricolaStatistics/img/globus_countrysilo.png</t>
  </si>
  <si>
    <t>https://hauk88.github.io/PlayAgricolaStatistics/img/globus_cowchips.png</t>
  </si>
  <si>
    <t>https://hauk88.github.io/PlayAgricolaStatistics/img/globus_croprotationfield.png</t>
  </si>
  <si>
    <t>https://hauk88.github.io/PlayAgricolaStatistics/img/globus_crystalball.png</t>
  </si>
  <si>
    <t>https://hauk88.github.io/PlayAgricolaStatistics/img/globus_customimprovements.png</t>
  </si>
  <si>
    <t>https://hauk88.github.io/PlayAgricolaStatistics/img/globus_dairysupply.png</t>
  </si>
  <si>
    <t>https://hauk88.github.io/PlayAgricolaStatistics/img/globus_dictionary.png</t>
  </si>
  <si>
    <t>https://hauk88.github.io/PlayAgricolaStatistics/img/globus_dinghy.png</t>
  </si>
  <si>
    <t>https://hauk88.github.io/PlayAgricolaStatistics/img/globus_dollysmother.png</t>
  </si>
  <si>
    <t>https://hauk88.github.io/PlayAgricolaStatistics/img/globus_dormer.png</t>
  </si>
  <si>
    <t>https://hauk88.github.io/PlayAgricolaStatistics/img/globus_dough.png</t>
  </si>
  <si>
    <t>https://hauk88.github.io/PlayAgricolaStatistics/img/globus_dovetailjoints.png</t>
  </si>
  <si>
    <t>https://hauk88.github.io/PlayAgricolaStatistics/img/globus_dragonflypond.png</t>
  </si>
  <si>
    <t>https://hauk88.github.io/PlayAgricolaStatistics/img/globus_dray.png</t>
  </si>
  <si>
    <t>http://play-agricola.com/Agricola/Cards/Cards/xminorDriftwood_235_2.jpg</t>
  </si>
  <si>
    <t>https://hauk88.github.io/PlayAgricolaStatistics/img/globus_dualfield.png</t>
  </si>
  <si>
    <t>https://hauk88.github.io/PlayAgricolaStatistics/img/globus_educatedsheep.png</t>
  </si>
  <si>
    <t>https://hauk88.github.io/PlayAgricolaStatistics/img/globus_eelfarm.png</t>
  </si>
  <si>
    <t>https://hauk88.github.io/PlayAgricolaStatistics/img/globus_engineering.png</t>
  </si>
  <si>
    <t>https://hauk88.github.io/PlayAgricolaStatistics/img/globus_executiveboar.png</t>
  </si>
  <si>
    <t>https://hauk88.github.io/PlayAgricolaStatistics/img/globus_expansionplans.png</t>
  </si>
  <si>
    <t>https://hauk88.github.io/PlayAgricolaStatistics/img/globus_extensiveresume.png</t>
  </si>
  <si>
    <t>https://hauk88.github.io/PlayAgricolaStatistics/img/globus_farmersstrawhat.png</t>
  </si>
  <si>
    <t>https://hauk88.github.io/PlayAgricolaStatistics/img/globus_farmnamesign.png</t>
  </si>
  <si>
    <t>https://hauk88.github.io/PlayAgricolaStatistics/img/globus_farmstable.png</t>
  </si>
  <si>
    <t>https://hauk88.github.io/PlayAgricolaStatistics/img/globus_flamingolake.png</t>
  </si>
  <si>
    <t>https://hauk88.github.io/PlayAgricolaStatistics/img/globus_fleamarket.png</t>
  </si>
  <si>
    <t>https://hauk88.github.io/PlayAgricolaStatistics/img/globus_fleecefactory.png</t>
  </si>
  <si>
    <t>https://hauk88.github.io/PlayAgricolaStatistics/img/globus_foodbank.png</t>
  </si>
  <si>
    <t>https://hauk88.github.io/PlayAgricolaStatistics/img/globus_foodstorehouse.png</t>
  </si>
  <si>
    <t>https://hauk88.github.io/PlayAgricolaStatistics/img/globus_foraging.png</t>
  </si>
  <si>
    <t>https://hauk88.github.io/PlayAgricolaStatistics/img/globus_foreignlabor.png</t>
  </si>
  <si>
    <t>https://hauk88.github.io/PlayAgricolaStatistics/img/globus_foresight.png</t>
  </si>
  <si>
    <t>https://hauk88.github.io/PlayAgricolaStatistics/img/globus_fruittart.png</t>
  </si>
  <si>
    <t>https://hauk88.github.io/PlayAgricolaStatistics/img/globus_fruittreehouse.png</t>
  </si>
  <si>
    <t>https://hauk88.github.io/PlayAgricolaStatistics/img/globus_gardenstatue.png</t>
  </si>
  <si>
    <t>https://hauk88.github.io/PlayAgricolaStatistics/img/globus_giantscarecrow.png</t>
  </si>
  <si>
    <t>https://hauk88.github.io/PlayAgricolaStatistics/img/globus_grainbag.png</t>
  </si>
  <si>
    <t>https://hauk88.github.io/PlayAgricolaStatistics/img/globus_grainshrine.png</t>
  </si>
  <si>
    <t>https://hauk88.github.io/PlayAgricolaStatistics/img/globus_guestplow.png</t>
  </si>
  <si>
    <t>https://hauk88.github.io/PlayAgricolaStatistics/img/globus_guildhall.png</t>
  </si>
  <si>
    <t>https://hauk88.github.io/PlayAgricolaStatistics/img/globus_harvesttotem.png</t>
  </si>
  <si>
    <t>https://hauk88.github.io/PlayAgricolaStatistics/img/globus_heavycart.png</t>
  </si>
  <si>
    <t>https://hauk88.github.io/PlayAgricolaStatistics/img/globus_hermitsstick.png</t>
  </si>
  <si>
    <t>https://hauk88.github.io/PlayAgricolaStatistics/img/globus_hoe.png</t>
  </si>
  <si>
    <t>https://hauk88.github.io/PlayAgricolaStatistics/img/globus_huntsmansrifle.png</t>
  </si>
  <si>
    <t>https://hauk88.github.io/PlayAgricolaStatistics/img/globus_icecooler.png</t>
  </si>
  <si>
    <t>https://hauk88.github.io/PlayAgricolaStatistics/img/globus_importedtimber.png</t>
  </si>
  <si>
    <t>https://hauk88.github.io/PlayAgricolaStatistics/img/globus_interiordesign.png</t>
  </si>
  <si>
    <t>https://hauk88.github.io/PlayAgricolaStatistics/img/globus_investments.png</t>
  </si>
  <si>
    <t>https://hauk88.github.io/PlayAgricolaStatistics/img/globus_ironoven.png</t>
  </si>
  <si>
    <t>https://hauk88.github.io/PlayAgricolaStatistics/img/globus_jungle.png</t>
  </si>
  <si>
    <t>https://hauk88.github.io/PlayAgricolaStatistics/img/globus_kitchencabinet.png</t>
  </si>
  <si>
    <t>https://hauk88.github.io/PlayAgricolaStatistics/img/globus_kudzu.png</t>
  </si>
  <si>
    <t>https://hauk88.github.io/PlayAgricolaStatistics/img/globus_largesunhat.png</t>
  </si>
  <si>
    <t>https://hauk88.github.io/PlayAgricolaStatistics/img/globus_leftovers.png</t>
  </si>
  <si>
    <t>https://hauk88.github.io/PlayAgricolaStatistics/img/globus_lorelei.png</t>
  </si>
  <si>
    <t>https://hauk88.github.io/PlayAgricolaStatistics/img/globus_lumberpile.png</t>
  </si>
  <si>
    <t>https://hauk88.github.io/PlayAgricolaStatistics/img/globus_machete.png</t>
  </si>
  <si>
    <t>https://hauk88.github.io/PlayAgricolaStatistics/img/globus_magnet.png</t>
  </si>
  <si>
    <t>https://hauk88.github.io/PlayAgricolaStatistics/img/globus_mangrovetree.png</t>
  </si>
  <si>
    <t>https://hauk88.github.io/PlayAgricolaStatistics/img/globus_market.png</t>
  </si>
  <si>
    <t>https://hauk88.github.io/PlayAgricolaStatistics/img/globus_masteroven.png</t>
  </si>
  <si>
    <t>https://hauk88.github.io/PlayAgricolaStatistics/img/globus_mattock.png</t>
  </si>
  <si>
    <t>https://hauk88.github.io/PlayAgricolaStatistics/img/globus_meadow.png</t>
  </si>
  <si>
    <t>https://hauk88.github.io/PlayAgricolaStatistics/img/globus_melonpatch.png</t>
  </si>
  <si>
    <t>https://hauk88.github.io/PlayAgricolaStatistics/img/globus_menagerie.png</t>
  </si>
  <si>
    <t>https://hauk88.github.io/PlayAgricolaStatistics/img/globus_milkcan.png</t>
  </si>
  <si>
    <t>https://hauk88.github.io/PlayAgricolaStatistics/img/globus_muddybog2.png</t>
  </si>
  <si>
    <t>https://hauk88.github.io/PlayAgricolaStatistics/img/globus_muddyland.png</t>
  </si>
  <si>
    <t>https://hauk88.github.io/PlayAgricolaStatistics/img/globus_muddywaters.png</t>
  </si>
  <si>
    <t>https://hauk88.github.io/PlayAgricolaStatistics/img/globus_nailbasket.png</t>
  </si>
  <si>
    <t>https://hauk88.github.io/PlayAgricolaStatistics/img/globus_nightbazaar.png</t>
  </si>
  <si>
    <t>https://hauk88.github.io/PlayAgricolaStatistics/img/globus_openfields.png</t>
  </si>
  <si>
    <t>https://hauk88.github.io/PlayAgricolaStatistics/img/globus_overgrownpond.png</t>
  </si>
  <si>
    <t>https://hauk88.github.io/PlayAgricolaStatistics/img/globus_oxskull.png</t>
  </si>
  <si>
    <t>https://hauk88.github.io/PlayAgricolaStatistics/img/globus_oysterrecipe.png</t>
  </si>
  <si>
    <t>https://hauk88.github.io/PlayAgricolaStatistics/img/globus_paintbrush.png</t>
  </si>
  <si>
    <t>https://hauk88.github.io/PlayAgricolaStatistics/img/globus_panda.png</t>
  </si>
  <si>
    <t>https://hauk88.github.io/PlayAgricolaStatistics/img/globus_parchment.png</t>
  </si>
  <si>
    <t>https://hauk88.github.io/PlayAgricolaStatistics/img/globus_pastureland.png</t>
  </si>
  <si>
    <t>https://hauk88.github.io/PlayAgricolaStatistics/img/globus_greenpepperpatch.png</t>
  </si>
  <si>
    <t>https://hauk88.github.io/PlayAgricolaStatistics/img/globus_petdoor.png</t>
  </si>
  <si>
    <t>https://hauk88.github.io/PlayAgricolaStatistics/img/globus_piggybank.png</t>
  </si>
  <si>
    <t>https://hauk88.github.io/PlayAgricolaStatistics/img/globus_plowfeast.png</t>
  </si>
  <si>
    <t>https://hauk88.github.io/PlayAgricolaStatistics/img/globus_plowmanslunch.png</t>
  </si>
  <si>
    <t>https://hauk88.github.io/PlayAgricolaStatistics/img/globus_polebarns.png</t>
  </si>
  <si>
    <t>https://hauk88.github.io/PlayAgricolaStatistics/img/globus_popcorn.png</t>
  </si>
  <si>
    <t>https://hauk88.github.io/PlayAgricolaStatistics/img/globus_postbox.png</t>
  </si>
  <si>
    <t>https://hauk88.github.io/PlayAgricolaStatistics/img/globus_potatoes.png</t>
  </si>
  <si>
    <t>https://hauk88.github.io/PlayAgricolaStatistics/img/globus_powderkeg.png</t>
  </si>
  <si>
    <t>https://hauk88.github.io/PlayAgricolaStatistics/img/globus_privateoven.png</t>
  </si>
  <si>
    <t>https://hauk88.github.io/PlayAgricolaStatistics/img/globus_prizedsquash.png</t>
  </si>
  <si>
    <t>https://hauk88.github.io/PlayAgricolaStatistics/img/globus_probioticfood.png</t>
  </si>
  <si>
    <t>https://hauk88.github.io/PlayAgricolaStatistics/img/globus_publicforest.png</t>
  </si>
  <si>
    <t>https://hauk88.github.io/PlayAgricolaStatistics/img/globus_renovationmaterials.png</t>
  </si>
  <si>
    <t>https://hauk88.github.io/PlayAgricolaStatistics/img/globus_rivermill.png</t>
  </si>
  <si>
    <t>https://hauk88.github.io/PlayAgricolaStatistics/img/globus_rockgarden.png</t>
  </si>
  <si>
    <t>https://hauk88.github.io/PlayAgricolaStatistics/img/globus_rooster.png</t>
  </si>
  <si>
    <t>https://hauk88.github.io/PlayAgricolaStatistics/img/globus_ropefences.png</t>
  </si>
  <si>
    <t>https://hauk88.github.io/PlayAgricolaStatistics/img/globus_rottenplow.png</t>
  </si>
  <si>
    <t>https://hauk88.github.io/PlayAgricolaStatistics/img/globus_rumdistillery.png</t>
  </si>
  <si>
    <t>https://hauk88.github.io/PlayAgricolaStatistics/img/globus_runestone.png</t>
  </si>
  <si>
    <t>https://hauk88.github.io/PlayAgricolaStatistics/img/globus_salary.png</t>
  </si>
  <si>
    <t>https://hauk88.github.io/PlayAgricolaStatistics/img/globus_sapling.png</t>
  </si>
  <si>
    <t>https://hauk88.github.io/PlayAgricolaStatistics/img/globus_scrapyardplow.png</t>
  </si>
  <si>
    <t>https://hauk88.github.io/PlayAgricolaStatistics/img/globus_seal.png</t>
  </si>
  <si>
    <t>https://hauk88.github.io/PlayAgricolaStatistics/img/globus_selfpasture.png</t>
  </si>
  <si>
    <t>https://hauk88.github.io/PlayAgricolaStatistics/img/globus_shears.png</t>
  </si>
  <si>
    <t>https://hauk88.github.io/PlayAgricolaStatistics/img/globus_shepherdskitchen.png</t>
  </si>
  <si>
    <t>https://hauk88.github.io/PlayAgricolaStatistics/img/globus_shipyard.png</t>
  </si>
  <si>
    <t>https://hauk88.github.io/PlayAgricolaStatistics/img/globus_simpleoven.png</t>
  </si>
  <si>
    <t>https://hauk88.github.io/PlayAgricolaStatistics/img/globus_snacktime.png</t>
  </si>
  <si>
    <t>https://hauk88.github.io/PlayAgricolaStatistics/img/globus_spade.png</t>
  </si>
  <si>
    <t>https://hauk88.github.io/PlayAgricolaStatistics/img/globus_sparefenceposts.png</t>
  </si>
  <si>
    <t>https://hauk88.github.io/PlayAgricolaStatistics/img/globus_stoneaxe.png</t>
  </si>
  <si>
    <t>https://hauk88.github.io/PlayAgricolaStatistics/img/globus_stonechimney.png</t>
  </si>
  <si>
    <t>https://hauk88.github.io/PlayAgricolaStatistics/img/globus_stonegiant.png</t>
  </si>
  <si>
    <t>https://hauk88.github.io/PlayAgricolaStatistics/img/globus_stoneweir.png</t>
  </si>
  <si>
    <t>https://hauk88.github.io/PlayAgricolaStatistics/img/globus_storybooks.png</t>
  </si>
  <si>
    <t>https://hauk88.github.io/PlayAgricolaStatistics/img/globus_straw.png</t>
  </si>
  <si>
    <t>https://hauk88.github.io/PlayAgricolaStatistics/img/globus_sundial.png</t>
  </si>
  <si>
    <t>https://hauk88.github.io/PlayAgricolaStatistics/img/globus_supplyexchange.png</t>
  </si>
  <si>
    <t>https://hauk88.github.io/PlayAgricolaStatistics/img/globus_syruptap.png</t>
  </si>
  <si>
    <t>https://hauk88.github.io/PlayAgricolaStatistics/img/globus_tea.png</t>
  </si>
  <si>
    <t>https://hauk88.github.io/PlayAgricolaStatistics/img/globus_thunderbolt.png</t>
  </si>
  <si>
    <t>https://hauk88.github.io/PlayAgricolaStatistics/img/globus_tidemill.png</t>
  </si>
  <si>
    <t>https://hauk88.github.io/PlayAgricolaStatistics/img/globus_townhall.png</t>
  </si>
  <si>
    <t>https://hauk88.github.io/PlayAgricolaStatistics/img/globus_treasuremap.png</t>
  </si>
  <si>
    <t>https://hauk88.github.io/PlayAgricolaStatistics/img/globus_tunnel.png</t>
  </si>
  <si>
    <t>https://hauk88.github.io/PlayAgricolaStatistics/img/globus_twibilandtwivel.png</t>
  </si>
  <si>
    <t>https://hauk88.github.io/PlayAgricolaStatistics/img/globus_undergroundshed.png</t>
  </si>
  <si>
    <t>https://hauk88.github.io/PlayAgricolaStatistics/img/globus_unwantedgoods.png</t>
  </si>
  <si>
    <t>https://hauk88.github.io/PlayAgricolaStatistics/img/globus_upholstery.png</t>
  </si>
  <si>
    <t>https://hauk88.github.io/PlayAgricolaStatistics/img/globus_vikingship.png</t>
  </si>
  <si>
    <t>https://hauk88.github.io/PlayAgricolaStatistics/img/globus_whaleoil.png</t>
  </si>
  <si>
    <t>https://hauk88.github.io/PlayAgricolaStatistics/img/globus_whistle.png</t>
  </si>
  <si>
    <t>https://hauk88.github.io/PlayAgricolaStatistics/img/globus_wildfruit.png</t>
  </si>
  <si>
    <t>https://hauk88.github.io/PlayAgricolaStatistics/img/globus_wildgreens.png</t>
  </si>
  <si>
    <t>https://hauk88.github.io/PlayAgricolaStatistics/img/globus_winterpond.png</t>
  </si>
  <si>
    <t>https://hauk88.github.io/PlayAgricolaStatistics/img/globus_wishingfountain.png</t>
  </si>
  <si>
    <t>https://hauk88.github.io/PlayAgricolaStatistics/img/globus_woodwork.png</t>
  </si>
  <si>
    <t>https://hauk88.github.io/PlayAgricolaStatistics/img/globus_writingchamber.png</t>
  </si>
  <si>
    <t>http://play-agricola.com/Agricola/Images/iminoralms.jpg</t>
  </si>
  <si>
    <t>http://play-agricola.com/Agricola/Images/iminoranimalfeed.jpg</t>
  </si>
  <si>
    <t>http://play-agricola.com/Agricola/Images/iminorbakerskitchen.jpg</t>
  </si>
  <si>
    <t>http://play-agricola.com/Agricola/Images/iminorchickencoop.jpg</t>
  </si>
  <si>
    <t>http://play-agricola.com/Agricola/Images/iminorclaydeposit.jpg</t>
  </si>
  <si>
    <t>http://play-agricola.com/Agricola/Images/iminorclaypath.jpg</t>
  </si>
  <si>
    <t>http://play-agricola.com/Agricola/Images/iminorcookingcorner.jpg</t>
  </si>
  <si>
    <t>http://play-agricola.com/Agricola/Images/iminorcopse.jpg</t>
  </si>
  <si>
    <t>http://play-agricola.com/Agricola/Images/iminorfishtrap.jpg</t>
  </si>
  <si>
    <t>http://play-agricola.com/Agricola/Images/iminorflagon.jpg</t>
  </si>
  <si>
    <t>http://play-agricola.com/Agricola/Images/iminorgoosepond.jpg</t>
  </si>
  <si>
    <t>http://play-agricola.com/Agricola/Images/iminorgraincart.jpg</t>
  </si>
  <si>
    <t>http://play-agricola.com/Agricola/Images/iminorguest.jpg</t>
  </si>
  <si>
    <t>http://play-agricola.com/Agricola/Images/iminorhandmill.jpg</t>
  </si>
  <si>
    <t>http://play-agricola.com/Agricola/Images/iminorharrow.jpg</t>
  </si>
  <si>
    <t>http://play-agricola.com/Agricola/Images/iminorholidayhouse.jpg</t>
  </si>
  <si>
    <t>http://play-agricola.com/Agricola/Images/iminorladder.jpg</t>
  </si>
  <si>
    <t>http://play-agricola.com/Agricola/Images/iminorlasso.jpg</t>
  </si>
  <si>
    <t>http://play-agricola.com/Agricola/Images/iminormanure.jpg</t>
  </si>
  <si>
    <t>http://play-agricola.com/Agricola/Images/iminormilkingshed.jpg</t>
  </si>
  <si>
    <t>http://play-agricola.com/Agricola/Images/iminormoldboardplow.jpg</t>
  </si>
  <si>
    <t>http://play-agricola.com/Agricola/Images/iminorpavedroad.jpg</t>
  </si>
  <si>
    <t>http://play-agricola.com/Agricola/Images/iminorplanterbox.jpg</t>
  </si>
  <si>
    <t>http://play-agricola.com/Agricola/Images/iminorpunner.jpg</t>
  </si>
  <si>
    <t>http://play-agricola.com/Agricola/Images/iminorrake.jpg</t>
  </si>
  <si>
    <t>http://play-agricola.com/Agricola/Images/iminorreedexchange.jpg</t>
  </si>
  <si>
    <t>http://play-agricola.com/Agricola/Images/iminorschnapsdistillery.jpg</t>
  </si>
  <si>
    <t>http://play-agricola.com/Agricola/Images/iminorshepherdscrook.jpg</t>
  </si>
  <si>
    <t>http://play-agricola.com/Agricola/Images/iminorspinney.jpg</t>
  </si>
  <si>
    <t>http://play-agricola.com/Agricola/Images/iminorstrawberrypatch.jpg</t>
  </si>
  <si>
    <t>http://play-agricola.com/Agricola/Images/iminorstrawthatchedroof.jpg</t>
  </si>
  <si>
    <t>http://play-agricola.com/Agricola/Images/iminortavern.jpg</t>
  </si>
  <si>
    <t>http://play-agricola.com/Agricola/Images/iminorthreshingboard.jpg</t>
  </si>
  <si>
    <t>http://play-agricola.com/Agricola/Images/iminorvillagewell.jpg</t>
  </si>
  <si>
    <t>http://play-agricola.com/Agricola/Images/iminorweeklymarket.jpg</t>
  </si>
  <si>
    <t>http://play-agricola.com/Agricola/Images/iminorwildlifereserve.jpg</t>
  </si>
  <si>
    <t>http://play-agricola.com/Agricola/Images/iminorwoodcart.jpg</t>
  </si>
  <si>
    <t>http://play-agricola.com/Agricola/Images/iminorwoodencrane.jpg</t>
  </si>
  <si>
    <t>http://play-agricola.com/Agricola/Images/iminorwoodenpath.jpg</t>
  </si>
  <si>
    <t>http://play-agricola.com/Agricola/Images/kminoracreage.jpg</t>
  </si>
  <si>
    <t>http://play-agricola.com/Agricola/Images/kminorbakehouse.jpg</t>
  </si>
  <si>
    <t>http://play-agricola.com/Agricola/Images/kminorbeehive.jpg</t>
  </si>
  <si>
    <t>http://play-agricola.com/Agricola/Images/kminorboarbreeding.jpg</t>
  </si>
  <si>
    <t>http://play-agricola.com/Agricola/Images/kminorbookshelf.jpg</t>
  </si>
  <si>
    <t>http://play-agricola.com/Agricola/Images/kminorbreadpaddle.jpg</t>
  </si>
  <si>
    <t>http://play-agricola.com/Agricola/Images/kminorbrewery.jpg</t>
  </si>
  <si>
    <t>http://play-agricola.com/Agricola/Images/kminorbroom.jpg</t>
  </si>
  <si>
    <t>http://play-agricola.com/Agricola/Images/kminorbrushwoodroof.jpg</t>
  </si>
  <si>
    <t>http://play-agricola.com/Agricola/Images/kminorclapper.jpg</t>
  </si>
  <si>
    <t>http://play-agricola.com/Agricola/Images/kminorclayhutextension.jpg</t>
  </si>
  <si>
    <t>http://play-agricola.com/Agricola/Images/kminorclaypit.jpg</t>
  </si>
  <si>
    <t>http://play-agricola.com/Agricola/Images/kminorcookinghearth.jpg</t>
  </si>
  <si>
    <t>http://play-agricola.com/Agricola/Images/kminorcornsheaf.jpg</t>
  </si>
  <si>
    <t>http://play-agricola.com/Agricola/Images/kminorcrookedplow.jpg</t>
  </si>
  <si>
    <t>http://play-agricola.com/Agricola/Images/kminorduckpond.jpg</t>
  </si>
  <si>
    <t>http://play-agricola.com/Agricola/Images/kminorforestpasture.jpg</t>
  </si>
  <si>
    <t>http://play-agricola.com/Agricola/Images/kminorgranary.jpg</t>
  </si>
  <si>
    <t>http://play-agricola.com/Agricola/Images/kminorgreenhouse.jpg</t>
  </si>
  <si>
    <t>http://play-agricola.com/Agricola/Images/kminorherbgarden.jpg</t>
  </si>
  <si>
    <t>http://play-agricola.com/Agricola/Images/kminorhorse.jpg</t>
  </si>
  <si>
    <t>http://play-agricola.com/Agricola/Images/kminorhousegoat.jpg</t>
  </si>
  <si>
    <t>http://play-agricola.com/Agricola/Images/kminorlandingnet.jpg</t>
  </si>
  <si>
    <t>http://play-agricola.com/Agricola/Images/kminorliquidmanure.jpg</t>
  </si>
  <si>
    <t>http://play-agricola.com/Agricola/Images/kminorloom.jpg</t>
  </si>
  <si>
    <t>http://play-agricola.com/Agricola/Images/kminorlumber.jpg</t>
  </si>
  <si>
    <t>http://play-agricola.com/Agricola/Images/kminormansion.jpg</t>
  </si>
  <si>
    <t>http://play-agricola.com/Agricola/Images/kminormilkingstool.jpg</t>
  </si>
  <si>
    <t>http://play-agricola.com/Agricola/Images/kminoroxteam.jpg</t>
  </si>
  <si>
    <t>http://play-agricola.com/Agricola/Images/kminorpelts.jpg</t>
  </si>
  <si>
    <t>http://play-agricola.com/Agricola/Images/kminorsawhorse.jpg</t>
  </si>
  <si>
    <t>http://play-agricola.com/Agricola/Images/kminorsawmill.jpg</t>
  </si>
  <si>
    <t>http://play-agricola.com/Agricola/Images/kminorsleepingcorner.jpg</t>
  </si>
  <si>
    <t>http://play-agricola.com/Agricola/Images/kminorspitroast.jpg</t>
  </si>
  <si>
    <t>http://play-agricola.com/Agricola/Images/kminorstonecart.jpg</t>
  </si>
  <si>
    <t>http://play-agricola.com/Agricola/Images/kminorstoneexchange.jpg</t>
  </si>
  <si>
    <t>http://play-agricola.com/Agricola/Images/kminorswanlake.jpg</t>
  </si>
  <si>
    <t>http://play-agricola.com/Agricola/Images/kminorswingplow.jpg</t>
  </si>
  <si>
    <t>http://play-agricola.com/Agricola/Images/kminorturnipfield.jpg</t>
  </si>
  <si>
    <t>http://play-agricola.com/Agricola/Images/kminorwoodenstrongbox.jpg</t>
  </si>
  <si>
    <t>http://play-agricola.com/Agricola/Images/kminoryoke.jpg</t>
  </si>
  <si>
    <t>https://hauk88.github.io/PlayAgricolaStatistics/img/globus_m1_angryboy.png</t>
  </si>
  <si>
    <t>https://hauk88.github.io/PlayAgricolaStatistics/img/globus_m1_avalanche.png</t>
  </si>
  <si>
    <t>https://hauk88.github.io/PlayAgricolaStatistics/img/globus_m1_bakerstool.png</t>
  </si>
  <si>
    <t>https://hauk88.github.io/PlayAgricolaStatistics/img/globus_m1_barrenfield.png</t>
  </si>
  <si>
    <t>https://hauk88.github.io/PlayAgricolaStatistics/img/globus_m1_bouquet.png</t>
  </si>
  <si>
    <t>https://hauk88.github.io/PlayAgricolaStatistics/img/globus_m1_breadform.png</t>
  </si>
  <si>
    <t>https://hauk88.github.io/PlayAgricolaStatistics/img/globus_m1_breadpond.png</t>
  </si>
  <si>
    <t>https://hauk88.github.io/PlayAgricolaStatistics/img/globus_m1_candlelight.png</t>
  </si>
  <si>
    <t>https://hauk88.github.io/PlayAgricolaStatistics/img/globus_m1_cheeseslicer.png</t>
  </si>
  <si>
    <t>https://hauk88.github.io/PlayAgricolaStatistics/img/globus_m1_gate.png</t>
  </si>
  <si>
    <t>https://hauk88.github.io/PlayAgricolaStatistics/img/globus_m1_goldincenseandmyrrh.png</t>
  </si>
  <si>
    <t>https://hauk88.github.io/PlayAgricolaStatistics/img/globus_m1_hydroponics.png</t>
  </si>
  <si>
    <t>https://hauk88.github.io/PlayAgricolaStatistics/img/globus_m1_leantostable.png</t>
  </si>
  <si>
    <t>https://hauk88.github.io/PlayAgricolaStatistics/img/globus_m1_leggett.png</t>
  </si>
  <si>
    <t>https://hauk88.github.io/PlayAgricolaStatistics/img/globus_m1_pinecones.png</t>
  </si>
  <si>
    <t>https://hauk88.github.io/PlayAgricolaStatistics/img/globus_m1_salmonfishing.png</t>
  </si>
  <si>
    <t>https://hauk88.github.io/PlayAgricolaStatistics/img/globus_m1_simpleplow.png</t>
  </si>
  <si>
    <t>https://hauk88.github.io/PlayAgricolaStatistics/img/globus_m1_wildchickens.png</t>
  </si>
  <si>
    <t>https://hauk88.github.io/PlayAgricolaStatistics/img/globus_m2_badger1p.png</t>
  </si>
  <si>
    <t>https://hauk88.github.io/PlayAgricolaStatistics/img/globus_m2_bakingfield.png</t>
  </si>
  <si>
    <t>https://hauk88.github.io/PlayAgricolaStatistics/img/globus_m2_bucksaw.png</t>
  </si>
  <si>
    <t>https://hauk88.github.io/PlayAgricolaStatistics/img/globus_m2_chophouse.png</t>
  </si>
  <si>
    <t>https://hauk88.github.io/PlayAgricolaStatistics/img/globus_m2_diggingsite.png</t>
  </si>
  <si>
    <t>https://hauk88.github.io/PlayAgricolaStatistics/img/globus_m2_handplow.png</t>
  </si>
  <si>
    <t>https://hauk88.github.io/PlayAgricolaStatistics/img/globus_m2_holidayfeast.png</t>
  </si>
  <si>
    <t>https://hauk88.github.io/PlayAgricolaStatistics/img/globus_m2_houseboat.png</t>
  </si>
  <si>
    <t>https://hauk88.github.io/PlayAgricolaStatistics/img/globus_m2_lumbermill.png</t>
  </si>
  <si>
    <t>https://hauk88.github.io/PlayAgricolaStatistics/img/globus_m2_mudpatch.png</t>
  </si>
  <si>
    <t>https://hauk88.github.io/PlayAgricolaStatistics/img/globus_m2_necklace1p.png</t>
  </si>
  <si>
    <t>https://hauk88.github.io/PlayAgricolaStatistics/img/globus_m2_noticeboard.png</t>
  </si>
  <si>
    <t>https://hauk88.github.io/PlayAgricolaStatistics/img/globus_m2_puzzle.png</t>
  </si>
  <si>
    <t>https://hauk88.github.io/PlayAgricolaStatistics/img/globus_m2_redcurrant.png</t>
  </si>
  <si>
    <t>https://hauk88.github.io/PlayAgricolaStatistics/img/globus_m2_shadycontract.png</t>
  </si>
  <si>
    <t>https://hauk88.github.io/PlayAgricolaStatistics/img/globus_m2_sharedwall.png</t>
  </si>
  <si>
    <t>https://hauk88.github.io/PlayAgricolaStatistics/img/globus_m2_sheepgate.png</t>
  </si>
  <si>
    <t>https://hauk88.github.io/PlayAgricolaStatistics/img/globus_m2_sheperdspipe1.png</t>
  </si>
  <si>
    <t>https://hauk88.github.io/PlayAgricolaStatistics/img/globus_m2_spam.png</t>
  </si>
  <si>
    <t>http://play-agricola.com/Agricola/Cards/Cards/xminorAlmshouse_655_8.jpg</t>
  </si>
  <si>
    <t>http://play-agricola.com/Agricola/Cards/Cards/xminorAnimalNursery_665_10.jpg</t>
  </si>
  <si>
    <t>http://play-agricola.com/Agricola/Cards/Cards/xminorAppleTree_1076_5.jpg</t>
  </si>
  <si>
    <t>http://play-agricola.com/Agricola/Cards/Cards/xminorApprenticeship_597_7.jpg</t>
  </si>
  <si>
    <t>http://play-agricola.com/Agricola/Cards/Cards/xminorAttic_416_12.jpg</t>
  </si>
  <si>
    <t>http://play-agricola.com/Agricola/Cards/Cards/xminorBackDoor_2217_8.jpg</t>
  </si>
  <si>
    <t>http://play-agricola.com/Agricola/Cards/Cards/xminorBackyardWell_583_12.jpg</t>
  </si>
  <si>
    <t>http://play-agricola.com/Agricola/Cards/Cards/xminorBirdcage_1875_3.jpg</t>
  </si>
  <si>
    <t>http://play-agricola.com/Agricola/Cards/Cards/xminorBonfire_658_7.jpg</t>
  </si>
  <si>
    <t>http://play-agricola.com/Agricola/Cards/Cards/xminorBoundaryStones_637_4.jpg</t>
  </si>
  <si>
    <t>http://play-agricola.com/Agricola/Cards/Cards/xminorBrazier_547_4.jpg</t>
  </si>
  <si>
    <t>http://play-agricola.com/Agricola/Cards/Cards/xminorBuriedTreasure_291_7.jpg</t>
  </si>
  <si>
    <t>http://play-agricola.com/Agricola/Cards/Cards/xminorCashCrop_2714_11.jpg</t>
  </si>
  <si>
    <t>http://play-agricola.com/Agricola/Cards/Cards/xminorChangingPlans_1147_7.jpg</t>
  </si>
  <si>
    <t>http://play-agricola.com/Agricola/Cards/Cards/xminorClockworkMan_290_2.jpg</t>
  </si>
  <si>
    <t>http://play-agricola.com/Agricola/Cards/Cards/xminorCookies_930_8.jpg</t>
  </si>
  <si>
    <t>http://play-agricola.com/Agricola/Cards/Cards/xminorCrib_354_4.jpg</t>
  </si>
  <si>
    <t>http://play-agricola.com/Agricola/Cards/Cards/xminorDiamondMine_134_4.jpg</t>
  </si>
  <si>
    <t>http://play-agricola.com/Agricola/Cards/Cards/xminorDonkey_138_9.jpg</t>
  </si>
  <si>
    <t>http://play-agricola.com/Agricola/Cards/Cards/xminorDownsizing_250_12.jpg</t>
  </si>
  <si>
    <t>http://play-agricola.com/Agricola/Cards/Cards/xminorDrainedPond_586_6.jpg</t>
  </si>
  <si>
    <t>http://play-agricola.com/Agricola/Cards/Cards/xminorEdibleRoots_2212_4.jpg</t>
  </si>
  <si>
    <t>http://play-agricola.com/Agricola/Cards/Cards/xminorFarmSchool_2630_6.jpg</t>
  </si>
  <si>
    <t>http://play-agricola.com/Agricola/Cards/Cards/xminorFestivalHall_1858_5.jpg</t>
  </si>
  <si>
    <t>http://play-agricola.com/Agricola/Cards/Cards/xminorFishHook_630_4.jpg</t>
  </si>
  <si>
    <t>http://play-agricola.com/Agricola/Cards/Cards/xminorFishPond_2237_6.jpg</t>
  </si>
  <si>
    <t>http://play-agricola.com/Agricola/Cards/Cards/xminorFlowerPots_1296_6.jpg</t>
  </si>
  <si>
    <t>http://play-agricola.com/Agricola/Cards/Cards/xminorFreeRangeChickens_191_9.jpg</t>
  </si>
  <si>
    <t>http://play-agricola.com/Agricola/Cards/Cards/xminorFriendlyPastures_1843_4.jpg</t>
  </si>
  <si>
    <t>http://play-agricola.com/Agricola/Cards/Cards/xminorFruitcake_1851_8.jpg</t>
  </si>
  <si>
    <t>http://play-agricola.com/Agricola/Cards/Cards/xminorGlassblowersShop_612_8.jpg</t>
  </si>
  <si>
    <t>http://play-agricola.com/Agricola/Cards/Cards/xminorGoldMedal_2289_7.jpg</t>
  </si>
  <si>
    <t>http://play-agricola.com/Agricola/Cards/Cards/xminorGrainElevator_647_12.jpg</t>
  </si>
  <si>
    <t>http://play-agricola.com/Agricola/Cards/Cards/xminorHomeGarden_869_6.jpg</t>
  </si>
  <si>
    <t>http://play-agricola.com/Agricola/Cards/Cards/xminorHoneymoon_901_15.jpg</t>
  </si>
  <si>
    <t>http://play-agricola.com/Agricola/Cards/Cards/xminorIronPlow_268_3.jpg</t>
  </si>
  <si>
    <t>http://play-agricola.com/Agricola/Cards/Cards/xminorKeys_539_6.jpg</t>
  </si>
  <si>
    <t>http://play-agricola.com/Agricola/Cards/Cards/xminorKindling_508_5.jpg</t>
  </si>
  <si>
    <t>http://play-agricola.com/Agricola/Cards/Cards/xminorLampOil_961_3.jpg</t>
  </si>
  <si>
    <t>http://play-agricola.com/Agricola/Cards/Cards/xminorMountainCave_1100_15.jpg</t>
  </si>
  <si>
    <t>http://play-agricola.com/Agricola/Cards/Cards/xminorOakCask_884_6.jpg</t>
  </si>
  <si>
    <t>http://play-agricola.com/Agricola/Cards/Cards/xminorOpenGate_353_7.jpg</t>
  </si>
  <si>
    <t>http://play-agricola.com/Agricola/Cards/Cards/xminorPettingZoo_695_8.jpg</t>
  </si>
  <si>
    <t>http://play-agricola.com/Agricola/Cards/Cards/xminorPigWallow_796_7.jpg</t>
  </si>
  <si>
    <t>http://play-agricola.com/Agricola/Cards/Cards/xminorPlumPatch_620_9.jpg</t>
  </si>
  <si>
    <t>http://play-agricola.com/Agricola/Cards/Cards/xminorPrizewinningSheep_717_2.jpg</t>
  </si>
  <si>
    <t>http://play-agricola.com/Agricola/Cards/Cards/xminorRam_2141_8.jpg</t>
  </si>
  <si>
    <t>http://play-agricola.com/Agricola/Cards/Cards/xminorRaspberries_666_8.jpg</t>
  </si>
  <si>
    <t>http://play-agricola.com/Agricola/Cards/Cards/xminorReedNursery_911_8.jpg</t>
  </si>
  <si>
    <t>http://play-agricola.com/Agricola/Cards/Cards/xminorRotherhamPlow_559_6.jpg</t>
  </si>
  <si>
    <t>http://play-agricola.com/Agricola/Cards/Cards/xminorRuins_184_3.jpg</t>
  </si>
  <si>
    <t>http://play-agricola.com/Agricola/Cards/Cards/xminorSlapdashRenovation_621_4.jpg</t>
  </si>
  <si>
    <t>http://play-agricola.com/Agricola/Cards/Cards/xminorSteamer_46_4.jpg</t>
  </si>
  <si>
    <t>http://play-agricola.com/Agricola/Cards/Cards/xminorSteelPlow_596_7.jpg</t>
  </si>
  <si>
    <t>http://play-agricola.com/Agricola/Cards/Cards/xminorStorageShed_825_7.jpg</t>
  </si>
  <si>
    <t>http://play-agricola.com/Agricola/Cards/Cards/xminorUndisturbedPond_709_13.jpg</t>
  </si>
  <si>
    <t>http://play-agricola.com/Agricola/Cards/Cards/xminorVillageSchool_639_3.jpg</t>
  </si>
  <si>
    <t>http://play-agricola.com/Agricola/Cards/Cards/xminorWildBreeding_909_26.jpg</t>
  </si>
  <si>
    <t>http://play-agricola.com/Agricola/Cards/Cards/xminorWineCloset_2278_31.jpg</t>
  </si>
  <si>
    <t>http://play-agricola.com/Agricola/Cards/Cards/xminorWormBait_324_7.jpg</t>
  </si>
  <si>
    <t>http://play-agricola.com/Agricola/Images/occe3academic.jpg</t>
  </si>
  <si>
    <t>http://play-agricola.com/Agricola/Images/occe4animalkeeper.jpg</t>
  </si>
  <si>
    <t>http://play-agricola.com/Agricola/Images/occe1baker.jpg</t>
  </si>
  <si>
    <t>http://play-agricola.com/Agricola/Images/occe4basketmaker.jpg</t>
  </si>
  <si>
    <t>http://play-agricola.com/Agricola/Images/occe3berrypicker.jpg</t>
  </si>
  <si>
    <t>http://play-agricola.com/Agricola/Images/occe3breadseller.jpg</t>
  </si>
  <si>
    <t>http://play-agricola.com/Agricola/Images/occe3brushmaker.jpg</t>
  </si>
  <si>
    <t>http://play-agricola.com/Agricola/Images/occe1carpenter.jpg</t>
  </si>
  <si>
    <t>http://play-agricola.com/Agricola/Images/occe4cattlewhisperer.jpg</t>
  </si>
  <si>
    <t>http://play-agricola.com/Agricola/Images/occe3charcoalburner.jpg</t>
  </si>
  <si>
    <t>http://play-agricola.com/Agricola/Images/occe1chief.jpg</t>
  </si>
  <si>
    <t>http://play-agricola.com/Agricola/Images/occe1chiefsdaughter.jpg</t>
  </si>
  <si>
    <t>http://play-agricola.com/Agricola/Images/occe1claydeliveryman.jpg</t>
  </si>
  <si>
    <t>http://play-agricola.com/Agricola/Images/occe4clayfirer.jpg</t>
  </si>
  <si>
    <t>http://play-agricola.com/Agricola/Images/occe1claymixer.jpg</t>
  </si>
  <si>
    <t>http://play-agricola.com/Agricola/Images/occe4clayseller.jpg</t>
  </si>
  <si>
    <t>http://play-agricola.com/Agricola/Images/occe4conjurer.jpg</t>
  </si>
  <si>
    <t>http://play-agricola.com/Agricola/Images/occe1conservator.jpg</t>
  </si>
  <si>
    <t>http://play-agricola.com/Agricola/Images/occe4cook.jpg</t>
  </si>
  <si>
    <t>http://play-agricola.com/Agricola/Images/occe4dancer.jpg</t>
  </si>
  <si>
    <t>http://play-agricola.com/Agricola/Images/occe1dockworker.jpg</t>
  </si>
  <si>
    <t>http://play-agricola.com/Agricola/Images/occe3estatemanager.jpg</t>
  </si>
  <si>
    <t>http://play-agricola.com/Agricola/Images/occe4farmer.jpg</t>
  </si>
  <si>
    <t>http://play-agricola.com/Agricola/Images/occe4fieldwarden.jpg</t>
  </si>
  <si>
    <t>http://play-agricola.com/Agricola/Images/occe3fisherman.jpg</t>
  </si>
  <si>
    <t>http://play-agricola.com/Agricola/Images/occe3greengrocer.jpg</t>
  </si>
  <si>
    <t>http://play-agricola.com/Agricola/Images/occe1grocer.jpg</t>
  </si>
  <si>
    <t>http://play-agricola.com/Agricola/Images/occe3guildmaster.jpg</t>
  </si>
  <si>
    <t>http://play-agricola.com/Agricola/Images/occe4headofthefamily.jpg</t>
  </si>
  <si>
    <t>http://play-agricola.com/Agricola/Images/occe1hedgekeeper.jpg</t>
  </si>
  <si>
    <t>http://play-agricola.com/Agricola/Images/occe4hobbyfarmer.jpg</t>
  </si>
  <si>
    <t>http://play-agricola.com/Agricola/Images/occe4hutbuilder.jpg</t>
  </si>
  <si>
    <t>http://play-agricola.com/Agricola/Images/occe3landagent.jpg</t>
  </si>
  <si>
    <t>http://play-agricola.com/Agricola/Images/occe1lordofthemanor.jpg</t>
  </si>
  <si>
    <t>http://play-agricola.com/Agricola/Images/occe1maid.jpg</t>
  </si>
  <si>
    <t>http://play-agricola.com/Agricola/Images/occe1mason.jpg</t>
  </si>
  <si>
    <t>http://play-agricola.com/Agricola/Images/occe4masterbaker.jpg</t>
  </si>
  <si>
    <t>http://play-agricola.com/Agricola/Images/occe1masterbrewer.jpg</t>
  </si>
  <si>
    <t>http://play-agricola.com/Agricola/Images/occe1masterbuilder.jpg</t>
  </si>
  <si>
    <t>http://play-agricola.com/Agricola/Images/occe4masterforester.jpg</t>
  </si>
  <si>
    <t>http://play-agricola.com/Agricola/Images/occe4mastershepherd.jpg</t>
  </si>
  <si>
    <t>http://play-agricola.com/Agricola/Images/occe1meatseller.jpg</t>
  </si>
  <si>
    <t>http://play-agricola.com/Agricola/Images/occe1mendicant.jpg</t>
  </si>
  <si>
    <t>http://play-agricola.com/Agricola/Images/occe1merchant.jpg</t>
  </si>
  <si>
    <t>http://play-agricola.com/Agricola/Images/occe1mushroomcollector.jpg</t>
  </si>
  <si>
    <t>http://play-agricola.com/Agricola/Images/occe4pastor.jpg</t>
  </si>
  <si>
    <t>http://play-agricola.com/Agricola/Images/occe4patron.jpg</t>
  </si>
  <si>
    <t>http://play-agricola.com/Agricola/Images/occe1plowdriver.jpg</t>
  </si>
  <si>
    <t>http://play-agricola.com/Agricola/Images/occe1plowmaker.jpg</t>
  </si>
  <si>
    <t>http://play-agricola.com/Agricola/Images/occe3potter.jpg</t>
  </si>
  <si>
    <t>http://play-agricola.com/Agricola/Images/occe3quarryman.jpg</t>
  </si>
  <si>
    <t>http://play-agricola.com/Agricola/Images/occe3reedcollector.jpg</t>
  </si>
  <si>
    <t>http://play-agricola.com/Agricola/Images/occe3reeve.jpg</t>
  </si>
  <si>
    <t>http://play-agricola.com/Agricola/Images/occe1renovator.jpg</t>
  </si>
  <si>
    <t>http://play-agricola.com/Agricola/Images/occe1seasonalworker.jpg</t>
  </si>
  <si>
    <t>http://play-agricola.com/Agricola/Images/occe4shepherd.jpg</t>
  </si>
  <si>
    <t>http://play-agricola.com/Agricola/Images/occe1stablehand.jpg</t>
  </si>
  <si>
    <t>http://play-agricola.com/Agricola/Images/occe4stockman.jpg</t>
  </si>
  <si>
    <t>http://play-agricola.com/Agricola/Images/occe1stonecarrier.jpg</t>
  </si>
  <si>
    <t>http://play-agricola.com/Agricola/Images/occe3stonecutter.jpg</t>
  </si>
  <si>
    <t>http://play-agricola.com/Agricola/Images/occe4storyteller.jpg</t>
  </si>
  <si>
    <t>http://play-agricola.com/Agricola/Images/occe4swineherd.jpg</t>
  </si>
  <si>
    <t>http://play-agricola.com/Agricola/Images/occe4tenantfarmer.jpg</t>
  </si>
  <si>
    <t>http://play-agricola.com/Agricola/Images/occe3thatcher.jpg</t>
  </si>
  <si>
    <t>http://play-agricola.com/Agricola/Images/occe1tutor.jpg</t>
  </si>
  <si>
    <t>http://play-agricola.com/Agricola/Images/occe4undergardener.jpg</t>
  </si>
  <si>
    <t>http://play-agricola.com/Agricola/Images/occe1woodcutter.jpg</t>
  </si>
  <si>
    <t>http://play-agricola.com/Agricola/Images/occe3woodenhutbuilder.jpg</t>
  </si>
  <si>
    <t>http://play-agricola.com/Agricola/Images/occe3yeomanfarmer.jpg</t>
  </si>
  <si>
    <t>http://play-agricola.com/Agricola/Cards/Cards/occx3Agrarian_2311_7.jpg</t>
  </si>
  <si>
    <t>http://play-agricola.com/Agricola/Cards/Cards/occx4AnimalWelfarist_2308_8.jpg</t>
  </si>
  <si>
    <t>http://play-agricola.com/Agricola/Cards/Cards/occx4ArtDirector_4019_7.jpg</t>
  </si>
  <si>
    <t>http://play-agricola.com/Agricola/Cards/Cards/occx1AwardWinner_3930_13.jpg</t>
  </si>
  <si>
    <t>http://play-agricola.com/Agricola/Cards/Cards/occx3Benefactor_3234_6.jpg</t>
  </si>
  <si>
    <t>http://play-agricola.com/Agricola/Cards/Cards/occx1Boatswain_3874_5.jpg</t>
  </si>
  <si>
    <t>http://play-agricola.com/Agricola/Cards/Cards/occx4CabbageLover_2495_4.jpg</t>
  </si>
  <si>
    <t>http://play-agricola.com/Agricola/Cards/Cards/occx1CardPlayer_3408_14.jpg</t>
  </si>
  <si>
    <t>http://play-agricola.com/Agricola/Cards/Cards/occx3CatLover_3606_6.jpg</t>
  </si>
  <si>
    <t>http://play-agricola.com/Agricola/Cards/Cards/occx4CattleDealer_3207_20.jpg</t>
  </si>
  <si>
    <t>http://play-agricola.com/Agricola/Cards/Cards/occx4ChildCareWorker_2488_5.jpg</t>
  </si>
  <si>
    <t>http://play-agricola.com/Agricola/Cards/Cards/occx1Cocotte_3309_4.jpg</t>
  </si>
  <si>
    <t>http://play-agricola.com/Agricola/Cards/Cards/occx1ConvictNumber24601_2324_12.jpg</t>
  </si>
  <si>
    <t>http://play-agricola.com/Agricola/Cards/Cards/occx1CountryDoctor_3682_8.jpg</t>
  </si>
  <si>
    <t>http://play-agricola.com/Agricola/Cards/Cards/occx1CowboyAndMother_2985_13.jpg</t>
  </si>
  <si>
    <t>http://play-agricola.com/Agricola/Cards/Cards/occx4DebtCollector_2680_7.jpg</t>
  </si>
  <si>
    <t>http://play-agricola.com/Agricola/Cards/Cards/occx4DoveHunter_3949_5.jpg</t>
  </si>
  <si>
    <t>http://play-agricola.com/Agricola/Cards/Cards/occx1DrawingGenius_3374_5.jpg</t>
  </si>
  <si>
    <t>http://play-agricola.com/Agricola/Cards/Cards/occx1DrinkerofAbsinthe_2782_7.jpg</t>
  </si>
  <si>
    <t>http://play-agricola.com/Agricola/Cards/Cards/occx3FencingMaster_3071_18.jpg</t>
  </si>
  <si>
    <t>http://play-agricola.com/Agricola/Cards/Cards/occx1Fiddler_2467_5.jpg</t>
  </si>
  <si>
    <t>http://play-agricola.com/Agricola/Cards/Cards/occx3GardeningEnthusiast_2811_14.jpg</t>
  </si>
  <si>
    <t>http://play-agricola.com/Agricola/Cards/Cards/occx3GoodFriend_2716_4.jpg</t>
  </si>
  <si>
    <t>http://play-agricola.com/Agricola/Cards/Cards/occx1GrainSpeculator_3087_5.jpg</t>
  </si>
  <si>
    <t>http://play-agricola.com/Agricola/Cards/Cards/occx1Harvester_2829_6.jpg</t>
  </si>
  <si>
    <t>http://play-agricola.com/Agricola/Cards/Cards/occx3HeadOfTheRevolution_3096_6.jpg</t>
  </si>
  <si>
    <t>http://play-agricola.com/Agricola/Cards/Cards/occx1ImmigrantsSon_3436_4.jpg</t>
  </si>
  <si>
    <t>http://play-agricola.com/Agricola/Cards/Cards/occx3Journeyman_3956_4.jpg</t>
  </si>
  <si>
    <t>http://play-agricola.com/Agricola/Cards/Cards/occx1LandscapeGardener_4003_3.jpg</t>
  </si>
  <si>
    <t>http://play-agricola.com/Agricola/Cards/Cards/occx3LemonTrader_2356_5.jpg</t>
  </si>
  <si>
    <t>http://play-agricola.com/Agricola/Cards/Cards/occx1ManualLabourer_2314_9.jpg</t>
  </si>
  <si>
    <t>http://play-agricola.com/Agricola/Cards/Cards/occx4MartialArtist_2978_6.jpg</t>
  </si>
  <si>
    <t>http://play-agricola.com/Agricola/Cards/Cards/occx1Mastermind_3894_5.jpg</t>
  </si>
  <si>
    <t>http://play-agricola.com/Agricola/Cards/Cards/occx3Miser_3149_7.jpg</t>
  </si>
  <si>
    <t>http://play-agricola.com/Agricola/Cards/Cards/occx4Musketeer_3357_5.jpg</t>
  </si>
  <si>
    <t>http://play-agricola.com/Agricola/Cards/Cards/occx1Oceanographer_3569_4.jpg</t>
  </si>
  <si>
    <t>http://play-agricola.com/Agricola/Cards/Cards/occx1ParquetSetter_2594_15.jpg</t>
  </si>
  <si>
    <t>http://play-agricola.com/Agricola/Cards/Cards/occx3PasteurizationExpert_3869_4.jpg</t>
  </si>
  <si>
    <t>http://play-agricola.com/Agricola/Cards/Cards/occx4PearPeeler_3016_18.jpg</t>
  </si>
  <si>
    <t>http://play-agricola.com/Agricola/Cards/Cards/occx1PipeSmoker_3313_4.jpg</t>
  </si>
  <si>
    <t>http://play-agricola.com/Agricola/Cards/Cards/occx4Powerhouse_3445_11.jpg</t>
  </si>
  <si>
    <t>http://play-agricola.com/Agricola/Cards/Cards/occx3Prefect_3798_8.jpg</t>
  </si>
  <si>
    <t>http://play-agricola.com/Agricola/Cards/Cards/occx4Prosecutor_2797_5.jpg</t>
  </si>
  <si>
    <t>http://play-agricola.com/Agricola/Cards/Cards/occx1RacingStableManager_2965_2.jpg</t>
  </si>
  <si>
    <t>http://play-agricola.com/Agricola/Cards/Cards/occx1Reformer_3808_2.jpg</t>
  </si>
  <si>
    <t>http://play-agricola.com/Agricola/Cards/Cards/occx1SailboatConstructor_3060_9.jpg</t>
  </si>
  <si>
    <t>http://play-agricola.com/Agricola/Cards/Cards/occx3SculptorsSon_2902_8.jpg</t>
  </si>
  <si>
    <t>http://play-agricola.com/Agricola/Cards/Cards/occx4ShovelWorker_3292_9.jpg</t>
  </si>
  <si>
    <t>http://play-agricola.com/Agricola/Cards/Cards/occx4StageStar_3489_7.jpg</t>
  </si>
  <si>
    <t>http://play-agricola.com/Agricola/Cards/Cards/occx1Stroller_3598_8.jpg</t>
  </si>
  <si>
    <t>http://play-agricola.com/Agricola/Cards/Cards/occx1SunFarmer_4004_5.jpg</t>
  </si>
  <si>
    <t>http://play-agricola.com/Agricola/Cards/Cards/occx4TowerBuilder_4334_4.jpg</t>
  </si>
  <si>
    <t>http://play-agricola.com/Agricola/Cards/Cards/occx1Trailblazer_3377_8.jpg</t>
  </si>
  <si>
    <t>http://play-agricola.com/Agricola/Cards/Cards/occx1TurkeyBreeder_2916_2.jpg</t>
  </si>
  <si>
    <t>http://play-agricola.com/Agricola/Cards/Cards/occx4UnicycleDriver_2821_5.jpg</t>
  </si>
  <si>
    <t>http://play-agricola.com/Agricola/Cards/Cards/occx4VillageDruid_3592_7.jpg</t>
  </si>
  <si>
    <t>http://play-agricola.com/Agricola/Cards/Cards/occx4WealthiestEuropean_2699_6.jpg</t>
  </si>
  <si>
    <t>http://play-agricola.com/Agricola/Cards/Cards/occx1WoodGatherers_3181_12.jpg</t>
  </si>
  <si>
    <t>http://play-agricola.com/Agricola/Cards/Cards/occx4Workaholic_3373_7.jpg</t>
  </si>
  <si>
    <t>http://play-agricola.com/Agricola/Cards/Cards/occx3WritingManiac_2363_4.jpg</t>
  </si>
  <si>
    <t>https://hauk88.github.io/PlayAgricolaStatistics/img/globus_acater.png</t>
  </si>
  <si>
    <t>https://hauk88.github.io/PlayAgricolaStatistics/img/globus_acquirer.png</t>
  </si>
  <si>
    <t>https://hauk88.github.io/PlayAgricolaStatistics/img/globus_almscollector.png</t>
  </si>
  <si>
    <t>https://hauk88.github.io/PlayAgricolaStatistics/img/globus_animalhusbandryworke.png</t>
  </si>
  <si>
    <t>https://hauk88.github.io/PlayAgricolaStatistics/img/globus_animalrenovator.png</t>
  </si>
  <si>
    <t>https://hauk88.github.io/PlayAgricolaStatistics/img/globus_animaltamersapprenti.png</t>
  </si>
  <si>
    <t>https://hauk88.github.io/PlayAgricolaStatistics/img/globus_appraiser.png</t>
  </si>
  <si>
    <t>https://hauk88.github.io/PlayAgricolaStatistics/img/globus_archer.png</t>
  </si>
  <si>
    <t>https://hauk88.github.io/PlayAgricolaStatistics/img/globus_balancefarmer.png</t>
  </si>
  <si>
    <t>https://hauk88.github.io/PlayAgricolaStatistics/img/globus_bananaworker.png</t>
  </si>
  <si>
    <t>https://hauk88.github.io/PlayAgricolaStatistics/img/globus_bargainhunter.png</t>
  </si>
  <si>
    <t>https://hauk88.github.io/PlayAgricolaStatistics/img/globus_bargainingharvester.png</t>
  </si>
  <si>
    <t>https://hauk88.github.io/PlayAgricolaStatistics/img/globus_barnmaster.png</t>
  </si>
  <si>
    <t>https://hauk88.github.io/PlayAgricolaStatistics/img/globus_barrelmaker.png</t>
  </si>
  <si>
    <t>https://hauk88.github.io/PlayAgricolaStatistics/img/globus_beastmaster.png</t>
  </si>
  <si>
    <t>https://hauk88.github.io/PlayAgricolaStatistics/img/globus_beautyandthebeast.png</t>
  </si>
  <si>
    <t>https://hauk88.github.io/PlayAgricolaStatistics/img/globus_blackberryfarmer.png</t>
  </si>
  <si>
    <t>https://hauk88.github.io/PlayAgricolaStatistics/img/globus_boarlord.png</t>
  </si>
  <si>
    <t>https://hauk88.github.io/PlayAgricolaStatistics/img/globus_boatconstructor.png</t>
  </si>
  <si>
    <t>https://hauk88.github.io/PlayAgricolaStatistics/img/globus_bonecollector.png</t>
  </si>
  <si>
    <t>https://hauk88.github.io/PlayAgricolaStatistics/img/globus_botanist.png</t>
  </si>
  <si>
    <t>https://hauk88.github.io/PlayAgricolaStatistics/img/globus_bowyer.png</t>
  </si>
  <si>
    <t>https://hauk88.github.io/PlayAgricolaStatistics/img/globus_braidmaker.png</t>
  </si>
  <si>
    <t>https://hauk88.github.io/PlayAgricolaStatistics/img/globus_buildingplanner.png</t>
  </si>
  <si>
    <t>https://hauk88.github.io/PlayAgricolaStatistics/img/globus_burgerflipper.png</t>
  </si>
  <si>
    <t>https://hauk88.github.io/PlayAgricolaStatistics/img/globus_businesstutor.png</t>
  </si>
  <si>
    <t>https://hauk88.github.io/PlayAgricolaStatistics/img/globus_cabinetowner.png</t>
  </si>
  <si>
    <t>https://hauk88.github.io/PlayAgricolaStatistics/img/globus_cactuslover.png</t>
  </si>
  <si>
    <t>https://hauk88.github.io/PlayAgricolaStatistics/img/globus_casinomanager.png</t>
  </si>
  <si>
    <t>https://hauk88.github.io/PlayAgricolaStatistics/img/globus_cattlerancher.png</t>
  </si>
  <si>
    <t>https://hauk88.github.io/PlayAgricolaStatistics/img/globus_championbreeder.png</t>
  </si>
  <si>
    <t>https://hauk88.github.io/PlayAgricolaStatistics/img/globus_cheapskate.png</t>
  </si>
  <si>
    <t>https://hauk88.github.io/PlayAgricolaStatistics/img/globus_chessplayer.png</t>
  </si>
  <si>
    <t>https://hauk88.github.io/PlayAgricolaStatistics/img/globus_childpsychologist.png</t>
  </si>
  <si>
    <t>https://hauk88.github.io/PlayAgricolaStatistics/img/globus_circusmanager.png</t>
  </si>
  <si>
    <t>https://hauk88.github.io/PlayAgricolaStatistics/img/globus_clerk.png</t>
  </si>
  <si>
    <t>https://hauk88.github.io/PlayAgricolaStatistics/img/globus_coalinvestor.png</t>
  </si>
  <si>
    <t>https://hauk88.github.io/PlayAgricolaStatistics/img/globus_coalminer.png</t>
  </si>
  <si>
    <t>https://hauk88.github.io/PlayAgricolaStatistics/img/globus_compostfarmer.png</t>
  </si>
  <si>
    <t>https://hauk88.github.io/PlayAgricolaStatistics/img/globus_cottar.png</t>
  </si>
  <si>
    <t>https://hauk88.github.io/PlayAgricolaStatistics/img/globus_dairycrier.png</t>
  </si>
  <si>
    <t>https://hauk88.github.io/PlayAgricolaStatistics/img/globus_diligentfarmer.png</t>
  </si>
  <si>
    <t>https://hauk88.github.io/PlayAgricolaStatistics/img/globus_drunkard.png</t>
  </si>
  <si>
    <t>https://hauk88.github.io/PlayAgricolaStatistics/img/globus_dungcollector.png</t>
  </si>
  <si>
    <t>https://hauk88.github.io/PlayAgricolaStatistics/img/globus_duskworker.png</t>
  </si>
  <si>
    <t>https://hauk88.github.io/PlayAgricolaStatistics/img/globus_eldersdaughter.png</t>
  </si>
  <si>
    <t>https://hauk88.github.io/PlayAgricolaStatistics/img/globus_employeeofthemonth.png</t>
  </si>
  <si>
    <t>https://hauk88.github.io/PlayAgricolaStatistics/img/globus_engineeringapprentic.png</t>
  </si>
  <si>
    <t>https://hauk88.github.io/PlayAgricolaStatistics/img/globus_entrepreneur.png</t>
  </si>
  <si>
    <t>https://hauk88.github.io/PlayAgricolaStatistics/img/globus_eremite.png</t>
  </si>
  <si>
    <t>https://hauk88.github.io/PlayAgricolaStatistics/img/globus_experiencedfarmer.png</t>
  </si>
  <si>
    <t>https://hauk88.github.io/PlayAgricolaStatistics/img/globus_familyphysician.png</t>
  </si>
  <si>
    <t>https://hauk88.github.io/PlayAgricolaStatistics/img/globus_farmoverseer.png</t>
  </si>
  <si>
    <t>https://hauk88.github.io/PlayAgricolaStatistics/img/globus_farmworker.png</t>
  </si>
  <si>
    <t>https://hauk88.github.io/PlayAgricolaStatistics/img/globus_fieldagent.png</t>
  </si>
  <si>
    <t>https://hauk88.github.io/PlayAgricolaStatistics/img/globus_fieldbarterer.png</t>
  </si>
  <si>
    <t>https://hauk88.github.io/PlayAgricolaStatistics/img/globus_fielddoctor.png</t>
  </si>
  <si>
    <t>https://hauk88.github.io/PlayAgricolaStatistics/img/globus_footballplayer.png</t>
  </si>
  <si>
    <t>https://hauk88.github.io/PlayAgricolaStatistics/img/globus_freshdirtworker.png</t>
  </si>
  <si>
    <t>https://hauk88.github.io/PlayAgricolaStatistics/img/globus_freshfenceworker.png</t>
  </si>
  <si>
    <t>https://hauk88.github.io/PlayAgricolaStatistics/img/globus_friendlyworker.png</t>
  </si>
  <si>
    <t>https://hauk88.github.io/PlayAgricolaStatistics/img/globus_gardenerswife.png</t>
  </si>
  <si>
    <t>https://hauk88.github.io/PlayAgricolaStatistics/img/globus_gelder.png</t>
  </si>
  <si>
    <t>https://hauk88.github.io/PlayAgricolaStatistics/img/globus_giant.png</t>
  </si>
  <si>
    <t>https://hauk88.github.io/PlayAgricolaStatistics/img/globus_glutenfreebaker.png</t>
  </si>
  <si>
    <t>https://hauk88.github.io/PlayAgricolaStatistics/img/globus_graduate.png</t>
  </si>
  <si>
    <t>https://hauk88.github.io/PlayAgricolaStatistics/img/globus_grainseller.png</t>
  </si>
  <si>
    <t>https://hauk88.github.io/PlayAgricolaStatistics/img/globus_grantor.png</t>
  </si>
  <si>
    <t>https://hauk88.github.io/PlayAgricolaStatistics/img/globus_gymtrainer.png</t>
  </si>
  <si>
    <t>https://hauk88.github.io/PlayAgricolaStatistics/img/globus_haberdasher.png</t>
  </si>
  <si>
    <t>https://hauk88.github.io/PlayAgricolaStatistics/img/globus_hamglazer.png</t>
  </si>
  <si>
    <t>https://hauk88.github.io/PlayAgricolaStatistics/img/globus_handmaid.png</t>
  </si>
  <si>
    <t>https://hauk88.github.io/PlayAgricolaStatistics/img/globus_hastytrader.png</t>
  </si>
  <si>
    <t>https://hauk88.github.io/PlayAgricolaStatistics/img/globus_henkeeper.png</t>
  </si>
  <si>
    <t>https://hauk88.github.io/PlayAgricolaStatistics/img/globus_hewer.png</t>
  </si>
  <si>
    <t>https://hauk88.github.io/PlayAgricolaStatistics/img/globus_hillbandit.png</t>
  </si>
  <si>
    <t>https://hauk88.github.io/PlayAgricolaStatistics/img/globus_hillcultivator.png</t>
  </si>
  <si>
    <t>https://hauk88.github.io/PlayAgricolaStatistics/img/globus_historian.png</t>
  </si>
  <si>
    <t>https://hauk88.github.io/PlayAgricolaStatistics/img/globus_homesteader.png</t>
  </si>
  <si>
    <t>https://hauk88.github.io/PlayAgricolaStatistics/img/globus_honourstudent.png</t>
  </si>
  <si>
    <t>https://hauk88.github.io/PlayAgricolaStatistics/img/globus_horseman.png</t>
  </si>
  <si>
    <t>https://hauk88.github.io/PlayAgricolaStatistics/img/globus_indenturedservant.png</t>
  </si>
  <si>
    <t>https://hauk88.github.io/PlayAgricolaStatistics/img/globus_inventorymanager.png</t>
  </si>
  <si>
    <t>https://hauk88.github.io/PlayAgricolaStatistics/img/globus_joiner.png</t>
  </si>
  <si>
    <t>https://hauk88.github.io/PlayAgricolaStatistics/img/globus_juniorpartner.png</t>
  </si>
  <si>
    <t>https://hauk88.github.io/PlayAgricolaStatistics/img/globus_junkdealer.png</t>
  </si>
  <si>
    <t>https://hauk88.github.io/PlayAgricolaStatistics/img/globus_khnum.png</t>
  </si>
  <si>
    <t>https://hauk88.github.io/PlayAgricolaStatistics/img/globus_ladyofthemanor.png</t>
  </si>
  <si>
    <t>https://hauk88.github.io/PlayAgricolaStatistics/img/globus_landsurveyor.png</t>
  </si>
  <si>
    <t>https://hauk88.github.io/PlayAgricolaStatistics/img/globus_livestockexpert.png</t>
  </si>
  <si>
    <t>https://hauk88.github.io/PlayAgricolaStatistics/img/globus_longbowman.png</t>
  </si>
  <si>
    <t>https://hauk88.github.io/PlayAgricolaStatistics/img/globus_manureshoveler.png</t>
  </si>
  <si>
    <t>https://hauk88.github.io/PlayAgricolaStatistics/img/globus_margrave.png</t>
  </si>
  <si>
    <t>https://hauk88.github.io/PlayAgricolaStatistics/img/globus_masterfencerv2.png</t>
  </si>
  <si>
    <t>https://hauk88.github.io/PlayAgricolaStatistics/img/globus_masterhuntsman.png</t>
  </si>
  <si>
    <t>https://hauk88.github.io/PlayAgricolaStatistics/img/globus_masterrenovator.png</t>
  </si>
  <si>
    <t>https://hauk88.github.io/PlayAgricolaStatistics/img/globus_mastertanner.png</t>
  </si>
  <si>
    <t>https://hauk88.github.io/PlayAgricolaStatistics/img/globus_mayorcandidate2.png</t>
  </si>
  <si>
    <t>https://hauk88.github.io/PlayAgricolaStatistics/img/globus_mbabamwana.png</t>
  </si>
  <si>
    <t>https://hauk88.github.io/PlayAgricolaStatistics/img/globus_merchantplowman.png</t>
  </si>
  <si>
    <t>https://hauk88.github.io/PlayAgricolaStatistics/img/globus_meticulousmen.png</t>
  </si>
  <si>
    <t>https://hauk88.github.io/PlayAgricolaStatistics/img/globus_miller.png</t>
  </si>
  <si>
    <t>https://hauk88.github.io/PlayAgricolaStatistics/img/globus_mountainplowman.png</t>
  </si>
  <si>
    <t>https://hauk88.github.io/PlayAgricolaStatistics/img/globus_native.png</t>
  </si>
  <si>
    <t>https://hauk88.github.io/PlayAgricolaStatistics/img/globus_naturalist.png</t>
  </si>
  <si>
    <t>https://hauk88.github.io/PlayAgricolaStatistics/img/globus_ninja.png</t>
  </si>
  <si>
    <t>https://hauk88.github.io/PlayAgricolaStatistics/img/globus_nursemaid.png</t>
  </si>
  <si>
    <t>https://hauk88.github.io/PlayAgricolaStatistics/img/globus_officer.png</t>
  </si>
  <si>
    <t>https://hauk88.github.io/PlayAgricolaStatistics/img/globus_oldhiker.png</t>
  </si>
  <si>
    <t>https://hauk88.github.io/PlayAgricolaStatistics/img/globus_omnifarmer.png</t>
  </si>
  <si>
    <t>https://hauk88.github.io/PlayAgricolaStatistics/img/globus_organisedhandyman.png</t>
  </si>
  <si>
    <t>https://hauk88.github.io/PlayAgricolaStatistics/img/globus_ovenadmirer.png</t>
  </si>
  <si>
    <t>https://hauk88.github.io/PlayAgricolaStatistics/img/globus_oveninspector.png</t>
  </si>
  <si>
    <t>https://hauk88.github.io/PlayAgricolaStatistics/img/globus_overachiever.png</t>
  </si>
  <si>
    <t>https://hauk88.github.io/PlayAgricolaStatistics/img/globus_parttimebuilder.png</t>
  </si>
  <si>
    <t>https://hauk88.github.io/PlayAgricolaStatistics/img/globus_parvenu.png</t>
  </si>
  <si>
    <t>https://hauk88.github.io/PlayAgricolaStatistics/img/globus_pastureplanner.png</t>
  </si>
  <si>
    <t>https://hauk88.github.io/PlayAgricolaStatistics/img/globus_patroness.png</t>
  </si>
  <si>
    <t>https://hauk88.github.io/PlayAgricolaStatistics/img/globus_peasant.png</t>
  </si>
  <si>
    <t>https://hauk88.github.io/PlayAgricolaStatistics/img/globus_penbuilder.png</t>
  </si>
  <si>
    <t>https://hauk88.github.io/PlayAgricolaStatistics/img/globus_peon.png</t>
  </si>
  <si>
    <t>https://hauk88.github.io/PlayAgricolaStatistics/img/globus_photographer.png</t>
  </si>
  <si>
    <t>https://hauk88.github.io/PlayAgricolaStatistics/img/globus_pickler.png</t>
  </si>
  <si>
    <t>https://hauk88.github.io/PlayAgricolaStatistics/img/globus_pioneer.png</t>
  </si>
  <si>
    <t>https://hauk88.github.io/PlayAgricolaStatistics/img/globus_pokerplayer.png</t>
  </si>
  <si>
    <t>https://hauk88.github.io/PlayAgricolaStatistics/img/globus_primitiveman.png</t>
  </si>
  <si>
    <t>https://hauk88.github.io/PlayAgricolaStatistics/img/globus_projectservant.png</t>
  </si>
  <si>
    <t>https://hauk88.github.io/PlayAgricolaStatistics/img/globus_prophet.png</t>
  </si>
  <si>
    <t>https://hauk88.github.io/PlayAgricolaStatistics/img/globus_prudentmerchant.png</t>
  </si>
  <si>
    <t>https://hauk88.github.io/PlayAgricolaStatistics/img/globus_ramwrangler.png</t>
  </si>
  <si>
    <t>https://hauk88.github.io/PlayAgricolaStatistics/img/globus_realestateagent.png</t>
  </si>
  <si>
    <t>https://hauk88.github.io/PlayAgricolaStatistics/img/globus_renaissanceman.png</t>
  </si>
  <si>
    <t>https://hauk88.github.io/PlayAgricolaStatistics/img/globus_resourcegatherer.png</t>
  </si>
  <si>
    <t>https://hauk88.github.io/PlayAgricolaStatistics/img/globus_restlessfather.png</t>
  </si>
  <si>
    <t>https://hauk88.github.io/PlayAgricolaStatistics/img/globus_ricefarmer.png</t>
  </si>
  <si>
    <t>https://hauk88.github.io/PlayAgricolaStatistics/img/globus_riverman.png</t>
  </si>
  <si>
    <t>https://hauk88.github.io/PlayAgricolaStatistics/img/globus_riverpig.png</t>
  </si>
  <si>
    <t>https://hauk88.github.io/PlayAgricolaStatistics/img/globus_rulebreaker.png</t>
  </si>
  <si>
    <t>https://hauk88.github.io/PlayAgricolaStatistics/img/globus_scapegrace.png</t>
  </si>
  <si>
    <t>https://hauk88.github.io/PlayAgricolaStatistics/img/globus_schoollunchlady.png</t>
  </si>
  <si>
    <t>https://hauk88.github.io/PlayAgricolaStatistics/img/globus_scrounger.png</t>
  </si>
  <si>
    <t>https://hauk88.github.io/PlayAgricolaStatistics/img/globus_sealtrainer.png</t>
  </si>
  <si>
    <t>https://hauk88.github.io/PlayAgricolaStatistics/img/globus_selfemployee.png</t>
  </si>
  <si>
    <t>https://hauk88.github.io/PlayAgricolaStatistics/img/globus_shearer.png</t>
  </si>
  <si>
    <t>https://hauk88.github.io/PlayAgricolaStatistics/img/globus_shoplifter.png</t>
  </si>
  <si>
    <t>https://hauk88.github.io/PlayAgricolaStatistics/img/globus_silobuilder.png</t>
  </si>
  <si>
    <t>https://hauk88.github.io/PlayAgricolaStatistics/img/globus_smuggler.png</t>
  </si>
  <si>
    <t>https://hauk88.github.io/PlayAgricolaStatistics/img/globus_snakeoilsalesman.png</t>
  </si>
  <si>
    <t>https://hauk88.github.io/PlayAgricolaStatistics/img/globus_soilnutritionist.png</t>
  </si>
  <si>
    <t>https://hauk88.github.io/PlayAgricolaStatistics/img/globus_southpoleexplorer.png</t>
  </si>
  <si>
    <t>https://hauk88.github.io/PlayAgricolaStatistics/img/globus_speculator.png</t>
  </si>
  <si>
    <t>https://hauk88.github.io/PlayAgricolaStatistics/img/globus_springworker.png</t>
  </si>
  <si>
    <t>https://hauk88.github.io/PlayAgricolaStatistics/img/globus_stableartificer.png</t>
  </si>
  <si>
    <t>https://hauk88.github.io/PlayAgricolaStatistics/img/globus_stonebaron.png</t>
  </si>
  <si>
    <t>https://hauk88.github.io/PlayAgricolaStatistics/img/globus_stonecustodian.png</t>
  </si>
  <si>
    <t>https://hauk88.github.io/PlayAgricolaStatistics/img/globus_stonesculptor.png</t>
  </si>
  <si>
    <t>https://hauk88.github.io/PlayAgricolaStatistics/img/globus_storeowner.png</t>
  </si>
  <si>
    <t>https://hauk88.github.io/PlayAgricolaStatistics/img/globus_studmaster.png</t>
  </si>
  <si>
    <t>https://hauk88.github.io/PlayAgricolaStatistics/img/globus_sugardaddy.png</t>
  </si>
  <si>
    <t>https://hauk88.github.io/PlayAgricolaStatistics/img/globus_supervisor.png</t>
  </si>
  <si>
    <t>https://hauk88.github.io/PlayAgricolaStatistics/img/globus_surveyor.png</t>
  </si>
  <si>
    <t>https://hauk88.github.io/PlayAgricolaStatistics/img/globus_tarzan.png</t>
  </si>
  <si>
    <t>https://hauk88.github.io/PlayAgricolaStatistics/img/globus_thatchershelper.png</t>
  </si>
  <si>
    <t>https://hauk88.github.io/PlayAgricolaStatistics/img/globus_treasurehunter.png</t>
  </si>
  <si>
    <t>https://hauk88.github.io/PlayAgricolaStatistics/img/globus_trinketcollector.png</t>
  </si>
  <si>
    <t>https://hauk88.github.io/PlayAgricolaStatistics/img/globus_universaleducator.png</t>
  </si>
  <si>
    <t>https://hauk88.github.io/PlayAgricolaStatistics/img/globus_vegetablevendor.png</t>
  </si>
  <si>
    <t>https://hauk88.github.io/PlayAgricolaStatistics/img/globus_veggielover.png</t>
  </si>
  <si>
    <t>https://hauk88.github.io/PlayAgricolaStatistics/img/globus_villein.png</t>
  </si>
  <si>
    <t>https://hauk88.github.io/PlayAgricolaStatistics/img/globus_vinedresser.png</t>
  </si>
  <si>
    <t>https://hauk88.github.io/PlayAgricolaStatistics/img/globus_vineyardlabor.png</t>
  </si>
  <si>
    <t>https://hauk88.github.io/PlayAgricolaStatistics/img/globus_visionary.png</t>
  </si>
  <si>
    <t>https://hauk88.github.io/PlayAgricolaStatistics/img/globus_visitingquarryman.png</t>
  </si>
  <si>
    <t>https://hauk88.github.io/PlayAgricolaStatistics/img/globus_walrushunter.png</t>
  </si>
  <si>
    <t>https://hauk88.github.io/PlayAgricolaStatistics/img/globus_waressalesman.png</t>
  </si>
  <si>
    <t>https://hauk88.github.io/PlayAgricolaStatistics/img/globus_wealthiestcousin.png</t>
  </si>
  <si>
    <t>https://hauk88.github.io/PlayAgricolaStatistics/img/globus_wealthyman.png</t>
  </si>
  <si>
    <t>https://hauk88.github.io/PlayAgricolaStatistics/img/globus_wellseller.png</t>
  </si>
  <si>
    <t>https://hauk88.github.io/PlayAgricolaStatistics/img/globus_wheatfarmer.png</t>
  </si>
  <si>
    <t>https://hauk88.github.io/PlayAgricolaStatistics/img/globus_wolf.png</t>
  </si>
  <si>
    <t>https://hauk88.github.io/PlayAgricolaStatistics/img/globus_zealousfarmer.png</t>
  </si>
  <si>
    <t>https://hauk88.github.io/PlayAgricolaStatistics/img/globus_zoodirector.png</t>
  </si>
  <si>
    <t>http://play-agricola.com/Agricola/Images/occi3animaldealer.jpg</t>
  </si>
  <si>
    <t>http://play-agricola.com/Agricola/Images/occi1bricklayer.jpg</t>
  </si>
  <si>
    <t>http://play-agricola.com/Agricola/Images/occi3businessman.jpg</t>
  </si>
  <si>
    <t>http://play-agricola.com/Agricola/Images/occi1butcher.jpg</t>
  </si>
  <si>
    <t>http://play-agricola.com/Agricola/Images/occi3cabinetmaker.jpg</t>
  </si>
  <si>
    <t>http://play-agricola.com/Agricola/Images/occi1churchwarden.jpg</t>
  </si>
  <si>
    <t>http://play-agricola.com/Agricola/Images/occi4claydigger.jpg</t>
  </si>
  <si>
    <t>http://play-agricola.com/Agricola/Images/occi1clayhutbuilder.jpg</t>
  </si>
  <si>
    <t>http://play-agricola.com/Agricola/Images/occi1clayplasterer.jpg</t>
  </si>
  <si>
    <t>http://play-agricola.com/Agricola/Images/occi3cowherd.jpg</t>
  </si>
  <si>
    <t>http://play-agricola.com/Agricola/Images/occi1farmsteward.jpg</t>
  </si>
  <si>
    <t>http://play-agricola.com/Agricola/Images/occi1fencebuilder.jpg</t>
  </si>
  <si>
    <t>http://play-agricola.com/Agricola/Images/occi1fencedeliveryman.jpg</t>
  </si>
  <si>
    <t>http://play-agricola.com/Agricola/Images/occi4fencer.jpg</t>
  </si>
  <si>
    <t>http://play-agricola.com/Agricola/Images/occi1fieldsman.jpg</t>
  </si>
  <si>
    <t>http://play-agricola.com/Agricola/Images/occi1fieldwatchman.jpg</t>
  </si>
  <si>
    <t>http://play-agricola.com/Agricola/Images/occi1gardener.jpg</t>
  </si>
  <si>
    <t>http://play-agricola.com/Agricola/Images/occi4groom.jpg</t>
  </si>
  <si>
    <t>http://play-agricola.com/Agricola/Images/occi3hidefarmer.jpg</t>
  </si>
  <si>
    <t>http://play-agricola.com/Agricola/Images/occi4juggler.jpg</t>
  </si>
  <si>
    <t>http://play-agricola.com/Agricola/Images/occi1layabout.jpg</t>
  </si>
  <si>
    <t>http://play-agricola.com/Agricola/Images/occi1manservant.jpg</t>
  </si>
  <si>
    <t>http://play-agricola.com/Agricola/Images/occi3marketcrier.jpg</t>
  </si>
  <si>
    <t>http://play-agricola.com/Agricola/Images/occi4milkinghand.jpg</t>
  </si>
  <si>
    <t>http://play-agricola.com/Agricola/Images/occi1netfisherman.jpg</t>
  </si>
  <si>
    <t>http://play-agricola.com/Agricola/Images/occi4outrider.jpg</t>
  </si>
  <si>
    <t>http://play-agricola.com/Agricola/Images/occi4pigbreeder.jpg</t>
  </si>
  <si>
    <t>http://play-agricola.com/Agricola/Images/occi4pigcatcher.jpg</t>
  </si>
  <si>
    <t>http://play-agricola.com/Agricola/Images/occi4puppeteer.jpg</t>
  </si>
  <si>
    <t>http://play-agricola.com/Agricola/Images/occi4rancher.jpg</t>
  </si>
  <si>
    <t>http://play-agricola.com/Agricola/Images/occi4sheepwhisperer.jpg</t>
  </si>
  <si>
    <t>http://play-agricola.com/Agricola/Images/occi4socialclimber.jpg</t>
  </si>
  <si>
    <t>http://play-agricola.com/Agricola/Images/occi1stonecarver.jpg</t>
  </si>
  <si>
    <t>http://play-agricola.com/Agricola/Images/occi4streetmusician.jpg</t>
  </si>
  <si>
    <t>http://play-agricola.com/Agricola/Images/occi3villageelder.jpg</t>
  </si>
  <si>
    <t>http://play-agricola.com/Agricola/Images/occi1watercarrier.jpg</t>
  </si>
  <si>
    <t>http://play-agricola.com/Agricola/Images/occi1wellbuilder.jpg</t>
  </si>
  <si>
    <t>http://play-agricola.com/Agricola/Images/occi1woodcollector.jpg</t>
  </si>
  <si>
    <t>http://play-agricola.com/Agricola/Images/occk4acrobat.jpg</t>
  </si>
  <si>
    <t>http://play-agricola.com/Agricola/Images/occk1adoptiveparents.jpg</t>
  </si>
  <si>
    <t>http://play-agricola.com/Agricola/Images/occk4animalbreeder.jpg</t>
  </si>
  <si>
    <t>http://play-agricola.com/Agricola/Images/occk4animalhandler.jpg</t>
  </si>
  <si>
    <t>http://play-agricola.com/Agricola/Images/occk1animaltamer.jpg</t>
  </si>
  <si>
    <t>http://play-agricola.com/Agricola/Images/occk4animaltrainer.jpg</t>
  </si>
  <si>
    <t>http://play-agricola.com/Agricola/Images/occk4basinmaker.jpg</t>
  </si>
  <si>
    <t>http://play-agricola.com/Agricola/Images/occk3brushwoodcollector.jpg</t>
  </si>
  <si>
    <t>http://play-agricola.com/Agricola/Images/occk4cattlebreeder.jpg</t>
  </si>
  <si>
    <t>http://play-agricola.com/Agricola/Images/occk1clayworker.jpg</t>
  </si>
  <si>
    <t>http://play-agricola.com/Agricola/Images/occk3constable.jpg</t>
  </si>
  <si>
    <t>http://play-agricola.com/Agricola/Images/occk4countryman.jpg</t>
  </si>
  <si>
    <t>http://play-agricola.com/Agricola/Images/occk4educator.jpg</t>
  </si>
  <si>
    <t>http://play-agricola.com/Agricola/Images/occk1fenceoverseer.jpg</t>
  </si>
  <si>
    <t>http://play-agricola.com/Agricola/Images/occk4foreman.jpg</t>
  </si>
  <si>
    <t>http://play-agricola.com/Agricola/Images/occk1forester.jpg</t>
  </si>
  <si>
    <t>http://play-agricola.com/Agricola/Images/occk1framebuilder.jpg</t>
  </si>
  <si>
    <t>http://play-agricola.com/Agricola/Images/occk3housesteward.jpg</t>
  </si>
  <si>
    <t>http://play-agricola.com/Agricola/Images/occk4magician.jpg</t>
  </si>
  <si>
    <t>http://play-agricola.com/Agricola/Images/occk3manufacturer.jpg</t>
  </si>
  <si>
    <t>http://play-agricola.com/Agricola/Images/occk1marketwomen.jpg</t>
  </si>
  <si>
    <t>http://play-agricola.com/Agricola/Images/occk1organicfarmer.jpg</t>
  </si>
  <si>
    <t>http://play-agricola.com/Agricola/Images/occk4perpetualstudent.jpg</t>
  </si>
  <si>
    <t>http://play-agricola.com/Agricola/Images/occk1pieceworker.jpg</t>
  </si>
  <si>
    <t>http://play-agricola.com/Agricola/Images/occk4pigwhisperer.jpg</t>
  </si>
  <si>
    <t>http://play-agricola.com/Agricola/Images/occk1plowman.jpg</t>
  </si>
  <si>
    <t>http://play-agricola.com/Agricola/Images/occk1resourceseller.jpg</t>
  </si>
  <si>
    <t>http://play-agricola.com/Agricola/Images/occk1schnapsdistiller.jpg</t>
  </si>
  <si>
    <t>http://play-agricola.com/Agricola/Images/occk1scholar.jpg</t>
  </si>
  <si>
    <t>http://play-agricola.com/Agricola/Images/occk3seedseller.jpg</t>
  </si>
  <si>
    <t>http://play-agricola.com/Agricola/Images/occk4serf.jpg</t>
  </si>
  <si>
    <t>http://play-agricola.com/Agricola/Images/occk3sheepfarmer.jpg</t>
  </si>
  <si>
    <t>http://play-agricola.com/Agricola/Images/occk4shepherdboy.jpg</t>
  </si>
  <si>
    <t>http://play-agricola.com/Agricola/Images/occk3slaughterman.jpg</t>
  </si>
  <si>
    <t>http://play-agricola.com/Agricola/Images/occk4stonebreaker.jpg</t>
  </si>
  <si>
    <t>http://play-agricola.com/Agricola/Images/occk4storehouseclerk.jpg</t>
  </si>
  <si>
    <t>http://play-agricola.com/Agricola/Images/occk4storehousekeeper.jpg</t>
  </si>
  <si>
    <t>http://play-agricola.com/Agricola/Images/occk3tanner.jpg</t>
  </si>
  <si>
    <t>http://play-agricola.com/Agricola/Images/occk3tinsmith.jpg</t>
  </si>
  <si>
    <t>http://play-agricola.com/Agricola/Images/occk1travelingsalesman.jpg</t>
  </si>
  <si>
    <t>http://play-agricola.com/Agricola/Images/occk4veterinarian.jpg</t>
  </si>
  <si>
    <t>http://play-agricola.com/Agricola/Images/occk4weaver.jpg</t>
  </si>
  <si>
    <t>http://play-agricola.com/Agricola/Images/occk1woodcarver.jpg</t>
  </si>
  <si>
    <t>http://play-agricola.com/Agricola/Images/occk1wooddeliveryman.jpg</t>
  </si>
  <si>
    <t>http://play-agricola.com/Agricola/Images/occk1wooddistributor.jpg</t>
  </si>
  <si>
    <t>https://hauk88.github.io/PlayAgricolaStatistics/img/globus_m1_butterflycatcher.png</t>
  </si>
  <si>
    <t>https://hauk88.github.io/PlayAgricolaStatistics/img/globus_m1_chairman.png</t>
  </si>
  <si>
    <t>https://hauk88.github.io/PlayAgricolaStatistics/img/globus_m1_collieryoverman.png</t>
  </si>
  <si>
    <t>https://hauk88.github.io/PlayAgricolaStatistics/img/globus_m1_cookeryseller.png</t>
  </si>
  <si>
    <t>https://hauk88.github.io/PlayAgricolaStatistics/img/globus_m1_earlyexpert.png</t>
  </si>
  <si>
    <t>https://hauk88.github.io/PlayAgricolaStatistics/img/globus_m1_furrier.png</t>
  </si>
  <si>
    <t>https://hauk88.github.io/PlayAgricolaStatistics/img/globus_m1_guildfarmer.png</t>
  </si>
  <si>
    <t>https://hauk88.github.io/PlayAgricolaStatistics/img/globus_m1_icecreamseller.png</t>
  </si>
  <si>
    <t>https://hauk88.github.io/PlayAgricolaStatistics/img/globus_m1_innovativebuilder.png</t>
  </si>
  <si>
    <t>https://hauk88.github.io/PlayAgricolaStatistics/img/globus_m1_ladywithlamp.png</t>
  </si>
  <si>
    <t>https://hauk88.github.io/PlayAgricolaStatistics/img/globus_m1_major.png</t>
  </si>
  <si>
    <t>https://hauk88.github.io/PlayAgricolaStatistics/img/globus_nilefarmer.png</t>
  </si>
  <si>
    <t>https://hauk88.github.io/PlayAgricolaStatistics/img/globus_m1_novelist.png</t>
  </si>
  <si>
    <t>https://hauk88.github.io/PlayAgricolaStatistics/img/globus_m1_oldcrafter.png</t>
  </si>
  <si>
    <t>https://hauk88.github.io/PlayAgricolaStatistics/img/globus_m1_rooftopper.png</t>
  </si>
  <si>
    <t>https://hauk88.github.io/PlayAgricolaStatistics/img/globus_m1_spragger.png</t>
  </si>
  <si>
    <t>https://hauk88.github.io/PlayAgricolaStatistics/img/globus_m1_villagelady.png</t>
  </si>
  <si>
    <t>https://hauk88.github.io/PlayAgricolaStatistics/img/globus_m2_animalfarmer.png</t>
  </si>
  <si>
    <t>https://hauk88.github.io/PlayAgricolaStatistics/img/globus_m2_astronomer.png</t>
  </si>
  <si>
    <t>https://hauk88.github.io/PlayAgricolaStatistics/img/globus_m2_bakersapprentice.png</t>
  </si>
  <si>
    <t>https://hauk88.github.io/PlayAgricolaStatistics/img/globus_m2_carrotfarmer.png</t>
  </si>
  <si>
    <t>https://hauk88.github.io/PlayAgricolaStatistics/img/globus_m2_chiefforester.png</t>
  </si>
  <si>
    <t>https://hauk88.github.io/PlayAgricolaStatistics/img/globus_m2_claystarter.png</t>
  </si>
  <si>
    <t>https://hauk88.github.io/PlayAgricolaStatistics/img/globus_m2_craftteacher.png</t>
  </si>
  <si>
    <t>https://hauk88.github.io/PlayAgricolaStatistics/img/globus_m2_cropfarmer.png</t>
  </si>
  <si>
    <t>https://hauk88.github.io/PlayAgricolaStatistics/img/globus_m2_familycounselor.png</t>
  </si>
  <si>
    <t>https://hauk88.github.io/PlayAgricolaStatistics/img/globus_m1_grainlover.png</t>
  </si>
  <si>
    <t>https://hauk88.github.io/PlayAgricolaStatistics/img/globus_m2_lumberjack.png</t>
  </si>
  <si>
    <t>https://hauk88.github.io/PlayAgricolaStatistics/img/globus_m1_resourcecollector.png</t>
  </si>
  <si>
    <t>https://hauk88.github.io/PlayAgricolaStatistics/img/globus_m1_resourcedealer.png</t>
  </si>
  <si>
    <t>https://hauk88.github.io/PlayAgricolaStatistics/img/globus_m2_smallscalefarmer.png</t>
  </si>
  <si>
    <t>https://hauk88.github.io/PlayAgricolaStatistics/img/globus_m2_stablemasterbuild.png</t>
  </si>
  <si>
    <t>https://hauk88.github.io/PlayAgricolaStatistics/img/globus_m2_troll.png</t>
  </si>
  <si>
    <t>https://hauk88.github.io/PlayAgricolaStatistics/img/globus_m2_wintercrafter.png</t>
  </si>
  <si>
    <t>http://play-agricola.com/Agricola/Cards/Cards/occx3Amazon_670_6.jpg</t>
  </si>
  <si>
    <t>http://play-agricola.com/Agricola/Cards/Cards/occx3AnimalBuyer_2277_8.jpg</t>
  </si>
  <si>
    <t>http://play-agricola.com/Agricola/Cards/Cards/occx1ApplePicker_963_6.jpg</t>
  </si>
  <si>
    <t>http://play-agricola.com/Agricola/Cards/Cards/occx1BargainingBaker_501_11.jpg</t>
  </si>
  <si>
    <t>http://play-agricola.com/Agricola/Cards/Cards/occx1BeeKeeper_910_13.jpg</t>
  </si>
  <si>
    <t>http://play-agricola.com/Agricola/Cards/Cards/occx1Borrower_176_3.jpg</t>
  </si>
  <si>
    <t>http://play-agricola.com/Agricola/Cards/Cards/occx1BranchCollector_859_10.jpg</t>
  </si>
  <si>
    <t>http://play-agricola.com/Agricola/Cards/Cards/occx1BreadCarrier_1044_3.jpg</t>
  </si>
  <si>
    <t>http://play-agricola.com/Agricola/Cards/Cards/occx3Chemist_151_16.jpg</t>
  </si>
  <si>
    <t>http://play-agricola.com/Agricola/Cards/Cards/occx1CloisterDweller_1067_3.jpg</t>
  </si>
  <si>
    <t>http://play-agricola.com/Agricola/Cards/Cards/occx1Contractor_2120_8.jpg</t>
  </si>
  <si>
    <t>http://play-agricola.com/Agricola/Cards/Cards/occx3CovetousFarmer_1902_9.jpg</t>
  </si>
  <si>
    <t>http://play-agricola.com/Agricola/Cards/Cards/occx3Cowboy_705_5.jpg</t>
  </si>
  <si>
    <t>http://play-agricola.com/Agricola/Cards/Cards/occx1CropRotator_1900_12.jpg</t>
  </si>
  <si>
    <t>http://play-agricola.com/Agricola/Cards/Cards/occx3DebrisDealer_1018_7.jpg</t>
  </si>
  <si>
    <t>http://play-agricola.com/Agricola/Cards/Cards/occx3Diplomat_897_25.jpg</t>
  </si>
  <si>
    <t>http://play-agricola.com/Agricola/Cards/Cards/occx3Engineer_731_9.jpg</t>
  </si>
  <si>
    <t>http://play-agricola.com/Agricola/Cards/Cards/occx3ExpertBuilder_563_9.jpg</t>
  </si>
  <si>
    <t>http://play-agricola.com/Agricola/Cards/Cards/occx1FamilyPlanner_646_5.jpg</t>
  </si>
  <si>
    <t>http://play-agricola.com/Agricola/Cards/Cards/occx3FarmSchoolGraduate_941_19.jpg</t>
  </si>
  <si>
    <t>http://play-agricola.com/Agricola/Cards/Cards/occx1FenceDealer_186_6.jpg</t>
  </si>
  <si>
    <t>http://play-agricola.com/Agricola/Cards/Cards/occx1FoodConnoisseur_367_5.jpg</t>
  </si>
  <si>
    <t>http://play-agricola.com/Agricola/Cards/Cards/occx1ForestFarmer_2299_6.jpg</t>
  </si>
  <si>
    <t>http://play-agricola.com/Agricola/Cards/Cards/occx1GemHunter_2265_26.jpg</t>
  </si>
  <si>
    <t>http://play-agricola.com/Agricola/Cards/Cards/occx3Godfather_921_10.jpg</t>
  </si>
  <si>
    <t>http://play-agricola.com/Agricola/Cards/Cards/occx3HedgeMaster_1002_3.jpg</t>
  </si>
  <si>
    <t>http://play-agricola.com/Agricola/Cards/Cards/occx1Heiress_537_15.jpg</t>
  </si>
  <si>
    <t>http://play-agricola.com/Agricola/Cards/Cards/occx1Herdsman_878_6.jpg</t>
  </si>
  <si>
    <t>http://play-agricola.com/Agricola/Cards/Cards/occx1HillFarmer_904_8.jpg</t>
  </si>
  <si>
    <t>http://play-agricola.com/Agricola/Cards/Cards/occx1Hoarder_1681_5.jpg</t>
  </si>
  <si>
    <t>http://play-agricola.com/Agricola/Cards/Cards/occx3HumbleFarmboy_237_3.jpg</t>
  </si>
  <si>
    <t>http://play-agricola.com/Agricola/Cards/Cards/occx1Hunter_1001_9.jpg</t>
  </si>
  <si>
    <t>http://play-agricola.com/Agricola/Cards/Cards/occx3LadyinWaiting_146_16.jpg</t>
  </si>
  <si>
    <t>http://play-agricola.com/Agricola/Cards/Cards/occx1LivestockKeeper_1399_16.jpg</t>
  </si>
  <si>
    <t>http://play-agricola.com/Agricola/Cards/Cards/occx3Mailman_1068_19.jpg</t>
  </si>
  <si>
    <t>http://play-agricola.com/Agricola/Cards/Cards/occx3MasterCook_505_7.jpg</t>
  </si>
  <si>
    <t>http://play-agricola.com/Agricola/Cards/Cards/occx1MasterStableman_691_9.jpg</t>
  </si>
  <si>
    <t>http://play-agricola.com/Agricola/Cards/Cards/occx3Minimalist_230_5.jpg</t>
  </si>
  <si>
    <t>http://play-agricola.com/Agricola/Cards/Cards/occx1Pawnbroker_2113_9.jpg</t>
  </si>
  <si>
    <t>http://play-agricola.com/Agricola/Cards/Cards/occx1Permaculturist_2126_6.jpg</t>
  </si>
  <si>
    <t>http://play-agricola.com/Agricola/Cards/Cards/occx1Politician_732_5.jpg</t>
  </si>
  <si>
    <t>http://play-agricola.com/Agricola/Cards/Cards/occx1Remodeler_180_12.jpg</t>
  </si>
  <si>
    <t>http://play-agricola.com/Agricola/Cards/Cards/occx3ResourceLender_1065_9.jpg</t>
  </si>
  <si>
    <t>http://play-agricola.com/Agricola/Cards/Cards/occx3SiloGirl_756_3.jpg</t>
  </si>
  <si>
    <t>http://play-agricola.com/Agricola/Cards/Cards/occx1StableDeliveryman_1073_6.jpg</t>
  </si>
  <si>
    <t>http://play-agricola.com/Agricola/Cards/Cards/occx1StoneCurator_977_4.jpg</t>
  </si>
  <si>
    <t>http://play-agricola.com/Agricola/Cards/Cards/occx3StorehouseMinder_886_9.jpg</t>
  </si>
  <si>
    <t>http://play-agricola.com/Agricola/Cards/Cards/occx3SundayWorker_548_10.jpg</t>
  </si>
  <si>
    <t>http://play-agricola.com/Agricola/Cards/Cards/occx1SunriseAdmirer_551_14.jpg</t>
  </si>
  <si>
    <t>http://play-agricola.com/Agricola/Cards/Cards/occx1TapestryWeaver_225_4.jpg</t>
  </si>
  <si>
    <t>http://play-agricola.com/Agricola/Cards/Cards/occx1TavernKeeper_174_9.jpg</t>
  </si>
  <si>
    <t>http://play-agricola.com/Agricola/Cards/Cards/occx3TileMaker_533_4.jpg</t>
  </si>
  <si>
    <t>http://play-agricola.com/Agricola/Cards/Cards/occx1VillageFool_810_5.jpg</t>
  </si>
  <si>
    <t>http://play-agricola.com/Agricola/Cards/Cards/occx3WheelbarrowPusher_1885_11.jpg</t>
  </si>
  <si>
    <t>http://play-agricola.com/Agricola/Cards/Cards/occx3WoodWorker_832_4.jpg</t>
  </si>
  <si>
    <t>card_image_url</t>
  </si>
  <si>
    <t>PWRcorr</t>
  </si>
  <si>
    <t>Lnr</t>
  </si>
  <si>
    <t>Comment to PWRcorr</t>
  </si>
  <si>
    <t>(gml: 0.7; Politician 3.01, TapestryWeaver 2.45)</t>
  </si>
  <si>
    <t>= G-kortet Baker’sDaughter? 1.1; Greengrocer 2.12, SeedSeller 2.47; CornScoop 2.34)</t>
  </si>
  <si>
    <t>DrinkerOfAbsinthe 1.37</t>
  </si>
  <si>
    <t>SeedSeller 2.47</t>
  </si>
  <si>
    <t>ExperiencedFarmer 1.9</t>
  </si>
  <si>
    <t>FieldBarterer 3.34, FarmSchoolGraduate 2.78, ChildPsychologist 4.04, Patron 3.92</t>
  </si>
  <si>
    <t>Plowman 2.24</t>
  </si>
  <si>
    <t>Hoarder 2.71</t>
  </si>
  <si>
    <t>CatLover 3.06, Thatcher 2.19, Miser 2.21</t>
  </si>
  <si>
    <t>Layabout 2.18, HastyTrader 1.66</t>
  </si>
  <si>
    <t>Oceanographer 2.04, SeasonalWorker 2.44, Undergardener 1.95, Thatcher 2.19</t>
  </si>
  <si>
    <t>TapestryWeaver 2.44, Hoarder 2.71, StoneSculptor 3.05, Herdsman 1.80</t>
  </si>
  <si>
    <t>SchoolLunchLady 3.67, FencingMaster 3.25, VillageDruid 3.05</t>
  </si>
  <si>
    <t>Engineer 3.62, HillBandit 3.70</t>
  </si>
  <si>
    <t>ClayHutBuilder 2.61, WoodDeliveryman 2.67, Groom 1.15</t>
  </si>
  <si>
    <t>jf. Novelist</t>
  </si>
  <si>
    <t>SundayWorker 2.45, Layabout 2.18</t>
  </si>
  <si>
    <t>Renovator 1.82</t>
  </si>
  <si>
    <t>Stroller 1.43</t>
  </si>
  <si>
    <t>Plowman 2.24, VillageFool 2.04</t>
  </si>
  <si>
    <t>som Spragger, Conjurer 0.93</t>
  </si>
  <si>
    <t>Dovecote 3.15</t>
  </si>
  <si>
    <t>CherryOrchard 2.05</t>
  </si>
  <si>
    <t>gml 2.4, Beanfield 3.52</t>
  </si>
  <si>
    <t>BreadPaddle 0.56</t>
  </si>
  <si>
    <t>AppleTree 1.34, Child’sToy 2.55, Rake 2.88</t>
  </si>
  <si>
    <t>Sundial 1.87, Seal 2.48, Spade 1.33, OakCask 2.05, LargeSunhat 2.45</t>
  </si>
  <si>
    <t>SnackTime 2.27</t>
  </si>
  <si>
    <t>OakCask 2.06, Flagon 2.48</t>
  </si>
  <si>
    <t>ThePortLeHavre 1.65, DuckPond 4.52, SnackTime 2.37</t>
  </si>
  <si>
    <t>FlamingoLake 2.12</t>
  </si>
  <si>
    <t>Hammock 2.21, Grotto 2.09</t>
  </si>
  <si>
    <t>Tea 0.85</t>
  </si>
  <si>
    <t>ParkCemetery 2.97</t>
  </si>
  <si>
    <t>pga. "Exactly"</t>
  </si>
  <si>
    <t>DiamondMine 3.80, ReedPond 4.69</t>
  </si>
  <si>
    <t>Chimney 1.32, Salary 1.93, SimplePlow 2.45, Shears 1.92</t>
  </si>
  <si>
    <t>Woodwork 0.53, Shepherd’sKitchen 1.73</t>
  </si>
  <si>
    <t>cf. ConsolationPrize</t>
  </si>
  <si>
    <t>Camembert 3.36</t>
  </si>
  <si>
    <t>Greenhouse 2.32, SackCart 2.13</t>
  </si>
  <si>
    <t>SackCart 2.13, GrainCart 2.58, BarberShop 2.52</t>
  </si>
  <si>
    <t>Camembert 3.36, Shipyard 3.03</t>
  </si>
  <si>
    <t>ChildsToy 2.55, Bonfire 1.38, WinterDeadwood 2.50</t>
  </si>
  <si>
    <t>(ingen kommentar)</t>
  </si>
  <si>
    <t>AmusementPark 3.00, Shepherd’sKitchen 1.73</t>
  </si>
  <si>
    <t>CrookedPlow 2.34, TurnwrestPlow 3.14, GroundPickaxePlow 3.42</t>
  </si>
  <si>
    <t>Chocolate 2.29, som PineCones</t>
  </si>
  <si>
    <t>ParForceHunting 1.11</t>
  </si>
  <si>
    <r>
      <t>OrganisedHandyman 2.36, WoodDistributor 2.67, Spra</t>
    </r>
    <r>
      <rPr>
        <sz val="11"/>
        <rFont val="Calibri"/>
        <family val="2"/>
      </rPr>
      <t>gger 1.50</t>
    </r>
  </si>
  <si>
    <t>Deck2</t>
  </si>
  <si>
    <t>Antall kort</t>
  </si>
  <si>
    <t>EIK</t>
  </si>
  <si>
    <t>WmFR</t>
  </si>
  <si>
    <t>MD1,2</t>
  </si>
  <si>
    <t>0.0-0.4</t>
  </si>
  <si>
    <t>0.5-0.9</t>
  </si>
  <si>
    <t>1.0-1.4</t>
  </si>
  <si>
    <t>1.5-1.9</t>
  </si>
  <si>
    <t>2.0-2.4</t>
  </si>
  <si>
    <t>2.5-2.9</t>
  </si>
  <si>
    <t>3.0-3.4</t>
  </si>
  <si>
    <t>3.5-3.9</t>
  </si>
  <si>
    <t>4.0+</t>
  </si>
  <si>
    <t>Prosent</t>
  </si>
  <si>
    <t>HideFarmer 1.55; Margrave 1.48, Graduate 2.11</t>
  </si>
  <si>
    <t>WildFruit 3.96  FruitTree  4.07, Potatoes 3.51, Shipyard 2.9</t>
  </si>
  <si>
    <t>Shepherd'sCrook 2.10, Flagon 2.50, MangroveTree 1.70</t>
  </si>
  <si>
    <t>Dovecote 3.15, SwimmingStudio 1.5; StoneHReconstruction 2.60</t>
  </si>
  <si>
    <t>Postbox 1.2</t>
  </si>
  <si>
    <t>OvergrownPond 3.6, Bonfire 1.4, KitchenCabinet 1.75, Upholstery 2.62, Bonanza 1.94</t>
  </si>
  <si>
    <t>SnackTime 2.9, Spices 0.9, BarkBreads 1.2</t>
  </si>
  <si>
    <t>ParkCemetery 3.2, Salary 1.9, BeeStatue 1.50</t>
  </si>
  <si>
    <t>HillBandit 3.8, WritingManic 3.5, ChildPsychol 4.4</t>
  </si>
  <si>
    <t>Art 2.4, SalmonFishing 1.6</t>
  </si>
  <si>
    <t>Honeymoon 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</si>
</sst>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Aptos Narrow"/>
      <family val="2"/>
      <scheme val="minor"/>
    </font>
    <font>
      <b/>
      <sz val="11"/>
      <color theme="1"/>
      <name val="Aptos Narrow"/>
      <family val="2"/>
      <scheme val="minor"/>
    </font>
    <font>
      <sz val="11"/>
      <name val="Calibri"/>
      <family val="2"/>
    </font>
    <font>
      <b/>
      <sz val="11"/>
      <name val="Calibri"/>
      <family val="2"/>
    </font>
    <font>
      <u/>
      <sz val="11"/>
      <color theme="10"/>
      <name val="Aptos Narrow"/>
      <family val="2"/>
      <scheme val="minor"/>
    </font>
    <font>
      <sz val="11"/>
      <color rgb="FFFF0000"/>
      <name val="Aptos Narrow"/>
      <family val="2"/>
      <scheme val="minor"/>
    </font>
    <font>
      <sz val="11"/>
      <color theme="1"/>
      <name val="Calibri"/>
      <family val="2"/>
    </font>
    <font>
      <sz val="11"/>
      <name val="Aptos Narrow"/>
      <family val="2"/>
      <scheme val="minor"/>
    </font>
  </fonts>
  <fills count="6">
    <fill>
      <patternFill patternType="none"/>
    </fill>
    <fill>
      <patternFill patternType="gray125"/>
    </fill>
    <fill>
      <patternFill patternType="solid">
        <fgColor theme="5" tint="0.59999389629810485"/>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rgb="FFFF000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4" fillId="0" borderId="0" applyNumberFormat="0" applyFill="0" applyBorder="0" applyAlignment="0" applyProtection="0"/>
  </cellStyleXfs>
  <cellXfs count="52">
    <xf numFmtId="0" fontId="0" fillId="0" borderId="0" xfId="0"/>
    <xf numFmtId="0" fontId="2" fillId="0" borderId="0" xfId="1"/>
    <xf numFmtId="3" fontId="2" fillId="0" borderId="0" xfId="1" applyNumberFormat="1"/>
    <xf numFmtId="1" fontId="2" fillId="0" borderId="0" xfId="1" applyNumberFormat="1"/>
    <xf numFmtId="0" fontId="1" fillId="3" borderId="0" xfId="0" applyFont="1" applyFill="1"/>
    <xf numFmtId="0" fontId="3" fillId="3" borderId="0" xfId="0" applyFont="1" applyFill="1" applyAlignment="1">
      <alignment horizontal="right"/>
    </xf>
    <xf numFmtId="0" fontId="3" fillId="3" borderId="0" xfId="0" applyFont="1" applyFill="1" applyAlignment="1">
      <alignment horizontal="center"/>
    </xf>
    <xf numFmtId="0" fontId="0" fillId="2" borderId="0" xfId="0" applyFill="1" applyAlignment="1">
      <alignment horizontal="center"/>
    </xf>
    <xf numFmtId="164" fontId="0" fillId="2" borderId="0" xfId="0" applyNumberFormat="1" applyFill="1" applyAlignment="1">
      <alignment horizontal="center"/>
    </xf>
    <xf numFmtId="0" fontId="0" fillId="4" borderId="0" xfId="0" applyFill="1"/>
    <xf numFmtId="11" fontId="0" fillId="4" borderId="0" xfId="0" applyNumberFormat="1" applyFill="1"/>
    <xf numFmtId="0" fontId="4" fillId="4" borderId="0" xfId="2" applyFill="1"/>
    <xf numFmtId="0" fontId="0" fillId="4" borderId="0" xfId="0" applyFill="1" applyAlignment="1">
      <alignment wrapText="1"/>
    </xf>
    <xf numFmtId="0" fontId="1" fillId="3" borderId="0" xfId="0" applyFont="1" applyFill="1" applyAlignment="1">
      <alignment horizontal="center" vertical="center"/>
    </xf>
    <xf numFmtId="0" fontId="0" fillId="0" borderId="0" xfId="0" applyAlignment="1">
      <alignment horizontal="center" vertical="center"/>
    </xf>
    <xf numFmtId="0" fontId="1" fillId="3" borderId="0" xfId="0" applyFont="1" applyFill="1" applyAlignment="1">
      <alignment horizontal="left"/>
    </xf>
    <xf numFmtId="164" fontId="1" fillId="3" borderId="0" xfId="0" applyNumberFormat="1" applyFont="1" applyFill="1" applyAlignment="1">
      <alignment horizontal="center" vertical="center"/>
    </xf>
    <xf numFmtId="164" fontId="0" fillId="0" borderId="0" xfId="0" applyNumberFormat="1" applyAlignment="1">
      <alignment horizontal="center" vertical="center"/>
    </xf>
    <xf numFmtId="164" fontId="0" fillId="5" borderId="0" xfId="0" applyNumberFormat="1" applyFill="1" applyAlignment="1">
      <alignment horizontal="center"/>
    </xf>
    <xf numFmtId="164" fontId="5" fillId="0" borderId="0" xfId="0" applyNumberFormat="1" applyFont="1" applyAlignment="1">
      <alignment horizontal="center" vertical="center"/>
    </xf>
    <xf numFmtId="0" fontId="0" fillId="0" borderId="0" xfId="0" applyAlignment="1">
      <alignment horizontal="left"/>
    </xf>
    <xf numFmtId="0" fontId="6" fillId="0" borderId="0" xfId="0" applyFont="1" applyAlignment="1">
      <alignment horizontal="left"/>
    </xf>
    <xf numFmtId="0" fontId="0" fillId="0" borderId="0" xfId="0" quotePrefix="1" applyAlignment="1">
      <alignment horizontal="left"/>
    </xf>
    <xf numFmtId="0" fontId="6" fillId="0" borderId="0" xfId="0" applyFont="1"/>
    <xf numFmtId="0" fontId="6" fillId="0" borderId="0" xfId="0" applyFont="1" applyAlignment="1">
      <alignment horizontal="left" vertical="center"/>
    </xf>
    <xf numFmtId="0" fontId="6" fillId="0" borderId="0" xfId="0" applyFont="1" applyAlignment="1">
      <alignment horizontal="left" vertical="center" indent="6"/>
    </xf>
    <xf numFmtId="2" fontId="5" fillId="0" borderId="0" xfId="0" applyNumberFormat="1" applyFont="1" applyAlignment="1">
      <alignment horizontal="center" vertical="center"/>
    </xf>
    <xf numFmtId="164" fontId="7" fillId="5" borderId="0" xfId="0" applyNumberFormat="1" applyFont="1" applyFill="1" applyAlignment="1">
      <alignment horizontal="center" vertical="center"/>
    </xf>
    <xf numFmtId="164" fontId="0" fillId="5" borderId="0" xfId="0" applyNumberFormat="1" applyFill="1" applyAlignment="1">
      <alignment horizontal="center" vertical="center"/>
    </xf>
    <xf numFmtId="0" fontId="0" fillId="0" borderId="0" xfId="0" applyAlignment="1">
      <alignment horizontal="center"/>
    </xf>
    <xf numFmtId="0" fontId="1" fillId="0" borderId="0" xfId="0" applyFont="1" applyAlignment="1">
      <alignment horizontal="center" vertical="center"/>
    </xf>
    <xf numFmtId="0" fontId="0" fillId="2" borderId="1" xfId="0" applyFill="1"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0" xfId="0" applyFill="1" applyAlignment="1">
      <alignment horizontal="center"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2" borderId="8" xfId="0" applyFill="1" applyBorder="1" applyAlignment="1">
      <alignment horizontal="center" vertical="center"/>
    </xf>
    <xf numFmtId="1" fontId="0" fillId="2" borderId="1" xfId="0" applyNumberFormat="1" applyFill="1" applyBorder="1" applyAlignment="1">
      <alignment horizontal="center" vertical="center"/>
    </xf>
    <xf numFmtId="1" fontId="0" fillId="2" borderId="2" xfId="0" applyNumberFormat="1" applyFill="1" applyBorder="1" applyAlignment="1">
      <alignment horizontal="center" vertical="center"/>
    </xf>
    <xf numFmtId="1" fontId="0" fillId="2" borderId="3" xfId="0" applyNumberFormat="1" applyFill="1" applyBorder="1" applyAlignment="1">
      <alignment horizontal="center" vertical="center"/>
    </xf>
    <xf numFmtId="1" fontId="0" fillId="2" borderId="4" xfId="0" applyNumberFormat="1" applyFill="1" applyBorder="1" applyAlignment="1">
      <alignment horizontal="center" vertical="center"/>
    </xf>
    <xf numFmtId="1" fontId="0" fillId="2" borderId="0" xfId="0" applyNumberFormat="1" applyFill="1" applyAlignment="1">
      <alignment horizontal="center" vertical="center"/>
    </xf>
    <xf numFmtId="1" fontId="0" fillId="2" borderId="5" xfId="0" applyNumberFormat="1" applyFill="1" applyBorder="1" applyAlignment="1">
      <alignment horizontal="center" vertical="center"/>
    </xf>
    <xf numFmtId="1" fontId="0" fillId="2" borderId="6" xfId="0" applyNumberFormat="1" applyFill="1" applyBorder="1" applyAlignment="1">
      <alignment horizontal="center" vertical="center"/>
    </xf>
    <xf numFmtId="1" fontId="0" fillId="2" borderId="7" xfId="0" applyNumberFormat="1" applyFill="1" applyBorder="1" applyAlignment="1">
      <alignment horizontal="center" vertical="center"/>
    </xf>
    <xf numFmtId="1" fontId="0" fillId="2" borderId="8" xfId="0" applyNumberFormat="1" applyFill="1" applyBorder="1" applyAlignment="1">
      <alignment horizontal="center" vertical="center"/>
    </xf>
    <xf numFmtId="2" fontId="0" fillId="5" borderId="0" xfId="0" applyNumberFormat="1" applyFill="1" applyAlignment="1">
      <alignment horizontal="center" vertical="center"/>
    </xf>
    <xf numFmtId="2" fontId="7" fillId="5" borderId="0" xfId="0" applyNumberFormat="1" applyFont="1" applyFill="1" applyAlignment="1">
      <alignment horizontal="center"/>
    </xf>
    <xf numFmtId="2" fontId="7" fillId="5" borderId="0" xfId="0" applyNumberFormat="1" applyFont="1" applyFill="1" applyAlignment="1">
      <alignment horizontal="center" vertical="center"/>
    </xf>
  </cellXfs>
  <cellStyles count="3">
    <cellStyle name="Hyperlink" xfId="2" builtinId="8"/>
    <cellStyle name="Normal" xfId="0" builtinId="0"/>
    <cellStyle name="Normal 2" xfId="1" xr:uid="{1CCFEBC8-FFCA-4BC2-944B-CF51DF850E4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hauk88.github.io/PlayAgricolaStatistics/img/globus_m1_oldcrafter.png" TargetMode="External"/><Relationship Id="rId2" Type="http://schemas.openxmlformats.org/officeDocument/2006/relationships/hyperlink" Target="https://hauk88.github.io/PlayAgricolaStatistics/img/globus_m1_rooftopper.png" TargetMode="External"/><Relationship Id="rId1" Type="http://schemas.openxmlformats.org/officeDocument/2006/relationships/hyperlink" Target="http://play-agricola.com/Agricola/Cards/Cards/occx1TavernKeeper_174_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4783F-8AD1-4803-9B78-ABD9C894981E}">
  <dimension ref="A1:AK1015"/>
  <sheetViews>
    <sheetView tabSelected="1" topLeftCell="O1" workbookViewId="0">
      <selection activeCell="W20" sqref="W20"/>
    </sheetView>
  </sheetViews>
  <sheetFormatPr defaultRowHeight="14.4" x14ac:dyDescent="0.3"/>
  <cols>
    <col min="1" max="2" width="8.88671875" style="14"/>
    <col min="3" max="3" width="18.77734375" customWidth="1"/>
    <col min="4" max="4" width="8.88671875" customWidth="1"/>
    <col min="5" max="5" width="29.44140625" customWidth="1"/>
    <col min="6" max="6" width="36.21875" customWidth="1"/>
    <col min="7" max="7" width="6.21875" customWidth="1"/>
    <col min="8" max="8" width="28.44140625" customWidth="1"/>
    <col min="9" max="9" width="12.21875" customWidth="1"/>
    <col min="10" max="10" width="6" customWidth="1"/>
    <col min="11" max="11" width="8.77734375" customWidth="1"/>
    <col min="12" max="12" width="14.5546875" customWidth="1"/>
    <col min="13" max="13" width="9.109375" customWidth="1"/>
    <col min="14" max="14" width="85.21875" customWidth="1"/>
    <col min="15" max="15" width="73.88671875" customWidth="1"/>
    <col min="16" max="16" width="7.44140625" style="7" customWidth="1"/>
    <col min="17" max="17" width="7.77734375" style="7" customWidth="1"/>
    <col min="18" max="18" width="6.77734375" style="7" customWidth="1"/>
    <col min="19" max="19" width="5.77734375" style="7" customWidth="1"/>
    <col min="20" max="20" width="6.33203125" style="7" customWidth="1"/>
    <col min="21" max="21" width="6.88671875" style="7" customWidth="1"/>
    <col min="22" max="22" width="8.88671875" style="17"/>
    <col min="23" max="23" width="48.44140625" style="20" customWidth="1"/>
  </cols>
  <sheetData>
    <row r="1" spans="1:37" s="4" customFormat="1" x14ac:dyDescent="0.3">
      <c r="A1" s="13" t="s">
        <v>4140</v>
      </c>
      <c r="B1" s="13" t="s">
        <v>4192</v>
      </c>
      <c r="C1" s="4" t="s">
        <v>3151</v>
      </c>
      <c r="D1" s="4" t="s">
        <v>3152</v>
      </c>
      <c r="E1" s="4" t="s">
        <v>3153</v>
      </c>
      <c r="F1" s="4" t="s">
        <v>3154</v>
      </c>
      <c r="G1" s="4" t="s">
        <v>3155</v>
      </c>
      <c r="H1" s="4" t="s">
        <v>3156</v>
      </c>
      <c r="I1" s="4" t="s">
        <v>3157</v>
      </c>
      <c r="J1" s="4" t="s">
        <v>3158</v>
      </c>
      <c r="K1" s="4" t="s">
        <v>3159</v>
      </c>
      <c r="L1" s="4" t="s">
        <v>3161</v>
      </c>
      <c r="M1" s="4" t="s">
        <v>3162</v>
      </c>
      <c r="N1" s="4" t="s">
        <v>3160</v>
      </c>
      <c r="O1" s="4" t="s">
        <v>4138</v>
      </c>
      <c r="P1" s="6" t="s">
        <v>3171</v>
      </c>
      <c r="Q1" s="6" t="s">
        <v>3172</v>
      </c>
      <c r="R1" s="6" t="s">
        <v>3173</v>
      </c>
      <c r="S1" s="6" t="s">
        <v>3174</v>
      </c>
      <c r="T1" s="6" t="s">
        <v>3175</v>
      </c>
      <c r="U1" s="6" t="s">
        <v>3176</v>
      </c>
      <c r="V1" s="16" t="s">
        <v>4139</v>
      </c>
      <c r="W1" s="15" t="s">
        <v>4141</v>
      </c>
      <c r="AD1" s="5"/>
      <c r="AE1" s="5"/>
      <c r="AF1" s="5"/>
      <c r="AG1" s="5"/>
      <c r="AH1" s="5"/>
      <c r="AI1" s="5"/>
      <c r="AJ1" s="5"/>
      <c r="AK1" s="5"/>
    </row>
    <row r="2" spans="1:37" x14ac:dyDescent="0.3">
      <c r="A2" s="14">
        <v>909</v>
      </c>
      <c r="B2" s="14">
        <v>4</v>
      </c>
      <c r="C2" s="9" t="s">
        <v>1659</v>
      </c>
      <c r="D2" s="9" t="s">
        <v>1394</v>
      </c>
      <c r="E2" s="9" t="s">
        <v>2967</v>
      </c>
      <c r="F2" s="9" t="s">
        <v>2968</v>
      </c>
      <c r="G2" s="9">
        <v>1</v>
      </c>
      <c r="H2" s="9"/>
      <c r="I2" s="9"/>
      <c r="J2" s="9"/>
      <c r="K2" s="9" t="b">
        <v>0</v>
      </c>
      <c r="L2" s="9"/>
      <c r="M2" s="9" t="b">
        <v>1</v>
      </c>
      <c r="N2" s="9" t="s">
        <v>2969</v>
      </c>
      <c r="O2" s="9" t="s">
        <v>4081</v>
      </c>
      <c r="P2" s="7" t="e">
        <v>#N/A</v>
      </c>
      <c r="Q2" s="7" t="e">
        <v>#N/A</v>
      </c>
      <c r="R2" s="7" t="e">
        <v>#N/A</v>
      </c>
      <c r="S2" s="7" t="e">
        <v>#N/A</v>
      </c>
      <c r="T2" s="8" t="e">
        <v>#N/A</v>
      </c>
      <c r="U2" s="18" t="e">
        <v>#N/A</v>
      </c>
      <c r="V2" s="27">
        <v>1.5</v>
      </c>
      <c r="W2" s="20" t="s">
        <v>4207</v>
      </c>
      <c r="AD2" s="1"/>
      <c r="AE2" s="3"/>
      <c r="AF2" s="2"/>
      <c r="AG2" s="2"/>
      <c r="AH2" s="2"/>
      <c r="AI2" s="3"/>
      <c r="AJ2" s="1"/>
      <c r="AK2" s="1"/>
    </row>
    <row r="3" spans="1:37" x14ac:dyDescent="0.3">
      <c r="A3" s="14">
        <v>404</v>
      </c>
      <c r="B3" s="14">
        <v>4</v>
      </c>
      <c r="C3" s="9" t="s">
        <v>0</v>
      </c>
      <c r="D3" s="9" t="s">
        <v>1394</v>
      </c>
      <c r="E3" s="9" t="s">
        <v>1408</v>
      </c>
      <c r="F3" s="9" t="s">
        <v>1409</v>
      </c>
      <c r="G3" s="9">
        <v>1</v>
      </c>
      <c r="H3" s="9" t="s">
        <v>26</v>
      </c>
      <c r="I3" s="9"/>
      <c r="J3" s="9"/>
      <c r="K3" s="9" t="b">
        <v>0</v>
      </c>
      <c r="L3" s="9"/>
      <c r="M3" s="9" t="b">
        <v>0</v>
      </c>
      <c r="N3" s="9" t="s">
        <v>1410</v>
      </c>
      <c r="O3" s="9" t="s">
        <v>3580</v>
      </c>
      <c r="P3" s="7" t="e">
        <v>#N/A</v>
      </c>
      <c r="Q3" s="7" t="e">
        <v>#N/A</v>
      </c>
      <c r="R3" s="7" t="e">
        <v>#N/A</v>
      </c>
      <c r="S3" s="7" t="e">
        <v>#N/A</v>
      </c>
      <c r="T3" s="8" t="e">
        <v>#N/A</v>
      </c>
      <c r="U3" s="18" t="e">
        <v>#N/A</v>
      </c>
      <c r="V3" s="27">
        <v>2</v>
      </c>
      <c r="W3" s="20" t="s">
        <v>4214</v>
      </c>
      <c r="AD3" s="1"/>
      <c r="AE3" s="3"/>
      <c r="AF3" s="2"/>
      <c r="AG3" s="2"/>
      <c r="AH3" s="2"/>
      <c r="AI3" s="3"/>
      <c r="AJ3" s="1"/>
      <c r="AK3" s="1"/>
    </row>
    <row r="4" spans="1:37" x14ac:dyDescent="0.3">
      <c r="A4" s="14">
        <v>406</v>
      </c>
      <c r="B4" s="14">
        <v>4</v>
      </c>
      <c r="C4" s="9" t="s">
        <v>0</v>
      </c>
      <c r="D4" s="9" t="s">
        <v>1394</v>
      </c>
      <c r="E4" s="9" t="s">
        <v>1414</v>
      </c>
      <c r="F4" s="9" t="s">
        <v>1415</v>
      </c>
      <c r="G4" s="9">
        <v>1</v>
      </c>
      <c r="H4" s="9" t="s">
        <v>1416</v>
      </c>
      <c r="I4" s="9"/>
      <c r="J4" s="9"/>
      <c r="K4" s="9" t="b">
        <v>0</v>
      </c>
      <c r="L4" s="9"/>
      <c r="M4" s="9" t="b">
        <v>1</v>
      </c>
      <c r="N4" s="9" t="s">
        <v>1417</v>
      </c>
      <c r="O4" s="9" t="s">
        <v>3582</v>
      </c>
      <c r="P4" s="7" t="e">
        <v>#N/A</v>
      </c>
      <c r="Q4" s="7" t="e">
        <v>#N/A</v>
      </c>
      <c r="R4" s="7" t="e">
        <v>#N/A</v>
      </c>
      <c r="S4" s="7" t="e">
        <v>#N/A</v>
      </c>
      <c r="T4" s="8" t="e">
        <v>#N/A</v>
      </c>
      <c r="U4" s="18" t="e">
        <v>#N/A</v>
      </c>
      <c r="V4" s="51">
        <v>1.75</v>
      </c>
      <c r="W4" s="20" t="s">
        <v>4217</v>
      </c>
      <c r="AD4" s="1"/>
      <c r="AE4" s="3"/>
      <c r="AF4" s="3"/>
      <c r="AG4" s="3"/>
      <c r="AH4" s="3"/>
      <c r="AI4" s="3"/>
      <c r="AJ4" s="1"/>
      <c r="AK4" s="1"/>
    </row>
    <row r="5" spans="1:37" x14ac:dyDescent="0.3">
      <c r="A5" s="14">
        <v>408</v>
      </c>
      <c r="B5" s="14">
        <v>4</v>
      </c>
      <c r="C5" s="9" t="s">
        <v>0</v>
      </c>
      <c r="D5" s="9" t="s">
        <v>1394</v>
      </c>
      <c r="E5" s="9" t="s">
        <v>1421</v>
      </c>
      <c r="F5" s="9" t="s">
        <v>1422</v>
      </c>
      <c r="G5" s="9">
        <v>1</v>
      </c>
      <c r="H5" s="9"/>
      <c r="I5" s="9" t="s">
        <v>67</v>
      </c>
      <c r="J5" s="9">
        <v>2</v>
      </c>
      <c r="K5" s="9" t="b">
        <v>0</v>
      </c>
      <c r="L5" s="9"/>
      <c r="M5" s="9" t="b">
        <v>0</v>
      </c>
      <c r="N5" s="9" t="s">
        <v>1423</v>
      </c>
      <c r="O5" s="9" t="s">
        <v>3584</v>
      </c>
      <c r="P5" s="7">
        <v>64</v>
      </c>
      <c r="Q5" s="7">
        <v>52</v>
      </c>
      <c r="R5" s="7">
        <v>37</v>
      </c>
      <c r="S5" s="7">
        <v>15</v>
      </c>
      <c r="T5" s="8">
        <v>4.4000000000000004</v>
      </c>
      <c r="U5" s="18">
        <v>3.3</v>
      </c>
      <c r="V5" s="27">
        <v>2.5</v>
      </c>
      <c r="W5" s="20" t="s">
        <v>4210</v>
      </c>
      <c r="AD5" s="1"/>
      <c r="AE5" s="3"/>
      <c r="AF5" s="2"/>
      <c r="AG5" s="3"/>
      <c r="AH5" s="3"/>
      <c r="AI5" s="3"/>
      <c r="AJ5" s="1"/>
      <c r="AK5" s="1"/>
    </row>
    <row r="6" spans="1:37" x14ac:dyDescent="0.3">
      <c r="A6" s="14">
        <v>411</v>
      </c>
      <c r="B6" s="14">
        <v>4</v>
      </c>
      <c r="C6" s="9" t="s">
        <v>0</v>
      </c>
      <c r="D6" s="9" t="s">
        <v>1394</v>
      </c>
      <c r="E6" s="9" t="s">
        <v>1430</v>
      </c>
      <c r="F6" s="9" t="s">
        <v>1431</v>
      </c>
      <c r="G6" s="9">
        <v>1</v>
      </c>
      <c r="H6" s="9"/>
      <c r="I6" s="9" t="s">
        <v>22</v>
      </c>
      <c r="J6" s="9"/>
      <c r="K6" s="9" t="b">
        <v>0</v>
      </c>
      <c r="L6" s="9"/>
      <c r="M6" s="9" t="b">
        <v>0</v>
      </c>
      <c r="N6" s="9" t="s">
        <v>1432</v>
      </c>
      <c r="O6" s="9" t="s">
        <v>3587</v>
      </c>
      <c r="P6" s="7" t="e">
        <v>#N/A</v>
      </c>
      <c r="Q6" s="7" t="e">
        <v>#N/A</v>
      </c>
      <c r="R6" s="7" t="e">
        <v>#N/A</v>
      </c>
      <c r="S6" s="7" t="e">
        <v>#N/A</v>
      </c>
      <c r="T6" s="8" t="e">
        <v>#N/A</v>
      </c>
      <c r="U6" s="18" t="e">
        <v>#N/A</v>
      </c>
      <c r="V6" s="50">
        <v>1.25</v>
      </c>
      <c r="W6" s="20" t="s">
        <v>4211</v>
      </c>
      <c r="AD6" s="1"/>
      <c r="AE6" s="3"/>
      <c r="AF6" s="3"/>
      <c r="AG6" s="3"/>
      <c r="AH6" s="3"/>
      <c r="AI6" s="3"/>
      <c r="AJ6" s="1"/>
      <c r="AK6" s="1"/>
    </row>
    <row r="7" spans="1:37" x14ac:dyDescent="0.3">
      <c r="A7" s="14">
        <v>413</v>
      </c>
      <c r="B7" s="14">
        <v>4</v>
      </c>
      <c r="C7" s="9" t="s">
        <v>0</v>
      </c>
      <c r="D7" s="9" t="s">
        <v>1394</v>
      </c>
      <c r="E7" s="9" t="s">
        <v>1436</v>
      </c>
      <c r="F7" s="9" t="s">
        <v>1437</v>
      </c>
      <c r="G7" s="9">
        <v>1</v>
      </c>
      <c r="H7" s="9" t="s">
        <v>351</v>
      </c>
      <c r="I7" s="9"/>
      <c r="J7" s="9"/>
      <c r="K7" s="9" t="b">
        <v>0</v>
      </c>
      <c r="L7" s="9"/>
      <c r="M7" s="9" t="b">
        <v>1</v>
      </c>
      <c r="N7" s="9" t="s">
        <v>1438</v>
      </c>
      <c r="O7" s="9" t="s">
        <v>3588</v>
      </c>
      <c r="P7" s="7" t="e">
        <v>#N/A</v>
      </c>
      <c r="Q7" s="7" t="e">
        <v>#N/A</v>
      </c>
      <c r="R7" s="7" t="e">
        <v>#N/A</v>
      </c>
      <c r="S7" s="7" t="e">
        <v>#N/A</v>
      </c>
      <c r="T7" s="8" t="e">
        <v>#N/A</v>
      </c>
      <c r="U7" s="18" t="e">
        <v>#N/A</v>
      </c>
      <c r="V7" s="50">
        <v>1.25</v>
      </c>
      <c r="W7" s="20" t="s">
        <v>4216</v>
      </c>
      <c r="AD7" s="1"/>
      <c r="AE7" s="3"/>
      <c r="AF7" s="2"/>
      <c r="AG7" s="3"/>
      <c r="AH7" s="3"/>
      <c r="AI7" s="3"/>
      <c r="AJ7" s="1"/>
      <c r="AK7" s="1"/>
    </row>
    <row r="8" spans="1:37" x14ac:dyDescent="0.3">
      <c r="A8" s="14">
        <v>414</v>
      </c>
      <c r="B8" s="14">
        <v>4</v>
      </c>
      <c r="C8" s="9" t="s">
        <v>0</v>
      </c>
      <c r="D8" s="9" t="s">
        <v>1394</v>
      </c>
      <c r="E8" s="9" t="s">
        <v>1439</v>
      </c>
      <c r="F8" s="9" t="s">
        <v>1440</v>
      </c>
      <c r="G8" s="9">
        <v>1</v>
      </c>
      <c r="H8" s="9" t="s">
        <v>84</v>
      </c>
      <c r="I8" s="9"/>
      <c r="J8" s="9">
        <v>1</v>
      </c>
      <c r="K8" s="9" t="b">
        <v>0</v>
      </c>
      <c r="L8" s="9" t="s">
        <v>437</v>
      </c>
      <c r="M8" s="9" t="b">
        <v>0</v>
      </c>
      <c r="N8" s="9" t="s">
        <v>1441</v>
      </c>
      <c r="O8" s="9" t="s">
        <v>3589</v>
      </c>
      <c r="P8" s="7">
        <v>21</v>
      </c>
      <c r="Q8" s="7">
        <v>20</v>
      </c>
      <c r="R8" s="7">
        <v>19</v>
      </c>
      <c r="S8" s="7">
        <v>4</v>
      </c>
      <c r="T8" s="8">
        <v>3</v>
      </c>
      <c r="U8" s="18">
        <v>2.7</v>
      </c>
      <c r="V8" s="27">
        <v>3.5</v>
      </c>
      <c r="W8" s="20" t="s">
        <v>4208</v>
      </c>
      <c r="AD8" s="1"/>
      <c r="AE8" s="3"/>
      <c r="AF8" s="3"/>
      <c r="AG8" s="3"/>
      <c r="AH8" s="3"/>
      <c r="AI8" s="3"/>
      <c r="AJ8" s="1"/>
      <c r="AK8" s="1"/>
    </row>
    <row r="9" spans="1:37" x14ac:dyDescent="0.3">
      <c r="A9" s="14">
        <v>894</v>
      </c>
      <c r="B9" s="14">
        <v>4</v>
      </c>
      <c r="C9" s="9" t="s">
        <v>1659</v>
      </c>
      <c r="D9" s="9" t="s">
        <v>1394</v>
      </c>
      <c r="E9" s="9" t="s">
        <v>2929</v>
      </c>
      <c r="F9" s="9" t="s">
        <v>2930</v>
      </c>
      <c r="G9" s="9">
        <v>3</v>
      </c>
      <c r="H9" s="9"/>
      <c r="I9" s="9"/>
      <c r="J9" s="9"/>
      <c r="K9" s="9" t="b">
        <v>0</v>
      </c>
      <c r="L9" s="9"/>
      <c r="M9" s="9" t="b">
        <v>0</v>
      </c>
      <c r="N9" s="9" t="s">
        <v>2931</v>
      </c>
      <c r="O9" s="9" t="s">
        <v>4068</v>
      </c>
      <c r="P9" s="7" t="e">
        <v>#N/A</v>
      </c>
      <c r="Q9" s="7" t="e">
        <v>#N/A</v>
      </c>
      <c r="R9" s="7" t="e">
        <v>#N/A</v>
      </c>
      <c r="S9" s="7" t="e">
        <v>#N/A</v>
      </c>
      <c r="T9" s="8" t="e">
        <v>#N/A</v>
      </c>
      <c r="U9" s="18" t="e">
        <v>#N/A</v>
      </c>
      <c r="V9" s="27">
        <v>2.5</v>
      </c>
      <c r="W9" s="22" t="s">
        <v>4143</v>
      </c>
      <c r="AD9" s="1"/>
      <c r="AE9" s="3"/>
      <c r="AF9" s="2"/>
      <c r="AG9" s="3"/>
      <c r="AH9" s="3"/>
      <c r="AI9" s="3"/>
      <c r="AJ9" s="1"/>
      <c r="AK9" s="1"/>
    </row>
    <row r="10" spans="1:37" x14ac:dyDescent="0.3">
      <c r="A10" s="14">
        <v>898</v>
      </c>
      <c r="B10" s="14">
        <v>4</v>
      </c>
      <c r="C10" s="9" t="s">
        <v>1659</v>
      </c>
      <c r="D10" s="9" t="s">
        <v>1394</v>
      </c>
      <c r="E10" s="9" t="s">
        <v>2941</v>
      </c>
      <c r="F10" s="9" t="s">
        <v>2942</v>
      </c>
      <c r="G10" s="9">
        <v>3</v>
      </c>
      <c r="H10" s="9"/>
      <c r="I10" s="9"/>
      <c r="J10" s="9"/>
      <c r="K10" s="9" t="b">
        <v>0</v>
      </c>
      <c r="L10" s="9" t="s">
        <v>437</v>
      </c>
      <c r="M10" s="9" t="b">
        <v>0</v>
      </c>
      <c r="N10" s="9" t="s">
        <v>2943</v>
      </c>
      <c r="O10" s="9" t="s">
        <v>4072</v>
      </c>
      <c r="P10" s="7">
        <v>3</v>
      </c>
      <c r="Q10" s="7">
        <v>3</v>
      </c>
      <c r="R10" s="7">
        <v>3</v>
      </c>
      <c r="S10" s="7">
        <v>1</v>
      </c>
      <c r="T10" s="8">
        <v>4</v>
      </c>
      <c r="U10" s="18">
        <v>4.8</v>
      </c>
      <c r="V10" s="28">
        <v>4</v>
      </c>
      <c r="W10" s="20" t="s">
        <v>4215</v>
      </c>
      <c r="AD10" s="1"/>
      <c r="AE10" s="3"/>
      <c r="AF10" s="2"/>
      <c r="AG10" s="2"/>
      <c r="AH10" s="2"/>
      <c r="AI10" s="3"/>
      <c r="AJ10" s="1"/>
      <c r="AK10" s="1"/>
    </row>
    <row r="11" spans="1:37" x14ac:dyDescent="0.3">
      <c r="A11" s="14">
        <v>415</v>
      </c>
      <c r="B11" s="14">
        <v>4</v>
      </c>
      <c r="C11" s="9" t="s">
        <v>0</v>
      </c>
      <c r="D11" s="9" t="s">
        <v>1394</v>
      </c>
      <c r="E11" s="9" t="s">
        <v>1442</v>
      </c>
      <c r="F11" s="9" t="s">
        <v>1443</v>
      </c>
      <c r="G11" s="9">
        <v>1</v>
      </c>
      <c r="H11" s="9" t="s">
        <v>84</v>
      </c>
      <c r="I11" s="9"/>
      <c r="J11" s="9"/>
      <c r="K11" s="9" t="b">
        <v>0</v>
      </c>
      <c r="L11" s="9" t="s">
        <v>437</v>
      </c>
      <c r="M11" s="9" t="b">
        <v>0</v>
      </c>
      <c r="N11" s="9" t="s">
        <v>1444</v>
      </c>
      <c r="O11" s="9" t="s">
        <v>3590</v>
      </c>
      <c r="P11" s="7">
        <v>1</v>
      </c>
      <c r="Q11" s="7">
        <v>1</v>
      </c>
      <c r="R11" s="7">
        <v>1</v>
      </c>
      <c r="S11" s="7">
        <v>0</v>
      </c>
      <c r="T11" s="8">
        <v>6</v>
      </c>
      <c r="U11" s="18">
        <v>0</v>
      </c>
      <c r="V11" s="49">
        <v>1.75</v>
      </c>
      <c r="W11" s="20" t="s">
        <v>4212</v>
      </c>
      <c r="AD11" s="1"/>
      <c r="AE11" s="3"/>
      <c r="AF11" s="2"/>
      <c r="AG11" s="2"/>
      <c r="AH11" s="3"/>
      <c r="AI11" s="3"/>
      <c r="AJ11" s="1"/>
      <c r="AK11" s="1"/>
    </row>
    <row r="12" spans="1:37" x14ac:dyDescent="0.3">
      <c r="A12" s="14">
        <v>417</v>
      </c>
      <c r="B12" s="14">
        <v>4</v>
      </c>
      <c r="C12" s="9" t="s">
        <v>0</v>
      </c>
      <c r="D12" s="9" t="s">
        <v>1394</v>
      </c>
      <c r="E12" s="9" t="s">
        <v>1448</v>
      </c>
      <c r="F12" s="9" t="s">
        <v>1449</v>
      </c>
      <c r="G12" s="9">
        <v>1</v>
      </c>
      <c r="H12" s="9"/>
      <c r="I12" s="9" t="s">
        <v>22</v>
      </c>
      <c r="J12" s="9"/>
      <c r="K12" s="9" t="b">
        <v>0</v>
      </c>
      <c r="L12" s="9" t="s">
        <v>437</v>
      </c>
      <c r="M12" s="9" t="b">
        <v>0</v>
      </c>
      <c r="N12" s="9" t="s">
        <v>1450</v>
      </c>
      <c r="O12" s="9" t="s">
        <v>3592</v>
      </c>
      <c r="P12" s="7">
        <v>13</v>
      </c>
      <c r="Q12" s="7">
        <v>8</v>
      </c>
      <c r="R12" s="7">
        <v>6</v>
      </c>
      <c r="S12" s="7">
        <v>0</v>
      </c>
      <c r="T12" s="8">
        <v>5.4</v>
      </c>
      <c r="U12" s="18">
        <v>0</v>
      </c>
      <c r="V12" s="49">
        <v>1.75</v>
      </c>
      <c r="W12" s="20" t="s">
        <v>4209</v>
      </c>
      <c r="AD12" s="1"/>
      <c r="AE12" s="3"/>
      <c r="AF12" s="2"/>
      <c r="AG12" s="2"/>
      <c r="AH12" s="3"/>
      <c r="AI12" s="3"/>
      <c r="AJ12" s="1"/>
      <c r="AK12" s="1"/>
    </row>
    <row r="13" spans="1:37" x14ac:dyDescent="0.3">
      <c r="A13" s="14">
        <v>419</v>
      </c>
      <c r="B13" s="14">
        <v>4</v>
      </c>
      <c r="C13" s="9" t="s">
        <v>0</v>
      </c>
      <c r="D13" s="9" t="s">
        <v>1394</v>
      </c>
      <c r="E13" s="9" t="s">
        <v>1454</v>
      </c>
      <c r="F13" s="9" t="s">
        <v>1455</v>
      </c>
      <c r="G13" s="9">
        <v>1</v>
      </c>
      <c r="H13" s="9"/>
      <c r="I13" s="9"/>
      <c r="J13" s="9"/>
      <c r="K13" s="9" t="b">
        <v>0</v>
      </c>
      <c r="L13" s="9" t="s">
        <v>437</v>
      </c>
      <c r="M13" s="9" t="b">
        <v>0</v>
      </c>
      <c r="N13" s="9" t="s">
        <v>1456</v>
      </c>
      <c r="O13" s="9" t="s">
        <v>3594</v>
      </c>
      <c r="P13" s="7">
        <v>101</v>
      </c>
      <c r="Q13" s="7">
        <v>86</v>
      </c>
      <c r="R13" s="7">
        <v>69</v>
      </c>
      <c r="S13" s="7">
        <v>18</v>
      </c>
      <c r="T13" s="8">
        <v>4.2</v>
      </c>
      <c r="U13" s="18">
        <v>2.5</v>
      </c>
      <c r="V13" s="49">
        <v>1.75</v>
      </c>
      <c r="W13" s="20" t="s">
        <v>4213</v>
      </c>
      <c r="AD13" s="1"/>
      <c r="AE13" s="3"/>
      <c r="AF13" s="3"/>
      <c r="AG13" s="3"/>
      <c r="AH13" s="3"/>
      <c r="AI13" s="3"/>
      <c r="AJ13" s="1"/>
      <c r="AK13" s="1"/>
    </row>
    <row r="14" spans="1:37" x14ac:dyDescent="0.3">
      <c r="A14" s="14">
        <v>667</v>
      </c>
      <c r="B14" s="14">
        <v>3</v>
      </c>
      <c r="C14" s="9" t="s">
        <v>1659</v>
      </c>
      <c r="D14" s="9" t="s">
        <v>411</v>
      </c>
      <c r="E14" s="9" t="s">
        <v>2237</v>
      </c>
      <c r="F14" s="9" t="s">
        <v>2238</v>
      </c>
      <c r="G14" s="9">
        <v>1</v>
      </c>
      <c r="H14" s="9"/>
      <c r="I14" s="9"/>
      <c r="J14" s="9"/>
      <c r="K14" s="9" t="b">
        <v>0</v>
      </c>
      <c r="L14" s="9" t="s">
        <v>526</v>
      </c>
      <c r="M14" s="9" t="b">
        <v>0</v>
      </c>
      <c r="N14" s="9" t="s">
        <v>2239</v>
      </c>
      <c r="O14" s="9" t="s">
        <v>3842</v>
      </c>
      <c r="P14" s="7">
        <v>920</v>
      </c>
      <c r="Q14" s="7">
        <v>907</v>
      </c>
      <c r="R14" s="7">
        <v>809</v>
      </c>
      <c r="S14" s="7">
        <v>307</v>
      </c>
      <c r="T14" s="8">
        <v>2.1</v>
      </c>
      <c r="U14" s="8">
        <v>4.8</v>
      </c>
      <c r="V14" s="17">
        <v>4.8</v>
      </c>
      <c r="AD14" s="1"/>
      <c r="AE14" s="3"/>
      <c r="AF14" s="2"/>
      <c r="AG14" s="3"/>
      <c r="AH14" s="3"/>
      <c r="AI14" s="3"/>
      <c r="AJ14" s="1"/>
      <c r="AK14" s="1"/>
    </row>
    <row r="15" spans="1:37" x14ac:dyDescent="0.3">
      <c r="A15" s="14">
        <v>489</v>
      </c>
      <c r="B15" s="14">
        <v>1</v>
      </c>
      <c r="C15" s="9" t="s">
        <v>1659</v>
      </c>
      <c r="D15" s="9" t="s">
        <v>1</v>
      </c>
      <c r="E15" s="9" t="s">
        <v>1687</v>
      </c>
      <c r="F15" s="9" t="s">
        <v>1688</v>
      </c>
      <c r="G15" s="9">
        <v>3</v>
      </c>
      <c r="H15" s="9"/>
      <c r="I15" s="9"/>
      <c r="J15" s="9"/>
      <c r="K15" s="9" t="b">
        <v>0</v>
      </c>
      <c r="L15" s="9" t="s">
        <v>7</v>
      </c>
      <c r="M15" s="9" t="b">
        <v>0</v>
      </c>
      <c r="N15" s="9" t="s">
        <v>1689</v>
      </c>
      <c r="O15" s="9" t="s">
        <v>3664</v>
      </c>
      <c r="P15" s="7">
        <v>1508</v>
      </c>
      <c r="Q15" s="7">
        <v>1506</v>
      </c>
      <c r="R15" s="7">
        <v>1469</v>
      </c>
      <c r="S15" s="7">
        <v>481</v>
      </c>
      <c r="T15" s="8">
        <v>1.5</v>
      </c>
      <c r="U15" s="8">
        <v>4.5999999999999996</v>
      </c>
      <c r="V15" s="17">
        <v>4.5999999999999996</v>
      </c>
      <c r="AD15" s="1"/>
      <c r="AE15" s="3"/>
      <c r="AF15" s="2"/>
      <c r="AG15" s="2"/>
      <c r="AH15" s="3"/>
      <c r="AI15" s="3"/>
      <c r="AJ15" s="1"/>
      <c r="AK15" s="1"/>
    </row>
    <row r="16" spans="1:37" x14ac:dyDescent="0.3">
      <c r="A16" s="14">
        <v>506</v>
      </c>
      <c r="B16" s="14">
        <v>1</v>
      </c>
      <c r="C16" s="9" t="s">
        <v>1659</v>
      </c>
      <c r="D16" s="9" t="s">
        <v>1</v>
      </c>
      <c r="E16" s="9" t="s">
        <v>1738</v>
      </c>
      <c r="F16" s="9" t="s">
        <v>1739</v>
      </c>
      <c r="G16" s="9">
        <v>1</v>
      </c>
      <c r="H16" s="9"/>
      <c r="I16" s="9"/>
      <c r="J16" s="9"/>
      <c r="K16" s="9" t="b">
        <v>0</v>
      </c>
      <c r="L16" s="9" t="s">
        <v>7</v>
      </c>
      <c r="M16" s="9" t="b">
        <v>0</v>
      </c>
      <c r="N16" s="9" t="s">
        <v>1740</v>
      </c>
      <c r="O16" s="9" t="s">
        <v>3681</v>
      </c>
      <c r="P16" s="7">
        <v>1399</v>
      </c>
      <c r="Q16" s="7">
        <v>1397</v>
      </c>
      <c r="R16" s="7">
        <v>1351</v>
      </c>
      <c r="S16" s="7">
        <v>446</v>
      </c>
      <c r="T16" s="8">
        <v>1.4</v>
      </c>
      <c r="U16" s="8">
        <v>4.5999999999999996</v>
      </c>
      <c r="V16" s="17">
        <v>4.5999999999999996</v>
      </c>
      <c r="AD16" s="1"/>
      <c r="AE16" s="3"/>
      <c r="AF16" s="2"/>
      <c r="AG16" s="2"/>
      <c r="AH16" s="2"/>
      <c r="AI16" s="3"/>
      <c r="AJ16" s="1"/>
      <c r="AK16" s="1"/>
    </row>
    <row r="17" spans="1:37" x14ac:dyDescent="0.3">
      <c r="A17" s="14">
        <v>37</v>
      </c>
      <c r="B17" s="14">
        <v>1</v>
      </c>
      <c r="C17" s="9" t="s">
        <v>0</v>
      </c>
      <c r="D17" s="9" t="s">
        <v>1</v>
      </c>
      <c r="E17" s="9" t="s">
        <v>134</v>
      </c>
      <c r="F17" s="9" t="s">
        <v>135</v>
      </c>
      <c r="G17" s="9">
        <v>1</v>
      </c>
      <c r="H17" s="9" t="s">
        <v>4</v>
      </c>
      <c r="I17" s="9"/>
      <c r="J17" s="9">
        <v>2</v>
      </c>
      <c r="K17" s="9" t="b">
        <v>0</v>
      </c>
      <c r="L17" s="9" t="s">
        <v>7</v>
      </c>
      <c r="M17" s="9" t="b">
        <v>0</v>
      </c>
      <c r="N17" s="9" t="s">
        <v>136</v>
      </c>
      <c r="O17" s="9" t="s">
        <v>3213</v>
      </c>
      <c r="P17" s="7">
        <v>1539</v>
      </c>
      <c r="Q17" s="7">
        <v>1539</v>
      </c>
      <c r="R17" s="7">
        <v>1421</v>
      </c>
      <c r="S17" s="7">
        <v>491</v>
      </c>
      <c r="T17" s="8">
        <v>1.1000000000000001</v>
      </c>
      <c r="U17" s="8">
        <v>4.5999999999999996</v>
      </c>
      <c r="V17" s="17">
        <v>4.5999999999999996</v>
      </c>
      <c r="AD17" s="1"/>
      <c r="AE17" s="3"/>
      <c r="AF17" s="2"/>
      <c r="AG17" s="2"/>
      <c r="AH17" s="3"/>
      <c r="AI17" s="3"/>
      <c r="AJ17" s="1"/>
      <c r="AK17" s="1"/>
    </row>
    <row r="18" spans="1:37" x14ac:dyDescent="0.3">
      <c r="A18" s="14">
        <v>642</v>
      </c>
      <c r="B18" s="14">
        <v>3</v>
      </c>
      <c r="C18" s="9" t="s">
        <v>1659</v>
      </c>
      <c r="D18" s="9" t="s">
        <v>411</v>
      </c>
      <c r="E18" s="9" t="s">
        <v>2158</v>
      </c>
      <c r="F18" s="9" t="s">
        <v>2159</v>
      </c>
      <c r="G18" s="9">
        <v>3</v>
      </c>
      <c r="H18" s="9"/>
      <c r="I18" s="9"/>
      <c r="J18" s="9"/>
      <c r="K18" s="9" t="b">
        <v>0</v>
      </c>
      <c r="L18" s="9" t="s">
        <v>453</v>
      </c>
      <c r="M18" s="9" t="b">
        <v>0</v>
      </c>
      <c r="N18" s="9" t="s">
        <v>2160</v>
      </c>
      <c r="O18" s="9" t="s">
        <v>3817</v>
      </c>
      <c r="P18" s="7">
        <v>1249</v>
      </c>
      <c r="Q18" s="7">
        <v>1182</v>
      </c>
      <c r="R18" s="7">
        <v>1068</v>
      </c>
      <c r="S18" s="7">
        <v>382</v>
      </c>
      <c r="T18" s="8">
        <v>2.1</v>
      </c>
      <c r="U18" s="8">
        <v>4.4000000000000004</v>
      </c>
      <c r="V18" s="17">
        <v>4.4000000000000004</v>
      </c>
      <c r="AD18" s="1"/>
      <c r="AE18" s="3"/>
      <c r="AF18" s="2"/>
      <c r="AG18" s="2"/>
      <c r="AH18" s="3"/>
      <c r="AI18" s="3"/>
      <c r="AJ18" s="1"/>
      <c r="AK18" s="1"/>
    </row>
    <row r="19" spans="1:37" x14ac:dyDescent="0.3">
      <c r="A19" s="14">
        <v>841</v>
      </c>
      <c r="B19" s="14">
        <v>1</v>
      </c>
      <c r="C19" s="9" t="s">
        <v>1659</v>
      </c>
      <c r="D19" s="9" t="s">
        <v>1208</v>
      </c>
      <c r="E19" s="9" t="s">
        <v>2767</v>
      </c>
      <c r="F19" s="9" t="s">
        <v>2768</v>
      </c>
      <c r="G19" s="9">
        <v>4</v>
      </c>
      <c r="H19" s="9"/>
      <c r="I19" s="9"/>
      <c r="J19" s="9"/>
      <c r="K19" s="9" t="b">
        <v>0</v>
      </c>
      <c r="L19" s="9" t="s">
        <v>7</v>
      </c>
      <c r="M19" s="9" t="b">
        <v>0</v>
      </c>
      <c r="N19" s="9" t="s">
        <v>2769</v>
      </c>
      <c r="O19" s="9" t="s">
        <v>4016</v>
      </c>
      <c r="P19" s="7">
        <v>1537</v>
      </c>
      <c r="Q19" s="7">
        <v>1534</v>
      </c>
      <c r="R19" s="7">
        <v>1488</v>
      </c>
      <c r="S19" s="7">
        <v>470</v>
      </c>
      <c r="T19" s="8">
        <v>1.2</v>
      </c>
      <c r="U19" s="8">
        <v>4.4000000000000004</v>
      </c>
      <c r="V19" s="17">
        <v>4.4000000000000004</v>
      </c>
      <c r="AD19" s="1"/>
      <c r="AE19" s="3"/>
      <c r="AF19" s="2"/>
      <c r="AG19" s="3"/>
      <c r="AH19" s="3"/>
      <c r="AI19" s="3"/>
      <c r="AJ19" s="1"/>
      <c r="AK19" s="1"/>
    </row>
    <row r="20" spans="1:37" x14ac:dyDescent="0.3">
      <c r="A20" s="14">
        <v>655</v>
      </c>
      <c r="B20" s="14">
        <v>3</v>
      </c>
      <c r="C20" s="9" t="s">
        <v>1659</v>
      </c>
      <c r="D20" s="9" t="s">
        <v>411</v>
      </c>
      <c r="E20" s="9" t="s">
        <v>2200</v>
      </c>
      <c r="F20" s="9" t="s">
        <v>2201</v>
      </c>
      <c r="G20" s="9">
        <v>3</v>
      </c>
      <c r="H20" s="9"/>
      <c r="I20" s="9"/>
      <c r="J20" s="9"/>
      <c r="K20" s="9" t="b">
        <v>0</v>
      </c>
      <c r="L20" s="9" t="s">
        <v>469</v>
      </c>
      <c r="M20" s="9" t="b">
        <v>0</v>
      </c>
      <c r="N20" s="9" t="s">
        <v>2202</v>
      </c>
      <c r="O20" s="9" t="s">
        <v>3830</v>
      </c>
      <c r="P20" s="7">
        <v>1044</v>
      </c>
      <c r="Q20" s="7">
        <v>1017</v>
      </c>
      <c r="R20" s="7">
        <v>871</v>
      </c>
      <c r="S20" s="7">
        <v>323</v>
      </c>
      <c r="T20" s="8">
        <v>2.8</v>
      </c>
      <c r="U20" s="8">
        <v>4.4000000000000004</v>
      </c>
      <c r="V20" s="17">
        <v>4.4000000000000004</v>
      </c>
      <c r="AD20" s="1"/>
      <c r="AE20" s="3"/>
      <c r="AF20" s="2"/>
      <c r="AG20" s="3"/>
      <c r="AH20" s="3"/>
      <c r="AI20" s="3"/>
      <c r="AJ20" s="1"/>
      <c r="AK20" s="1"/>
    </row>
    <row r="21" spans="1:37" x14ac:dyDescent="0.3">
      <c r="A21" s="14">
        <v>656</v>
      </c>
      <c r="B21" s="14">
        <v>3</v>
      </c>
      <c r="C21" s="9" t="s">
        <v>1659</v>
      </c>
      <c r="D21" s="9" t="s">
        <v>411</v>
      </c>
      <c r="E21" s="9" t="s">
        <v>2203</v>
      </c>
      <c r="F21" s="9" t="s">
        <v>2204</v>
      </c>
      <c r="G21" s="9">
        <v>1</v>
      </c>
      <c r="H21" s="9"/>
      <c r="I21" s="9"/>
      <c r="J21" s="9"/>
      <c r="K21" s="9" t="b">
        <v>0</v>
      </c>
      <c r="L21" s="9" t="s">
        <v>194</v>
      </c>
      <c r="M21" s="9" t="b">
        <v>0</v>
      </c>
      <c r="N21" s="9" t="s">
        <v>2205</v>
      </c>
      <c r="O21" s="9" t="s">
        <v>3831</v>
      </c>
      <c r="P21" s="7">
        <v>1316</v>
      </c>
      <c r="Q21" s="7">
        <v>1314</v>
      </c>
      <c r="R21" s="7">
        <v>1292</v>
      </c>
      <c r="S21" s="7">
        <v>407</v>
      </c>
      <c r="T21" s="8">
        <v>1.7</v>
      </c>
      <c r="U21" s="8">
        <v>4.4000000000000004</v>
      </c>
      <c r="V21" s="17">
        <v>4.4000000000000004</v>
      </c>
      <c r="AD21" s="1"/>
      <c r="AE21" s="3"/>
      <c r="AF21" s="3"/>
      <c r="AG21" s="3"/>
      <c r="AH21" s="3"/>
      <c r="AI21" s="3"/>
      <c r="AJ21" s="1"/>
      <c r="AK21" s="1"/>
    </row>
    <row r="22" spans="1:37" x14ac:dyDescent="0.3">
      <c r="A22" s="14">
        <v>806</v>
      </c>
      <c r="B22" s="14">
        <v>1</v>
      </c>
      <c r="C22" s="9" t="s">
        <v>1659</v>
      </c>
      <c r="D22" s="9" t="s">
        <v>1077</v>
      </c>
      <c r="E22" s="9" t="s">
        <v>2662</v>
      </c>
      <c r="F22" s="9" t="s">
        <v>2663</v>
      </c>
      <c r="G22" s="9">
        <v>1</v>
      </c>
      <c r="H22" s="9"/>
      <c r="I22" s="9"/>
      <c r="J22" s="9"/>
      <c r="K22" s="9" t="b">
        <v>0</v>
      </c>
      <c r="L22" s="9" t="s">
        <v>7</v>
      </c>
      <c r="M22" s="9" t="b">
        <v>0</v>
      </c>
      <c r="N22" s="9" t="s">
        <v>2664</v>
      </c>
      <c r="O22" s="9" t="s">
        <v>3981</v>
      </c>
      <c r="P22" s="7">
        <v>1504</v>
      </c>
      <c r="Q22" s="7">
        <v>1501</v>
      </c>
      <c r="R22" s="7">
        <v>1494</v>
      </c>
      <c r="S22" s="7">
        <v>467</v>
      </c>
      <c r="T22" s="8">
        <v>1.2</v>
      </c>
      <c r="U22" s="8">
        <v>4.4000000000000004</v>
      </c>
      <c r="V22" s="17">
        <v>4.4000000000000004</v>
      </c>
      <c r="AD22" s="1"/>
      <c r="AE22" s="3"/>
      <c r="AF22" s="2"/>
      <c r="AG22" s="2"/>
      <c r="AH22" s="3"/>
      <c r="AI22" s="3"/>
      <c r="AJ22" s="1"/>
      <c r="AK22" s="1"/>
    </row>
    <row r="23" spans="1:37" x14ac:dyDescent="0.3">
      <c r="A23" s="14">
        <v>126</v>
      </c>
      <c r="B23" s="14">
        <v>3</v>
      </c>
      <c r="C23" s="9" t="s">
        <v>0</v>
      </c>
      <c r="D23" s="9" t="s">
        <v>411</v>
      </c>
      <c r="E23" s="9" t="s">
        <v>480</v>
      </c>
      <c r="F23" s="9" t="s">
        <v>481</v>
      </c>
      <c r="G23" s="9">
        <v>1</v>
      </c>
      <c r="H23" s="9" t="s">
        <v>10</v>
      </c>
      <c r="I23" s="9"/>
      <c r="J23" s="9">
        <v>1</v>
      </c>
      <c r="K23" s="9" t="b">
        <v>0</v>
      </c>
      <c r="L23" s="9" t="s">
        <v>194</v>
      </c>
      <c r="M23" s="9" t="b">
        <v>0</v>
      </c>
      <c r="N23" s="9" t="s">
        <v>482</v>
      </c>
      <c r="O23" s="9" t="s">
        <v>3302</v>
      </c>
      <c r="P23" s="7">
        <v>1297</v>
      </c>
      <c r="Q23" s="7">
        <v>1284</v>
      </c>
      <c r="R23" s="7">
        <v>1219</v>
      </c>
      <c r="S23" s="7">
        <v>396</v>
      </c>
      <c r="T23" s="8">
        <v>2.2999999999999998</v>
      </c>
      <c r="U23" s="8">
        <v>4.4000000000000004</v>
      </c>
      <c r="V23" s="17">
        <v>4.4000000000000004</v>
      </c>
      <c r="AD23" s="1"/>
      <c r="AE23" s="3"/>
      <c r="AF23" s="3"/>
      <c r="AG23" s="3"/>
      <c r="AH23" s="3"/>
      <c r="AI23" s="3"/>
      <c r="AJ23" s="1"/>
      <c r="AK23" s="1"/>
    </row>
    <row r="24" spans="1:37" x14ac:dyDescent="0.3">
      <c r="A24" s="14">
        <v>39</v>
      </c>
      <c r="B24" s="14">
        <v>1</v>
      </c>
      <c r="C24" s="9" t="s">
        <v>0</v>
      </c>
      <c r="D24" s="9" t="s">
        <v>1</v>
      </c>
      <c r="E24" s="9" t="s">
        <v>140</v>
      </c>
      <c r="F24" s="9" t="s">
        <v>141</v>
      </c>
      <c r="G24" s="9">
        <v>1</v>
      </c>
      <c r="H24" s="9" t="s">
        <v>84</v>
      </c>
      <c r="I24" s="9"/>
      <c r="J24" s="9">
        <v>1</v>
      </c>
      <c r="K24" s="9" t="b">
        <v>0</v>
      </c>
      <c r="L24" s="9" t="s">
        <v>7</v>
      </c>
      <c r="M24" s="9" t="b">
        <v>0</v>
      </c>
      <c r="N24" s="9" t="s">
        <v>142</v>
      </c>
      <c r="O24" s="9" t="s">
        <v>3215</v>
      </c>
      <c r="P24" s="7">
        <v>1500</v>
      </c>
      <c r="Q24" s="7">
        <v>1497</v>
      </c>
      <c r="R24" s="7">
        <v>1351</v>
      </c>
      <c r="S24" s="7">
        <v>465</v>
      </c>
      <c r="T24" s="8">
        <v>1.9</v>
      </c>
      <c r="U24" s="8">
        <v>4.4000000000000004</v>
      </c>
      <c r="V24" s="17">
        <v>4.4000000000000004</v>
      </c>
      <c r="AD24" s="1"/>
      <c r="AE24" s="3"/>
      <c r="AF24" s="2"/>
      <c r="AG24" s="3"/>
      <c r="AH24" s="3"/>
      <c r="AI24" s="3"/>
      <c r="AJ24" s="1"/>
      <c r="AK24" s="1"/>
    </row>
    <row r="25" spans="1:37" x14ac:dyDescent="0.3">
      <c r="A25" s="14">
        <v>513</v>
      </c>
      <c r="B25" s="14">
        <v>1</v>
      </c>
      <c r="C25" s="9" t="s">
        <v>1659</v>
      </c>
      <c r="D25" s="9" t="s">
        <v>1</v>
      </c>
      <c r="E25" s="9" t="s">
        <v>1759</v>
      </c>
      <c r="F25" s="9" t="s">
        <v>1760</v>
      </c>
      <c r="G25" s="9">
        <v>1</v>
      </c>
      <c r="H25" s="9"/>
      <c r="I25" s="9"/>
      <c r="J25" s="9"/>
      <c r="K25" s="9" t="b">
        <v>0</v>
      </c>
      <c r="L25" s="9" t="s">
        <v>7</v>
      </c>
      <c r="M25" s="9" t="b">
        <v>1</v>
      </c>
      <c r="N25" s="9" t="s">
        <v>1761</v>
      </c>
      <c r="O25" s="9" t="s">
        <v>3688</v>
      </c>
      <c r="P25" s="7">
        <v>1568</v>
      </c>
      <c r="Q25" s="7">
        <v>1565</v>
      </c>
      <c r="R25" s="7">
        <v>1218</v>
      </c>
      <c r="S25" s="7">
        <v>471</v>
      </c>
      <c r="T25" s="8">
        <v>2</v>
      </c>
      <c r="U25" s="8">
        <v>4.3</v>
      </c>
      <c r="V25" s="17">
        <v>4.3</v>
      </c>
      <c r="AD25" s="1"/>
      <c r="AE25" s="3"/>
      <c r="AF25" s="2"/>
      <c r="AG25" s="2"/>
      <c r="AH25" s="2"/>
      <c r="AI25" s="3"/>
      <c r="AJ25" s="1"/>
      <c r="AK25" s="1"/>
    </row>
    <row r="26" spans="1:37" x14ac:dyDescent="0.3">
      <c r="A26" s="14">
        <v>515</v>
      </c>
      <c r="B26" s="14">
        <v>1</v>
      </c>
      <c r="C26" s="9" t="s">
        <v>1659</v>
      </c>
      <c r="D26" s="9" t="s">
        <v>1</v>
      </c>
      <c r="E26" s="9" t="s">
        <v>1765</v>
      </c>
      <c r="F26" s="9" t="s">
        <v>1766</v>
      </c>
      <c r="G26" s="9">
        <v>1</v>
      </c>
      <c r="H26" s="9"/>
      <c r="I26" s="9"/>
      <c r="J26" s="9"/>
      <c r="K26" s="9" t="b">
        <v>0</v>
      </c>
      <c r="L26" s="9" t="s">
        <v>7</v>
      </c>
      <c r="M26" s="9" t="b">
        <v>0</v>
      </c>
      <c r="N26" s="9" t="s">
        <v>1767</v>
      </c>
      <c r="O26" s="9" t="s">
        <v>3690</v>
      </c>
      <c r="P26" s="7">
        <v>1554</v>
      </c>
      <c r="Q26" s="7">
        <v>1502</v>
      </c>
      <c r="R26" s="7">
        <v>1314</v>
      </c>
      <c r="S26" s="7">
        <v>470</v>
      </c>
      <c r="T26" s="8">
        <v>1.9</v>
      </c>
      <c r="U26" s="8">
        <v>4.3</v>
      </c>
      <c r="V26" s="17">
        <v>4.3</v>
      </c>
      <c r="AD26" s="1"/>
      <c r="AE26" s="3"/>
      <c r="AF26" s="2"/>
      <c r="AG26" s="2"/>
      <c r="AH26" s="3"/>
      <c r="AI26" s="3"/>
      <c r="AJ26" s="1"/>
      <c r="AK26" s="1"/>
    </row>
    <row r="27" spans="1:37" x14ac:dyDescent="0.3">
      <c r="A27" s="14">
        <v>754</v>
      </c>
      <c r="B27" s="14">
        <v>3</v>
      </c>
      <c r="C27" s="9" t="s">
        <v>1659</v>
      </c>
      <c r="D27" s="9" t="s">
        <v>411</v>
      </c>
      <c r="E27" s="9" t="s">
        <v>2504</v>
      </c>
      <c r="F27" s="9" t="s">
        <v>2505</v>
      </c>
      <c r="G27" s="9">
        <v>1</v>
      </c>
      <c r="H27" s="9"/>
      <c r="I27" s="9"/>
      <c r="J27" s="9"/>
      <c r="K27" s="9" t="b">
        <v>0</v>
      </c>
      <c r="L27" s="9" t="s">
        <v>425</v>
      </c>
      <c r="M27" s="9" t="b">
        <v>0</v>
      </c>
      <c r="N27" s="9" t="s">
        <v>2506</v>
      </c>
      <c r="O27" s="9" t="s">
        <v>3929</v>
      </c>
      <c r="P27" s="7">
        <v>1342</v>
      </c>
      <c r="Q27" s="7">
        <v>1309</v>
      </c>
      <c r="R27" s="7">
        <v>1162</v>
      </c>
      <c r="S27" s="7">
        <v>408</v>
      </c>
      <c r="T27" s="8">
        <v>2.2999999999999998</v>
      </c>
      <c r="U27" s="8">
        <v>4.3</v>
      </c>
      <c r="V27" s="17">
        <v>4.3</v>
      </c>
      <c r="AD27" s="1"/>
      <c r="AE27" s="3"/>
      <c r="AF27" s="2"/>
      <c r="AG27" s="2"/>
      <c r="AH27" s="3"/>
      <c r="AI27" s="3"/>
      <c r="AJ27" s="1"/>
      <c r="AK27" s="1"/>
    </row>
    <row r="28" spans="1:37" x14ac:dyDescent="0.3">
      <c r="A28" s="14">
        <v>392</v>
      </c>
      <c r="B28" s="14">
        <v>4</v>
      </c>
      <c r="C28" s="9" t="s">
        <v>0</v>
      </c>
      <c r="D28" s="9" t="s">
        <v>1338</v>
      </c>
      <c r="E28" s="9" t="s">
        <v>1369</v>
      </c>
      <c r="F28" s="9" t="s">
        <v>1370</v>
      </c>
      <c r="G28" s="9">
        <v>1</v>
      </c>
      <c r="H28" s="9"/>
      <c r="I28" s="9"/>
      <c r="J28" s="9"/>
      <c r="K28" s="9" t="b">
        <v>0</v>
      </c>
      <c r="L28" s="9" t="s">
        <v>1351</v>
      </c>
      <c r="M28" s="9" t="b">
        <v>0</v>
      </c>
      <c r="N28" s="9" t="s">
        <v>1371</v>
      </c>
      <c r="O28" s="9" t="s">
        <v>3568</v>
      </c>
      <c r="P28" s="7">
        <v>309</v>
      </c>
      <c r="Q28" s="7">
        <v>270</v>
      </c>
      <c r="R28" s="7">
        <v>256</v>
      </c>
      <c r="S28" s="7">
        <v>94</v>
      </c>
      <c r="T28" s="8">
        <v>4.0999999999999996</v>
      </c>
      <c r="U28" s="8">
        <v>4.3</v>
      </c>
      <c r="V28" s="17">
        <v>4.3</v>
      </c>
      <c r="AD28" s="1"/>
      <c r="AE28" s="3"/>
      <c r="AF28" s="3"/>
      <c r="AG28" s="3"/>
      <c r="AH28" s="3"/>
      <c r="AI28" s="3"/>
      <c r="AJ28" s="1"/>
      <c r="AK28" s="1"/>
    </row>
    <row r="29" spans="1:37" x14ac:dyDescent="0.3">
      <c r="A29" s="14">
        <v>624</v>
      </c>
      <c r="B29" s="14">
        <v>3</v>
      </c>
      <c r="C29" s="9" t="s">
        <v>1659</v>
      </c>
      <c r="D29" s="9" t="s">
        <v>411</v>
      </c>
      <c r="E29" s="9" t="s">
        <v>2102</v>
      </c>
      <c r="F29" s="9" t="s">
        <v>2103</v>
      </c>
      <c r="G29" s="9">
        <v>4</v>
      </c>
      <c r="H29" s="9"/>
      <c r="I29" s="9"/>
      <c r="J29" s="9"/>
      <c r="K29" s="9" t="b">
        <v>0</v>
      </c>
      <c r="L29" s="9" t="s">
        <v>416</v>
      </c>
      <c r="M29" s="9" t="b">
        <v>0</v>
      </c>
      <c r="N29" s="9" t="s">
        <v>2104</v>
      </c>
      <c r="O29" s="9" t="s">
        <v>3799</v>
      </c>
      <c r="P29" s="7">
        <v>589</v>
      </c>
      <c r="Q29" s="7">
        <v>569</v>
      </c>
      <c r="R29" s="7">
        <v>534</v>
      </c>
      <c r="S29" s="7">
        <v>174</v>
      </c>
      <c r="T29" s="8">
        <v>2.2000000000000002</v>
      </c>
      <c r="U29" s="8">
        <v>4.2</v>
      </c>
      <c r="V29" s="17">
        <v>4.2</v>
      </c>
      <c r="AD29" s="1"/>
      <c r="AE29" s="3"/>
      <c r="AF29" s="2"/>
      <c r="AG29" s="3"/>
      <c r="AH29" s="3"/>
      <c r="AI29" s="3"/>
      <c r="AJ29" s="1"/>
      <c r="AK29" s="1"/>
    </row>
    <row r="30" spans="1:37" x14ac:dyDescent="0.3">
      <c r="A30" s="14">
        <v>714</v>
      </c>
      <c r="B30" s="14">
        <v>3</v>
      </c>
      <c r="C30" s="9" t="s">
        <v>1659</v>
      </c>
      <c r="D30" s="9" t="s">
        <v>411</v>
      </c>
      <c r="E30" s="9" t="s">
        <v>2381</v>
      </c>
      <c r="F30" s="9" t="s">
        <v>2382</v>
      </c>
      <c r="G30" s="9">
        <v>4</v>
      </c>
      <c r="H30" s="9"/>
      <c r="I30" s="9"/>
      <c r="J30" s="9"/>
      <c r="K30" s="9" t="b">
        <v>0</v>
      </c>
      <c r="L30" s="9" t="s">
        <v>497</v>
      </c>
      <c r="M30" s="9" t="b">
        <v>0</v>
      </c>
      <c r="N30" s="9" t="s">
        <v>2383</v>
      </c>
      <c r="O30" s="9" t="s">
        <v>3889</v>
      </c>
      <c r="P30" s="7">
        <v>1269</v>
      </c>
      <c r="Q30" s="7">
        <v>1244</v>
      </c>
      <c r="R30" s="7">
        <v>1158</v>
      </c>
      <c r="S30" s="7">
        <v>373</v>
      </c>
      <c r="T30" s="8">
        <v>1.9</v>
      </c>
      <c r="U30" s="8">
        <v>4.2</v>
      </c>
      <c r="V30" s="17">
        <v>4.2</v>
      </c>
      <c r="AD30" s="1"/>
      <c r="AE30" s="3"/>
      <c r="AF30" s="2"/>
      <c r="AG30" s="3"/>
      <c r="AH30" s="3"/>
      <c r="AI30" s="3"/>
      <c r="AJ30" s="1"/>
      <c r="AK30" s="1"/>
    </row>
    <row r="31" spans="1:37" x14ac:dyDescent="0.3">
      <c r="A31" s="14">
        <v>438</v>
      </c>
      <c r="B31" s="14">
        <v>2</v>
      </c>
      <c r="C31" s="9" t="s">
        <v>0</v>
      </c>
      <c r="D31" s="9" t="s">
        <v>1457</v>
      </c>
      <c r="E31" s="9" t="s">
        <v>1518</v>
      </c>
      <c r="F31" s="9" t="s">
        <v>1519</v>
      </c>
      <c r="G31" s="9">
        <v>1</v>
      </c>
      <c r="H31" s="9" t="s">
        <v>192</v>
      </c>
      <c r="I31" s="9"/>
      <c r="J31" s="9">
        <v>1</v>
      </c>
      <c r="K31" s="9" t="b">
        <v>0</v>
      </c>
      <c r="L31" s="9"/>
      <c r="M31" s="9" t="b">
        <v>0</v>
      </c>
      <c r="N31" s="9" t="s">
        <v>1520</v>
      </c>
      <c r="O31" s="9" t="s">
        <v>3613</v>
      </c>
      <c r="P31" s="7">
        <v>1560</v>
      </c>
      <c r="Q31" s="7">
        <v>1449</v>
      </c>
      <c r="R31" s="7">
        <v>1243</v>
      </c>
      <c r="S31" s="7">
        <v>456</v>
      </c>
      <c r="T31" s="8">
        <v>2.5</v>
      </c>
      <c r="U31" s="8">
        <v>4.2</v>
      </c>
      <c r="V31" s="17">
        <v>4.2</v>
      </c>
      <c r="AD31" s="1"/>
      <c r="AE31" s="3"/>
      <c r="AF31" s="2"/>
      <c r="AG31" s="3"/>
      <c r="AH31" s="3"/>
      <c r="AI31" s="3"/>
      <c r="AJ31" s="1"/>
      <c r="AK31" s="1"/>
    </row>
    <row r="32" spans="1:37" x14ac:dyDescent="0.3">
      <c r="A32" s="14">
        <v>356</v>
      </c>
      <c r="B32" s="14">
        <v>1</v>
      </c>
      <c r="C32" s="9" t="s">
        <v>0</v>
      </c>
      <c r="D32" s="9" t="s">
        <v>1208</v>
      </c>
      <c r="E32" s="9" t="s">
        <v>1257</v>
      </c>
      <c r="F32" s="9" t="s">
        <v>1258</v>
      </c>
      <c r="G32" s="9">
        <v>1</v>
      </c>
      <c r="H32" s="9" t="s">
        <v>26</v>
      </c>
      <c r="I32" s="9"/>
      <c r="J32" s="9">
        <v>1</v>
      </c>
      <c r="K32" s="9" t="b">
        <v>0</v>
      </c>
      <c r="L32" s="9" t="s">
        <v>7</v>
      </c>
      <c r="M32" s="9" t="b">
        <v>0</v>
      </c>
      <c r="N32" s="9" t="s">
        <v>1176</v>
      </c>
      <c r="O32" s="9" t="s">
        <v>3532</v>
      </c>
      <c r="P32" s="7">
        <v>1602</v>
      </c>
      <c r="Q32" s="7">
        <v>1590</v>
      </c>
      <c r="R32" s="7">
        <v>1530</v>
      </c>
      <c r="S32" s="7">
        <v>474</v>
      </c>
      <c r="T32" s="8">
        <v>2.1</v>
      </c>
      <c r="U32" s="8">
        <v>4.2</v>
      </c>
      <c r="V32" s="17">
        <v>4.2</v>
      </c>
      <c r="AD32" s="1"/>
      <c r="AE32" s="3"/>
      <c r="AF32" s="2"/>
      <c r="AG32" s="3"/>
      <c r="AH32" s="3"/>
      <c r="AI32" s="3"/>
      <c r="AJ32" s="1"/>
      <c r="AK32" s="1"/>
    </row>
    <row r="33" spans="1:37" x14ac:dyDescent="0.3">
      <c r="A33" s="14">
        <v>81</v>
      </c>
      <c r="B33" s="14">
        <v>2</v>
      </c>
      <c r="C33" s="9" t="s">
        <v>0</v>
      </c>
      <c r="D33" s="9" t="s">
        <v>180</v>
      </c>
      <c r="E33" s="9" t="s">
        <v>305</v>
      </c>
      <c r="F33" s="9" t="s">
        <v>306</v>
      </c>
      <c r="G33" s="9">
        <v>1</v>
      </c>
      <c r="H33" s="9"/>
      <c r="I33" s="9" t="s">
        <v>307</v>
      </c>
      <c r="J33" s="9">
        <v>1</v>
      </c>
      <c r="K33" s="9" t="b">
        <v>0</v>
      </c>
      <c r="L33" s="9" t="s">
        <v>309</v>
      </c>
      <c r="M33" s="9" t="b">
        <v>0</v>
      </c>
      <c r="N33" s="9" t="s">
        <v>308</v>
      </c>
      <c r="O33" s="9" t="s">
        <v>3257</v>
      </c>
      <c r="P33" s="7">
        <v>1576</v>
      </c>
      <c r="Q33" s="7">
        <v>1550</v>
      </c>
      <c r="R33" s="7">
        <v>1359</v>
      </c>
      <c r="S33" s="7">
        <v>465</v>
      </c>
      <c r="T33" s="8">
        <v>2.4</v>
      </c>
      <c r="U33" s="8">
        <v>4.2</v>
      </c>
      <c r="V33" s="17">
        <v>4.2</v>
      </c>
      <c r="AD33" s="1"/>
      <c r="AE33" s="3"/>
      <c r="AF33" s="2"/>
      <c r="AG33" s="3"/>
      <c r="AH33" s="3"/>
      <c r="AI33" s="3"/>
      <c r="AJ33" s="1"/>
      <c r="AK33" s="1"/>
    </row>
    <row r="34" spans="1:37" x14ac:dyDescent="0.3">
      <c r="A34" s="14">
        <v>368</v>
      </c>
      <c r="B34" s="14">
        <v>1</v>
      </c>
      <c r="C34" s="9" t="s">
        <v>0</v>
      </c>
      <c r="D34" s="9" t="s">
        <v>1208</v>
      </c>
      <c r="E34" s="9" t="s">
        <v>1294</v>
      </c>
      <c r="F34" s="9" t="s">
        <v>1295</v>
      </c>
      <c r="G34" s="9">
        <v>1</v>
      </c>
      <c r="H34" s="9" t="s">
        <v>26</v>
      </c>
      <c r="I34" s="9" t="s">
        <v>22</v>
      </c>
      <c r="J34" s="9"/>
      <c r="K34" s="9" t="b">
        <v>0</v>
      </c>
      <c r="L34" s="9" t="s">
        <v>7</v>
      </c>
      <c r="M34" s="9" t="b">
        <v>1</v>
      </c>
      <c r="N34" s="9" t="s">
        <v>1296</v>
      </c>
      <c r="O34" s="9" t="s">
        <v>3544</v>
      </c>
      <c r="P34" s="7">
        <v>1585</v>
      </c>
      <c r="Q34" s="7">
        <v>1550</v>
      </c>
      <c r="R34" s="7">
        <v>1267</v>
      </c>
      <c r="S34" s="7">
        <v>462</v>
      </c>
      <c r="T34" s="8">
        <v>2.4</v>
      </c>
      <c r="U34" s="8">
        <v>4.2</v>
      </c>
      <c r="V34" s="17">
        <v>4.2</v>
      </c>
      <c r="AD34" s="1"/>
      <c r="AE34" s="3"/>
      <c r="AF34" s="2"/>
      <c r="AG34" s="2"/>
      <c r="AH34" s="2"/>
      <c r="AI34" s="3"/>
      <c r="AJ34" s="1"/>
      <c r="AK34" s="1"/>
    </row>
    <row r="35" spans="1:37" x14ac:dyDescent="0.3">
      <c r="A35" s="14">
        <v>610</v>
      </c>
      <c r="B35" s="14">
        <v>3</v>
      </c>
      <c r="C35" s="9" t="s">
        <v>1659</v>
      </c>
      <c r="D35" s="9" t="s">
        <v>411</v>
      </c>
      <c r="E35" s="9" t="s">
        <v>2058</v>
      </c>
      <c r="F35" s="9" t="s">
        <v>2059</v>
      </c>
      <c r="G35" s="9">
        <v>1</v>
      </c>
      <c r="H35" s="9"/>
      <c r="I35" s="9"/>
      <c r="J35" s="9"/>
      <c r="K35" s="9" t="b">
        <v>0</v>
      </c>
      <c r="L35" s="9" t="s">
        <v>2061</v>
      </c>
      <c r="M35" s="9" t="b">
        <v>0</v>
      </c>
      <c r="N35" s="9" t="s">
        <v>2060</v>
      </c>
      <c r="O35" s="9" t="s">
        <v>3785</v>
      </c>
      <c r="P35" s="7">
        <v>1238</v>
      </c>
      <c r="Q35" s="7">
        <v>1183</v>
      </c>
      <c r="R35" s="7">
        <v>1055</v>
      </c>
      <c r="S35" s="7">
        <v>352</v>
      </c>
      <c r="T35" s="8">
        <v>2.1</v>
      </c>
      <c r="U35" s="8">
        <v>4.0999999999999996</v>
      </c>
      <c r="V35" s="17">
        <v>4.0999999999999996</v>
      </c>
      <c r="AD35" s="1"/>
      <c r="AE35" s="3"/>
      <c r="AF35" s="2"/>
      <c r="AG35" s="3"/>
      <c r="AH35" s="3"/>
      <c r="AI35" s="3"/>
      <c r="AJ35" s="1"/>
      <c r="AK35" s="1"/>
    </row>
    <row r="36" spans="1:37" x14ac:dyDescent="0.3">
      <c r="A36" s="14">
        <v>920</v>
      </c>
      <c r="B36" s="14">
        <v>2</v>
      </c>
      <c r="C36" s="9" t="s">
        <v>1659</v>
      </c>
      <c r="D36" s="9" t="s">
        <v>1457</v>
      </c>
      <c r="E36" s="9" t="s">
        <v>3004</v>
      </c>
      <c r="F36" s="10" t="s">
        <v>3005</v>
      </c>
      <c r="G36" s="9">
        <v>1</v>
      </c>
      <c r="H36" s="9"/>
      <c r="I36" s="9"/>
      <c r="J36" s="9"/>
      <c r="K36" s="9" t="b">
        <v>0</v>
      </c>
      <c r="L36" s="9" t="s">
        <v>3007</v>
      </c>
      <c r="M36" s="9" t="b">
        <v>1</v>
      </c>
      <c r="N36" s="9" t="s">
        <v>3006</v>
      </c>
      <c r="O36" s="9" t="s">
        <v>4092</v>
      </c>
      <c r="P36" s="7">
        <v>1550</v>
      </c>
      <c r="Q36" s="7">
        <v>1514</v>
      </c>
      <c r="R36" s="7">
        <v>1370</v>
      </c>
      <c r="S36" s="7">
        <v>440</v>
      </c>
      <c r="T36" s="8">
        <v>2.4</v>
      </c>
      <c r="U36" s="8">
        <v>4.0999999999999996</v>
      </c>
      <c r="V36" s="17">
        <v>4.0999999999999996</v>
      </c>
      <c r="AD36" s="1"/>
      <c r="AE36" s="3"/>
      <c r="AF36" s="2"/>
      <c r="AG36" s="3"/>
      <c r="AH36" s="3"/>
      <c r="AI36" s="3"/>
      <c r="AJ36" s="1"/>
      <c r="AK36" s="1"/>
    </row>
    <row r="37" spans="1:37" x14ac:dyDescent="0.3">
      <c r="A37" s="14">
        <v>700</v>
      </c>
      <c r="B37" s="14">
        <v>3</v>
      </c>
      <c r="C37" s="9" t="s">
        <v>1659</v>
      </c>
      <c r="D37" s="9" t="s">
        <v>411</v>
      </c>
      <c r="E37" s="9" t="s">
        <v>2339</v>
      </c>
      <c r="F37" s="9" t="s">
        <v>2340</v>
      </c>
      <c r="G37" s="9">
        <v>3</v>
      </c>
      <c r="H37" s="9"/>
      <c r="I37" s="9"/>
      <c r="J37" s="9"/>
      <c r="K37" s="9" t="b">
        <v>0</v>
      </c>
      <c r="L37" s="9" t="s">
        <v>437</v>
      </c>
      <c r="M37" s="9" t="b">
        <v>0</v>
      </c>
      <c r="N37" s="9" t="s">
        <v>2341</v>
      </c>
      <c r="O37" s="9" t="s">
        <v>3875</v>
      </c>
      <c r="P37" s="7">
        <v>929</v>
      </c>
      <c r="Q37" s="7">
        <v>894</v>
      </c>
      <c r="R37" s="7">
        <v>730</v>
      </c>
      <c r="S37" s="7">
        <v>265</v>
      </c>
      <c r="T37" s="8">
        <v>3</v>
      </c>
      <c r="U37" s="8">
        <v>4.0999999999999996</v>
      </c>
      <c r="V37" s="17">
        <v>4.0999999999999996</v>
      </c>
      <c r="AD37" s="1"/>
      <c r="AE37" s="3"/>
      <c r="AF37" s="2"/>
      <c r="AG37" s="2"/>
      <c r="AH37" s="3"/>
      <c r="AI37" s="3"/>
      <c r="AJ37" s="1"/>
      <c r="AK37" s="1"/>
    </row>
    <row r="38" spans="1:37" x14ac:dyDescent="0.3">
      <c r="A38" s="14">
        <v>722</v>
      </c>
      <c r="B38" s="14">
        <v>3</v>
      </c>
      <c r="C38" s="9" t="s">
        <v>1659</v>
      </c>
      <c r="D38" s="9" t="s">
        <v>411</v>
      </c>
      <c r="E38" s="9" t="s">
        <v>2406</v>
      </c>
      <c r="F38" s="9" t="s">
        <v>2407</v>
      </c>
      <c r="G38" s="9">
        <v>1</v>
      </c>
      <c r="H38" s="9"/>
      <c r="I38" s="9"/>
      <c r="J38" s="9"/>
      <c r="K38" s="9" t="b">
        <v>0</v>
      </c>
      <c r="L38" s="9" t="s">
        <v>497</v>
      </c>
      <c r="M38" s="9" t="b">
        <v>0</v>
      </c>
      <c r="N38" s="9" t="s">
        <v>2408</v>
      </c>
      <c r="O38" s="9" t="s">
        <v>3897</v>
      </c>
      <c r="P38" s="7">
        <v>1278</v>
      </c>
      <c r="Q38" s="7">
        <v>1176</v>
      </c>
      <c r="R38" s="7">
        <v>960</v>
      </c>
      <c r="S38" s="7">
        <v>371</v>
      </c>
      <c r="T38" s="8">
        <v>3</v>
      </c>
      <c r="U38" s="8">
        <v>4.0999999999999996</v>
      </c>
      <c r="V38" s="17">
        <v>4.0999999999999996</v>
      </c>
      <c r="AD38" s="1"/>
      <c r="AE38" s="3"/>
      <c r="AF38" s="2"/>
      <c r="AG38" s="2"/>
      <c r="AH38" s="3"/>
      <c r="AI38" s="3"/>
      <c r="AJ38" s="1"/>
      <c r="AK38" s="1"/>
    </row>
    <row r="39" spans="1:37" x14ac:dyDescent="0.3">
      <c r="A39" s="14">
        <v>52</v>
      </c>
      <c r="B39" s="14">
        <v>2</v>
      </c>
      <c r="C39" s="9" t="s">
        <v>0</v>
      </c>
      <c r="D39" s="9" t="s">
        <v>180</v>
      </c>
      <c r="E39" s="9" t="s">
        <v>186</v>
      </c>
      <c r="F39" s="9" t="s">
        <v>187</v>
      </c>
      <c r="G39" s="9">
        <v>1</v>
      </c>
      <c r="H39" s="9" t="s">
        <v>84</v>
      </c>
      <c r="I39" s="9"/>
      <c r="J39" s="9">
        <v>1</v>
      </c>
      <c r="K39" s="9" t="b">
        <v>0</v>
      </c>
      <c r="L39" s="9" t="s">
        <v>189</v>
      </c>
      <c r="M39" s="9" t="b">
        <v>0</v>
      </c>
      <c r="N39" s="9" t="s">
        <v>188</v>
      </c>
      <c r="O39" s="9" t="s">
        <v>3228</v>
      </c>
      <c r="P39" s="7">
        <v>1569</v>
      </c>
      <c r="Q39" s="7">
        <v>1446</v>
      </c>
      <c r="R39" s="7">
        <v>1221</v>
      </c>
      <c r="S39" s="7">
        <v>452</v>
      </c>
      <c r="T39" s="8">
        <v>3.6</v>
      </c>
      <c r="U39" s="8">
        <v>4.0999999999999996</v>
      </c>
      <c r="V39" s="17">
        <v>4.0999999999999996</v>
      </c>
      <c r="AD39" s="1"/>
      <c r="AE39" s="3"/>
      <c r="AF39" s="2"/>
      <c r="AG39" s="2"/>
      <c r="AH39" s="3"/>
      <c r="AI39" s="3"/>
      <c r="AJ39" s="1"/>
      <c r="AK39" s="1"/>
    </row>
    <row r="40" spans="1:37" x14ac:dyDescent="0.3">
      <c r="A40" s="14">
        <v>343</v>
      </c>
      <c r="B40" s="14">
        <v>1</v>
      </c>
      <c r="C40" s="9" t="s">
        <v>0</v>
      </c>
      <c r="D40" s="9" t="s">
        <v>1208</v>
      </c>
      <c r="E40" s="9" t="s">
        <v>1215</v>
      </c>
      <c r="F40" s="9" t="s">
        <v>1216</v>
      </c>
      <c r="G40" s="9">
        <v>1</v>
      </c>
      <c r="H40" s="9" t="s">
        <v>1217</v>
      </c>
      <c r="I40" s="9"/>
      <c r="J40" s="9">
        <v>1</v>
      </c>
      <c r="K40" s="9" t="b">
        <v>0</v>
      </c>
      <c r="L40" s="9" t="s">
        <v>7</v>
      </c>
      <c r="M40" s="9" t="b">
        <v>0</v>
      </c>
      <c r="N40" s="9" t="s">
        <v>1218</v>
      </c>
      <c r="O40" s="9" t="s">
        <v>3519</v>
      </c>
      <c r="P40" s="7">
        <v>1592</v>
      </c>
      <c r="Q40" s="7">
        <v>1592</v>
      </c>
      <c r="R40" s="7">
        <v>1487</v>
      </c>
      <c r="S40" s="7">
        <v>460</v>
      </c>
      <c r="T40" s="8">
        <v>1.9</v>
      </c>
      <c r="U40" s="8">
        <v>4.0999999999999996</v>
      </c>
      <c r="V40" s="17">
        <v>4.0999999999999996</v>
      </c>
      <c r="AD40" s="1"/>
      <c r="AE40" s="3"/>
      <c r="AF40" s="2"/>
      <c r="AG40" s="2"/>
      <c r="AH40" s="3"/>
      <c r="AI40" s="3"/>
      <c r="AJ40" s="1"/>
      <c r="AK40" s="1"/>
    </row>
    <row r="41" spans="1:37" x14ac:dyDescent="0.3">
      <c r="A41" s="14">
        <v>345</v>
      </c>
      <c r="B41" s="14">
        <v>1</v>
      </c>
      <c r="C41" s="9" t="s">
        <v>0</v>
      </c>
      <c r="D41" s="9" t="s">
        <v>1208</v>
      </c>
      <c r="E41" s="9" t="s">
        <v>1222</v>
      </c>
      <c r="F41" s="9" t="s">
        <v>1223</v>
      </c>
      <c r="G41" s="9">
        <v>1</v>
      </c>
      <c r="H41" s="9" t="s">
        <v>84</v>
      </c>
      <c r="I41" s="9" t="s">
        <v>22</v>
      </c>
      <c r="J41" s="9">
        <v>1</v>
      </c>
      <c r="K41" s="9" t="b">
        <v>0</v>
      </c>
      <c r="L41" s="9" t="s">
        <v>7</v>
      </c>
      <c r="M41" s="9" t="b">
        <v>0</v>
      </c>
      <c r="N41" s="9" t="s">
        <v>1224</v>
      </c>
      <c r="O41" s="9" t="s">
        <v>3521</v>
      </c>
      <c r="P41" s="7">
        <v>1576</v>
      </c>
      <c r="Q41" s="7">
        <v>1575</v>
      </c>
      <c r="R41" s="7">
        <v>1473</v>
      </c>
      <c r="S41" s="7">
        <v>451</v>
      </c>
      <c r="T41" s="8">
        <v>1.3</v>
      </c>
      <c r="U41" s="8">
        <v>4.0999999999999996</v>
      </c>
      <c r="V41" s="17">
        <v>4.0999999999999996</v>
      </c>
      <c r="AD41" s="1"/>
      <c r="AE41" s="3"/>
      <c r="AF41" s="2"/>
      <c r="AG41" s="3"/>
      <c r="AH41" s="3"/>
      <c r="AI41" s="3"/>
      <c r="AJ41" s="1"/>
      <c r="AK41" s="1"/>
    </row>
    <row r="42" spans="1:37" x14ac:dyDescent="0.3">
      <c r="A42" s="14">
        <v>23</v>
      </c>
      <c r="B42" s="14">
        <v>1</v>
      </c>
      <c r="C42" s="9" t="s">
        <v>0</v>
      </c>
      <c r="D42" s="9" t="s">
        <v>1</v>
      </c>
      <c r="E42" s="9" t="s">
        <v>82</v>
      </c>
      <c r="F42" s="9" t="s">
        <v>83</v>
      </c>
      <c r="G42" s="9">
        <v>1</v>
      </c>
      <c r="H42" s="9" t="s">
        <v>84</v>
      </c>
      <c r="I42" s="9"/>
      <c r="J42" s="9">
        <v>1</v>
      </c>
      <c r="K42" s="9" t="b">
        <v>0</v>
      </c>
      <c r="L42" s="9" t="s">
        <v>7</v>
      </c>
      <c r="M42" s="9" t="b">
        <v>0</v>
      </c>
      <c r="N42" s="9" t="s">
        <v>85</v>
      </c>
      <c r="O42" s="9" t="s">
        <v>3199</v>
      </c>
      <c r="P42" s="7">
        <v>1632</v>
      </c>
      <c r="Q42" s="7">
        <v>1627</v>
      </c>
      <c r="R42" s="7">
        <v>1511</v>
      </c>
      <c r="S42" s="7">
        <v>464</v>
      </c>
      <c r="T42" s="8">
        <v>1.9</v>
      </c>
      <c r="U42" s="8">
        <v>4.0999999999999996</v>
      </c>
      <c r="V42" s="17">
        <v>4.0999999999999996</v>
      </c>
      <c r="AD42" s="1"/>
      <c r="AE42" s="3"/>
      <c r="AF42" s="2"/>
      <c r="AG42" s="2"/>
      <c r="AH42" s="2"/>
      <c r="AI42" s="3"/>
      <c r="AJ42" s="1"/>
      <c r="AK42" s="1"/>
    </row>
    <row r="43" spans="1:37" x14ac:dyDescent="0.3">
      <c r="A43" s="14">
        <v>312</v>
      </c>
      <c r="B43" s="14">
        <v>1</v>
      </c>
      <c r="C43" s="9" t="s">
        <v>0</v>
      </c>
      <c r="D43" s="9" t="s">
        <v>1077</v>
      </c>
      <c r="E43" s="9" t="s">
        <v>1110</v>
      </c>
      <c r="F43" s="9" t="s">
        <v>1111</v>
      </c>
      <c r="G43" s="9">
        <v>1</v>
      </c>
      <c r="H43" s="9" t="s">
        <v>84</v>
      </c>
      <c r="I43" s="9"/>
      <c r="J43" s="9">
        <v>1</v>
      </c>
      <c r="K43" s="9" t="b">
        <v>0</v>
      </c>
      <c r="L43" s="9" t="s">
        <v>7</v>
      </c>
      <c r="M43" s="9" t="b">
        <v>0</v>
      </c>
      <c r="N43" s="9" t="s">
        <v>1112</v>
      </c>
      <c r="O43" s="9" t="s">
        <v>3488</v>
      </c>
      <c r="P43" s="7">
        <v>1562</v>
      </c>
      <c r="Q43" s="7">
        <v>1556</v>
      </c>
      <c r="R43" s="7">
        <v>1424</v>
      </c>
      <c r="S43" s="7">
        <v>452</v>
      </c>
      <c r="T43" s="8">
        <v>2.1</v>
      </c>
      <c r="U43" s="8">
        <v>4.0999999999999996</v>
      </c>
      <c r="V43" s="17">
        <v>4.0999999999999996</v>
      </c>
      <c r="AD43" s="1"/>
      <c r="AE43" s="3"/>
      <c r="AF43" s="2"/>
      <c r="AG43" s="2"/>
      <c r="AH43" s="2"/>
      <c r="AI43" s="3"/>
      <c r="AJ43" s="1"/>
      <c r="AK43" s="1"/>
    </row>
    <row r="44" spans="1:37" x14ac:dyDescent="0.3">
      <c r="A44" s="14">
        <v>362</v>
      </c>
      <c r="B44" s="14">
        <v>1</v>
      </c>
      <c r="C44" s="9" t="s">
        <v>0</v>
      </c>
      <c r="D44" s="9" t="s">
        <v>1208</v>
      </c>
      <c r="E44" s="9" t="s">
        <v>1274</v>
      </c>
      <c r="F44" s="9" t="s">
        <v>1275</v>
      </c>
      <c r="G44" s="9">
        <v>1</v>
      </c>
      <c r="H44" s="9"/>
      <c r="I44" s="9"/>
      <c r="J44" s="9">
        <v>1</v>
      </c>
      <c r="K44" s="9" t="b">
        <v>0</v>
      </c>
      <c r="L44" s="9" t="s">
        <v>7</v>
      </c>
      <c r="M44" s="9" t="b">
        <v>0</v>
      </c>
      <c r="N44" s="9" t="s">
        <v>1276</v>
      </c>
      <c r="O44" s="9" t="s">
        <v>3538</v>
      </c>
      <c r="P44" s="7">
        <v>1667</v>
      </c>
      <c r="Q44" s="7">
        <v>1639</v>
      </c>
      <c r="R44" s="7">
        <v>1578</v>
      </c>
      <c r="S44" s="7">
        <v>476</v>
      </c>
      <c r="T44" s="8">
        <v>2</v>
      </c>
      <c r="U44" s="8">
        <v>4.0999999999999996</v>
      </c>
      <c r="V44" s="17">
        <v>4.0999999999999996</v>
      </c>
      <c r="AD44" s="1"/>
      <c r="AE44" s="3"/>
      <c r="AF44" s="3"/>
      <c r="AG44" s="3"/>
      <c r="AH44" s="3"/>
      <c r="AI44" s="3"/>
      <c r="AJ44" s="1"/>
      <c r="AK44" s="1"/>
    </row>
    <row r="45" spans="1:37" x14ac:dyDescent="0.3">
      <c r="A45" s="14">
        <v>490</v>
      </c>
      <c r="B45" s="14">
        <v>1</v>
      </c>
      <c r="C45" s="9" t="s">
        <v>1659</v>
      </c>
      <c r="D45" s="9" t="s">
        <v>1</v>
      </c>
      <c r="E45" s="9" t="s">
        <v>1690</v>
      </c>
      <c r="F45" s="9" t="s">
        <v>1691</v>
      </c>
      <c r="G45" s="9">
        <v>1</v>
      </c>
      <c r="H45" s="9"/>
      <c r="I45" s="9" t="s">
        <v>118</v>
      </c>
      <c r="J45" s="9"/>
      <c r="K45" s="9" t="b">
        <v>0</v>
      </c>
      <c r="L45" s="9" t="s">
        <v>7</v>
      </c>
      <c r="M45" s="9" t="b">
        <v>1</v>
      </c>
      <c r="N45" s="9" t="s">
        <v>1692</v>
      </c>
      <c r="O45" s="9" t="s">
        <v>3665</v>
      </c>
      <c r="P45" s="7">
        <v>1533</v>
      </c>
      <c r="Q45" s="7">
        <v>1447</v>
      </c>
      <c r="R45" s="7">
        <v>1096</v>
      </c>
      <c r="S45" s="7">
        <v>425</v>
      </c>
      <c r="T45" s="8">
        <v>2.7</v>
      </c>
      <c r="U45" s="8">
        <v>4</v>
      </c>
      <c r="V45" s="17">
        <v>4</v>
      </c>
      <c r="AD45" s="1"/>
      <c r="AE45" s="3"/>
      <c r="AF45" s="2"/>
      <c r="AG45" s="2"/>
      <c r="AH45" s="3"/>
      <c r="AI45" s="3"/>
      <c r="AJ45" s="1"/>
      <c r="AK45" s="1"/>
    </row>
    <row r="46" spans="1:37" x14ac:dyDescent="0.3">
      <c r="A46" s="14">
        <v>643</v>
      </c>
      <c r="B46" s="14">
        <v>3</v>
      </c>
      <c r="C46" s="9" t="s">
        <v>1659</v>
      </c>
      <c r="D46" s="9" t="s">
        <v>411</v>
      </c>
      <c r="E46" s="9" t="s">
        <v>2161</v>
      </c>
      <c r="F46" s="9" t="s">
        <v>2162</v>
      </c>
      <c r="G46" s="9">
        <v>4</v>
      </c>
      <c r="H46" s="9"/>
      <c r="I46" s="9"/>
      <c r="J46" s="9"/>
      <c r="K46" s="9" t="b">
        <v>0</v>
      </c>
      <c r="L46" s="9" t="s">
        <v>194</v>
      </c>
      <c r="M46" s="9" t="b">
        <v>0</v>
      </c>
      <c r="N46" s="9" t="s">
        <v>2163</v>
      </c>
      <c r="O46" s="9" t="s">
        <v>3818</v>
      </c>
      <c r="P46" s="7">
        <v>1323</v>
      </c>
      <c r="Q46" s="7">
        <v>1273</v>
      </c>
      <c r="R46" s="7">
        <v>1204</v>
      </c>
      <c r="S46" s="7">
        <v>373</v>
      </c>
      <c r="T46" s="8">
        <v>1.9</v>
      </c>
      <c r="U46" s="8">
        <v>4</v>
      </c>
      <c r="V46" s="17">
        <v>4</v>
      </c>
      <c r="AD46" s="1"/>
      <c r="AE46" s="3"/>
      <c r="AF46" s="2"/>
      <c r="AG46" s="2"/>
      <c r="AH46" s="3"/>
      <c r="AI46" s="3"/>
      <c r="AJ46" s="1"/>
      <c r="AK46" s="1"/>
    </row>
    <row r="47" spans="1:37" x14ac:dyDescent="0.3">
      <c r="A47" s="14">
        <v>801</v>
      </c>
      <c r="B47" s="14">
        <v>1</v>
      </c>
      <c r="C47" s="9" t="s">
        <v>1659</v>
      </c>
      <c r="D47" s="9" t="s">
        <v>1077</v>
      </c>
      <c r="E47" s="9" t="s">
        <v>2647</v>
      </c>
      <c r="F47" s="9" t="s">
        <v>2648</v>
      </c>
      <c r="G47" s="9">
        <v>1</v>
      </c>
      <c r="H47" s="9"/>
      <c r="I47" s="9"/>
      <c r="J47" s="9"/>
      <c r="K47" s="9" t="b">
        <v>0</v>
      </c>
      <c r="L47" s="9" t="s">
        <v>7</v>
      </c>
      <c r="M47" s="9" t="b">
        <v>0</v>
      </c>
      <c r="N47" s="9" t="s">
        <v>2649</v>
      </c>
      <c r="O47" s="9" t="s">
        <v>3976</v>
      </c>
      <c r="P47" s="7">
        <v>1471</v>
      </c>
      <c r="Q47" s="7">
        <v>1462</v>
      </c>
      <c r="R47" s="7">
        <v>1324</v>
      </c>
      <c r="S47" s="7">
        <v>407</v>
      </c>
      <c r="T47" s="8">
        <v>1.6</v>
      </c>
      <c r="U47" s="8">
        <v>4</v>
      </c>
      <c r="V47" s="17">
        <v>4</v>
      </c>
      <c r="AD47" s="1"/>
      <c r="AE47" s="3"/>
      <c r="AF47" s="2"/>
      <c r="AG47" s="2"/>
      <c r="AH47" s="3"/>
      <c r="AI47" s="3"/>
      <c r="AJ47" s="1"/>
      <c r="AK47" s="1"/>
    </row>
    <row r="48" spans="1:37" x14ac:dyDescent="0.3">
      <c r="A48" s="14">
        <v>686</v>
      </c>
      <c r="B48" s="14">
        <v>3</v>
      </c>
      <c r="C48" s="9" t="s">
        <v>1659</v>
      </c>
      <c r="D48" s="9" t="s">
        <v>411</v>
      </c>
      <c r="E48" s="9" t="s">
        <v>2295</v>
      </c>
      <c r="F48" s="9" t="s">
        <v>2296</v>
      </c>
      <c r="G48" s="9">
        <v>1</v>
      </c>
      <c r="H48" s="9"/>
      <c r="I48" s="9"/>
      <c r="J48" s="9"/>
      <c r="K48" s="9" t="b">
        <v>0</v>
      </c>
      <c r="L48" s="9" t="s">
        <v>2298</v>
      </c>
      <c r="M48" s="9" t="b">
        <v>0</v>
      </c>
      <c r="N48" s="9" t="s">
        <v>2297</v>
      </c>
      <c r="O48" s="9" t="s">
        <v>3861</v>
      </c>
      <c r="P48" s="7" t="e">
        <v>#N/A</v>
      </c>
      <c r="Q48" s="7" t="e">
        <v>#N/A</v>
      </c>
      <c r="R48" s="7" t="e">
        <v>#N/A</v>
      </c>
      <c r="S48" s="7" t="e">
        <v>#N/A</v>
      </c>
      <c r="T48" s="8" t="e">
        <v>#N/A</v>
      </c>
      <c r="U48" s="18" t="e">
        <v>#N/A</v>
      </c>
      <c r="V48" s="19">
        <v>4</v>
      </c>
      <c r="W48" s="23" t="s">
        <v>4147</v>
      </c>
      <c r="AD48" s="1"/>
      <c r="AE48" s="3"/>
      <c r="AF48" s="3"/>
      <c r="AG48" s="3"/>
      <c r="AH48" s="3"/>
      <c r="AI48" s="3"/>
      <c r="AJ48" s="1"/>
      <c r="AK48" s="1"/>
    </row>
    <row r="49" spans="1:37" x14ac:dyDescent="0.3">
      <c r="A49" s="14">
        <v>788</v>
      </c>
      <c r="B49" s="14">
        <v>3</v>
      </c>
      <c r="C49" s="9" t="s">
        <v>1659</v>
      </c>
      <c r="D49" s="9" t="s">
        <v>411</v>
      </c>
      <c r="E49" s="9" t="s">
        <v>2608</v>
      </c>
      <c r="F49" s="9" t="s">
        <v>2609</v>
      </c>
      <c r="G49" s="9">
        <v>1</v>
      </c>
      <c r="H49" s="9"/>
      <c r="I49" s="9"/>
      <c r="J49" s="9"/>
      <c r="K49" s="9" t="b">
        <v>0</v>
      </c>
      <c r="L49" s="9" t="s">
        <v>416</v>
      </c>
      <c r="M49" s="9" t="b">
        <v>0</v>
      </c>
      <c r="N49" s="9" t="s">
        <v>2610</v>
      </c>
      <c r="O49" s="9" t="s">
        <v>3963</v>
      </c>
      <c r="P49" s="7">
        <v>1316</v>
      </c>
      <c r="Q49" s="7">
        <v>1287</v>
      </c>
      <c r="R49" s="7">
        <v>1186</v>
      </c>
      <c r="S49" s="7">
        <v>364</v>
      </c>
      <c r="T49" s="8">
        <v>2.2999999999999998</v>
      </c>
      <c r="U49" s="8">
        <v>4</v>
      </c>
      <c r="V49" s="17">
        <v>4</v>
      </c>
      <c r="AD49" s="1"/>
      <c r="AE49" s="3"/>
      <c r="AF49" s="2"/>
      <c r="AG49" s="3"/>
      <c r="AH49" s="3"/>
      <c r="AI49" s="3"/>
      <c r="AJ49" s="1"/>
      <c r="AK49" s="1"/>
    </row>
    <row r="50" spans="1:37" x14ac:dyDescent="0.3">
      <c r="A50" s="14">
        <v>14</v>
      </c>
      <c r="B50" s="14">
        <v>1</v>
      </c>
      <c r="C50" s="9" t="s">
        <v>0</v>
      </c>
      <c r="D50" s="9" t="s">
        <v>1</v>
      </c>
      <c r="E50" s="9" t="s">
        <v>53</v>
      </c>
      <c r="F50" s="9" t="s">
        <v>54</v>
      </c>
      <c r="G50" s="9">
        <v>1</v>
      </c>
      <c r="H50" s="9" t="s">
        <v>10</v>
      </c>
      <c r="I50" s="9"/>
      <c r="J50" s="9">
        <v>1</v>
      </c>
      <c r="K50" s="9" t="b">
        <v>0</v>
      </c>
      <c r="L50" s="9" t="s">
        <v>7</v>
      </c>
      <c r="M50" s="9" t="b">
        <v>0</v>
      </c>
      <c r="N50" s="9" t="s">
        <v>55</v>
      </c>
      <c r="O50" s="9" t="s">
        <v>3190</v>
      </c>
      <c r="P50" s="7">
        <v>1620</v>
      </c>
      <c r="Q50" s="7">
        <v>1610</v>
      </c>
      <c r="R50" s="7">
        <v>1528</v>
      </c>
      <c r="S50" s="7">
        <v>452</v>
      </c>
      <c r="T50" s="8">
        <v>1.9</v>
      </c>
      <c r="U50" s="8">
        <v>4</v>
      </c>
      <c r="V50" s="17">
        <v>4</v>
      </c>
      <c r="AD50" s="1"/>
      <c r="AE50" s="3"/>
      <c r="AF50" s="2"/>
      <c r="AG50" s="2"/>
      <c r="AH50" s="2"/>
      <c r="AI50" s="3"/>
      <c r="AJ50" s="1"/>
      <c r="AK50" s="1"/>
    </row>
    <row r="51" spans="1:37" x14ac:dyDescent="0.3">
      <c r="A51" s="14">
        <v>149</v>
      </c>
      <c r="B51" s="14">
        <v>3</v>
      </c>
      <c r="C51" s="9" t="s">
        <v>0</v>
      </c>
      <c r="D51" s="9" t="s">
        <v>411</v>
      </c>
      <c r="E51" s="9" t="s">
        <v>566</v>
      </c>
      <c r="F51" s="9" t="s">
        <v>567</v>
      </c>
      <c r="G51" s="9">
        <v>1</v>
      </c>
      <c r="H51" s="9" t="s">
        <v>26</v>
      </c>
      <c r="I51" s="9"/>
      <c r="J51" s="9">
        <v>1</v>
      </c>
      <c r="K51" s="9" t="b">
        <v>0</v>
      </c>
      <c r="L51" s="9" t="s">
        <v>416</v>
      </c>
      <c r="M51" s="9" t="b">
        <v>0</v>
      </c>
      <c r="N51" s="9" t="s">
        <v>568</v>
      </c>
      <c r="O51" s="9" t="s">
        <v>3325</v>
      </c>
      <c r="P51" s="7">
        <v>541</v>
      </c>
      <c r="Q51" s="7">
        <v>532</v>
      </c>
      <c r="R51" s="7">
        <v>493</v>
      </c>
      <c r="S51" s="7">
        <v>151</v>
      </c>
      <c r="T51" s="8">
        <v>2.7</v>
      </c>
      <c r="U51" s="8">
        <v>4</v>
      </c>
      <c r="V51" s="17">
        <v>4</v>
      </c>
      <c r="AD51" s="1"/>
      <c r="AE51" s="3"/>
      <c r="AF51" s="2"/>
      <c r="AG51" s="2"/>
      <c r="AH51" s="3"/>
      <c r="AI51" s="3"/>
      <c r="AJ51" s="1"/>
      <c r="AK51" s="1"/>
    </row>
    <row r="52" spans="1:37" x14ac:dyDescent="0.3">
      <c r="A52" s="14">
        <v>370</v>
      </c>
      <c r="B52" s="14">
        <v>1</v>
      </c>
      <c r="C52" s="9" t="s">
        <v>0</v>
      </c>
      <c r="D52" s="9" t="s">
        <v>1208</v>
      </c>
      <c r="E52" s="9" t="s">
        <v>1301</v>
      </c>
      <c r="F52" s="9" t="s">
        <v>1302</v>
      </c>
      <c r="G52" s="9">
        <v>1</v>
      </c>
      <c r="H52" s="9" t="s">
        <v>84</v>
      </c>
      <c r="I52" s="9"/>
      <c r="J52" s="9"/>
      <c r="K52" s="9" t="b">
        <v>0</v>
      </c>
      <c r="L52" s="9" t="s">
        <v>7</v>
      </c>
      <c r="M52" s="9" t="b">
        <v>1</v>
      </c>
      <c r="N52" s="9" t="s">
        <v>1303</v>
      </c>
      <c r="O52" s="9" t="s">
        <v>3546</v>
      </c>
      <c r="P52" s="7">
        <v>1631</v>
      </c>
      <c r="Q52" s="7">
        <v>1565</v>
      </c>
      <c r="R52" s="7">
        <v>1314</v>
      </c>
      <c r="S52" s="7">
        <v>461</v>
      </c>
      <c r="T52" s="8">
        <v>2.5</v>
      </c>
      <c r="U52" s="8">
        <v>4</v>
      </c>
      <c r="V52" s="17">
        <v>4</v>
      </c>
      <c r="AD52" s="1"/>
      <c r="AE52" s="3"/>
      <c r="AF52" s="3"/>
      <c r="AG52" s="3"/>
      <c r="AH52" s="3"/>
      <c r="AI52" s="3"/>
      <c r="AJ52" s="1"/>
      <c r="AK52" s="1"/>
    </row>
    <row r="53" spans="1:37" x14ac:dyDescent="0.3">
      <c r="A53" s="14">
        <v>467</v>
      </c>
      <c r="B53" s="14">
        <v>2</v>
      </c>
      <c r="C53" s="9" t="s">
        <v>0</v>
      </c>
      <c r="D53" s="9" t="s">
        <v>1457</v>
      </c>
      <c r="E53" s="9" t="s">
        <v>1617</v>
      </c>
      <c r="F53" s="9" t="s">
        <v>1618</v>
      </c>
      <c r="G53" s="9">
        <v>1</v>
      </c>
      <c r="H53" s="9" t="s">
        <v>26</v>
      </c>
      <c r="I53" s="9"/>
      <c r="J53" s="9">
        <v>1</v>
      </c>
      <c r="K53" s="9" t="b">
        <v>0</v>
      </c>
      <c r="L53" s="9" t="s">
        <v>1496</v>
      </c>
      <c r="M53" s="9" t="b">
        <v>0</v>
      </c>
      <c r="N53" s="9" t="s">
        <v>1619</v>
      </c>
      <c r="O53" s="9" t="s">
        <v>3642</v>
      </c>
      <c r="P53" s="7">
        <v>1574</v>
      </c>
      <c r="Q53" s="7">
        <v>1535</v>
      </c>
      <c r="R53" s="7">
        <v>1467</v>
      </c>
      <c r="S53" s="7">
        <v>437</v>
      </c>
      <c r="T53" s="8">
        <v>2.7</v>
      </c>
      <c r="U53" s="8">
        <v>4</v>
      </c>
      <c r="V53" s="17">
        <v>4</v>
      </c>
      <c r="AD53" s="1"/>
      <c r="AE53" s="3"/>
      <c r="AF53" s="2"/>
      <c r="AG53" s="3"/>
      <c r="AH53" s="3"/>
      <c r="AI53" s="3"/>
      <c r="AJ53" s="1"/>
      <c r="AK53" s="1"/>
    </row>
    <row r="54" spans="1:37" x14ac:dyDescent="0.3">
      <c r="A54" s="14">
        <v>260</v>
      </c>
      <c r="B54" s="14">
        <v>3</v>
      </c>
      <c r="C54" s="9" t="s">
        <v>0</v>
      </c>
      <c r="D54" s="9" t="s">
        <v>411</v>
      </c>
      <c r="E54" s="9" t="s">
        <v>944</v>
      </c>
      <c r="F54" s="9" t="s">
        <v>945</v>
      </c>
      <c r="G54" s="9">
        <v>1</v>
      </c>
      <c r="H54" s="9"/>
      <c r="I54" s="9" t="s">
        <v>946</v>
      </c>
      <c r="J54" s="9"/>
      <c r="K54" s="9" t="b">
        <v>0</v>
      </c>
      <c r="L54" s="9" t="s">
        <v>185</v>
      </c>
      <c r="M54" s="9" t="b">
        <v>1</v>
      </c>
      <c r="N54" s="9" t="s">
        <v>947</v>
      </c>
      <c r="O54" s="9" t="s">
        <v>3436</v>
      </c>
      <c r="P54" s="7">
        <v>1327</v>
      </c>
      <c r="Q54" s="7">
        <v>1314</v>
      </c>
      <c r="R54" s="7">
        <v>1124</v>
      </c>
      <c r="S54" s="7">
        <v>373</v>
      </c>
      <c r="T54" s="8">
        <v>2</v>
      </c>
      <c r="U54" s="8">
        <v>4</v>
      </c>
      <c r="V54" s="17">
        <v>4</v>
      </c>
      <c r="AD54" s="1"/>
      <c r="AE54" s="3"/>
      <c r="AF54" s="2"/>
      <c r="AG54" s="3"/>
      <c r="AH54" s="3"/>
      <c r="AI54" s="3"/>
      <c r="AJ54" s="1"/>
      <c r="AK54" s="1"/>
    </row>
    <row r="55" spans="1:37" x14ac:dyDescent="0.3">
      <c r="A55" s="14">
        <v>377</v>
      </c>
      <c r="B55" s="14">
        <v>1</v>
      </c>
      <c r="C55" s="9" t="s">
        <v>0</v>
      </c>
      <c r="D55" s="9" t="s">
        <v>1208</v>
      </c>
      <c r="E55" s="9" t="s">
        <v>1323</v>
      </c>
      <c r="F55" s="9" t="s">
        <v>1324</v>
      </c>
      <c r="G55" s="9">
        <v>1</v>
      </c>
      <c r="H55" s="9" t="s">
        <v>4</v>
      </c>
      <c r="I55" s="9"/>
      <c r="J55" s="9">
        <v>2</v>
      </c>
      <c r="K55" s="9" t="b">
        <v>0</v>
      </c>
      <c r="L55" s="9" t="s">
        <v>7</v>
      </c>
      <c r="M55" s="9" t="b">
        <v>0</v>
      </c>
      <c r="N55" s="9" t="s">
        <v>1325</v>
      </c>
      <c r="O55" s="9" t="s">
        <v>3553</v>
      </c>
      <c r="P55" s="7">
        <v>1603</v>
      </c>
      <c r="Q55" s="7">
        <v>1601</v>
      </c>
      <c r="R55" s="7">
        <v>1401</v>
      </c>
      <c r="S55" s="7">
        <v>453</v>
      </c>
      <c r="T55" s="8">
        <v>1.6</v>
      </c>
      <c r="U55" s="8">
        <v>4</v>
      </c>
      <c r="V55" s="17">
        <v>4</v>
      </c>
      <c r="AD55" s="1"/>
      <c r="AE55" s="3"/>
      <c r="AF55" s="2"/>
      <c r="AG55" s="2"/>
      <c r="AH55" s="3"/>
      <c r="AI55" s="3"/>
      <c r="AJ55" s="1"/>
      <c r="AK55" s="1"/>
    </row>
    <row r="56" spans="1:37" x14ac:dyDescent="0.3">
      <c r="A56" s="14">
        <v>298</v>
      </c>
      <c r="B56" s="14">
        <v>3</v>
      </c>
      <c r="C56" s="9" t="s">
        <v>0</v>
      </c>
      <c r="D56" s="9" t="s">
        <v>411</v>
      </c>
      <c r="E56" s="9" t="s">
        <v>1063</v>
      </c>
      <c r="F56" s="9" t="s">
        <v>1064</v>
      </c>
      <c r="G56" s="9">
        <v>1</v>
      </c>
      <c r="H56" s="9" t="s">
        <v>84</v>
      </c>
      <c r="I56" s="9"/>
      <c r="J56" s="9">
        <v>1</v>
      </c>
      <c r="K56" s="9" t="b">
        <v>0</v>
      </c>
      <c r="L56" s="9" t="s">
        <v>430</v>
      </c>
      <c r="M56" s="9" t="b">
        <v>0</v>
      </c>
      <c r="N56" s="9" t="s">
        <v>1065</v>
      </c>
      <c r="O56" s="9" t="s">
        <v>3474</v>
      </c>
      <c r="P56" s="7">
        <v>1295</v>
      </c>
      <c r="Q56" s="7">
        <v>1263</v>
      </c>
      <c r="R56" s="7">
        <v>1143</v>
      </c>
      <c r="S56" s="7">
        <v>363</v>
      </c>
      <c r="T56" s="8">
        <v>3</v>
      </c>
      <c r="U56" s="8">
        <v>4</v>
      </c>
      <c r="V56" s="17">
        <v>4</v>
      </c>
      <c r="AD56" s="1"/>
      <c r="AE56" s="3"/>
      <c r="AF56" s="2"/>
      <c r="AG56" s="2"/>
      <c r="AH56" s="3"/>
      <c r="AI56" s="3"/>
      <c r="AJ56" s="1"/>
      <c r="AK56" s="1"/>
    </row>
    <row r="57" spans="1:37" x14ac:dyDescent="0.3">
      <c r="A57" s="14">
        <v>831</v>
      </c>
      <c r="B57" s="14">
        <v>1</v>
      </c>
      <c r="C57" s="9" t="s">
        <v>1659</v>
      </c>
      <c r="D57" s="9" t="s">
        <v>1208</v>
      </c>
      <c r="E57" s="9" t="s">
        <v>2737</v>
      </c>
      <c r="F57" s="9" t="s">
        <v>2738</v>
      </c>
      <c r="G57" s="9">
        <v>4</v>
      </c>
      <c r="H57" s="9"/>
      <c r="I57" s="9"/>
      <c r="J57" s="9"/>
      <c r="K57" s="9" t="b">
        <v>0</v>
      </c>
      <c r="L57" s="9" t="s">
        <v>7</v>
      </c>
      <c r="M57" s="9" t="b">
        <v>0</v>
      </c>
      <c r="N57" s="9" t="s">
        <v>2739</v>
      </c>
      <c r="O57" s="9" t="s">
        <v>4006</v>
      </c>
      <c r="P57" s="7">
        <v>1584</v>
      </c>
      <c r="Q57" s="7">
        <v>1580</v>
      </c>
      <c r="R57" s="7">
        <v>1517</v>
      </c>
      <c r="S57" s="7">
        <v>428</v>
      </c>
      <c r="T57" s="8">
        <v>1.7</v>
      </c>
      <c r="U57" s="8">
        <v>3.9</v>
      </c>
      <c r="V57" s="17">
        <v>3.9</v>
      </c>
      <c r="AD57" s="1"/>
      <c r="AE57" s="3"/>
      <c r="AF57" s="2"/>
      <c r="AG57" s="3"/>
      <c r="AH57" s="3"/>
      <c r="AI57" s="3"/>
      <c r="AJ57" s="1"/>
      <c r="AK57" s="1"/>
    </row>
    <row r="58" spans="1:37" x14ac:dyDescent="0.3">
      <c r="A58" s="14">
        <v>612</v>
      </c>
      <c r="B58" s="14">
        <v>3</v>
      </c>
      <c r="C58" s="9" t="s">
        <v>1659</v>
      </c>
      <c r="D58" s="9" t="s">
        <v>411</v>
      </c>
      <c r="E58" s="9" t="s">
        <v>2065</v>
      </c>
      <c r="F58" s="9" t="s">
        <v>2066</v>
      </c>
      <c r="G58" s="9">
        <v>3</v>
      </c>
      <c r="H58" s="9"/>
      <c r="I58" s="9"/>
      <c r="J58" s="9"/>
      <c r="K58" s="9" t="b">
        <v>0</v>
      </c>
      <c r="L58" s="9" t="s">
        <v>1897</v>
      </c>
      <c r="M58" s="9" t="b">
        <v>1</v>
      </c>
      <c r="N58" s="9" t="s">
        <v>2067</v>
      </c>
      <c r="O58" s="9" t="s">
        <v>3787</v>
      </c>
      <c r="P58" s="7">
        <v>1233</v>
      </c>
      <c r="Q58" s="7">
        <v>1213</v>
      </c>
      <c r="R58" s="7">
        <v>1132</v>
      </c>
      <c r="S58" s="7">
        <v>337</v>
      </c>
      <c r="T58" s="8">
        <v>2.2000000000000002</v>
      </c>
      <c r="U58" s="8">
        <v>3.9</v>
      </c>
      <c r="V58" s="17">
        <v>3.9</v>
      </c>
      <c r="AD58" s="1"/>
      <c r="AE58" s="3"/>
      <c r="AF58" s="2"/>
      <c r="AG58" s="2"/>
      <c r="AH58" s="3"/>
      <c r="AI58" s="3"/>
      <c r="AJ58" s="1"/>
      <c r="AK58" s="1"/>
    </row>
    <row r="59" spans="1:37" x14ac:dyDescent="0.3">
      <c r="A59" s="14">
        <v>503</v>
      </c>
      <c r="B59" s="14">
        <v>1</v>
      </c>
      <c r="C59" s="9" t="s">
        <v>1659</v>
      </c>
      <c r="D59" s="9" t="s">
        <v>1</v>
      </c>
      <c r="E59" s="9" t="s">
        <v>1729</v>
      </c>
      <c r="F59" s="9" t="s">
        <v>1730</v>
      </c>
      <c r="G59" s="9">
        <v>4</v>
      </c>
      <c r="H59" s="9"/>
      <c r="I59" s="9"/>
      <c r="J59" s="9"/>
      <c r="K59" s="9" t="b">
        <v>0</v>
      </c>
      <c r="L59" s="9" t="s">
        <v>7</v>
      </c>
      <c r="M59" s="9" t="b">
        <v>0</v>
      </c>
      <c r="N59" s="9" t="s">
        <v>1731</v>
      </c>
      <c r="O59" s="9" t="s">
        <v>3678</v>
      </c>
      <c r="P59" s="7">
        <v>1537</v>
      </c>
      <c r="Q59" s="7">
        <v>1490</v>
      </c>
      <c r="R59" s="7">
        <v>1370</v>
      </c>
      <c r="S59" s="7">
        <v>416</v>
      </c>
      <c r="T59" s="8">
        <v>2.2999999999999998</v>
      </c>
      <c r="U59" s="8">
        <v>3.9</v>
      </c>
      <c r="V59" s="17">
        <v>3.9</v>
      </c>
      <c r="AD59" s="1"/>
      <c r="AE59" s="3"/>
      <c r="AF59" s="2"/>
      <c r="AG59" s="2"/>
      <c r="AH59" s="3"/>
      <c r="AI59" s="3"/>
      <c r="AJ59" s="1"/>
      <c r="AK59" s="1"/>
    </row>
    <row r="60" spans="1:37" x14ac:dyDescent="0.3">
      <c r="A60" s="14">
        <v>936</v>
      </c>
      <c r="B60" s="14">
        <v>2</v>
      </c>
      <c r="C60" s="9" t="s">
        <v>1659</v>
      </c>
      <c r="D60" s="9" t="s">
        <v>1457</v>
      </c>
      <c r="E60" s="9" t="s">
        <v>3055</v>
      </c>
      <c r="F60" s="9" t="s">
        <v>3056</v>
      </c>
      <c r="G60" s="9">
        <v>3</v>
      </c>
      <c r="H60" s="9"/>
      <c r="I60" s="9"/>
      <c r="J60" s="9"/>
      <c r="K60" s="9" t="b">
        <v>0</v>
      </c>
      <c r="L60" s="9" t="s">
        <v>3000</v>
      </c>
      <c r="M60" s="9" t="b">
        <v>1</v>
      </c>
      <c r="N60" s="9" t="s">
        <v>3057</v>
      </c>
      <c r="O60" s="9" t="s">
        <v>4108</v>
      </c>
      <c r="P60" s="7">
        <v>1480</v>
      </c>
      <c r="Q60" s="7">
        <v>1442</v>
      </c>
      <c r="R60" s="7">
        <v>1360</v>
      </c>
      <c r="S60" s="7">
        <v>402</v>
      </c>
      <c r="T60" s="8">
        <v>2.7</v>
      </c>
      <c r="U60" s="8">
        <v>3.9</v>
      </c>
      <c r="V60" s="17">
        <v>3.9</v>
      </c>
      <c r="AD60" s="1"/>
      <c r="AE60" s="3"/>
      <c r="AF60" s="2"/>
      <c r="AG60" s="2"/>
      <c r="AH60" s="3"/>
      <c r="AI60" s="3"/>
      <c r="AJ60" s="1"/>
      <c r="AK60" s="1"/>
    </row>
    <row r="61" spans="1:37" x14ac:dyDescent="0.3">
      <c r="A61" s="14">
        <v>683</v>
      </c>
      <c r="B61" s="14">
        <v>3</v>
      </c>
      <c r="C61" s="9" t="s">
        <v>1659</v>
      </c>
      <c r="D61" s="9" t="s">
        <v>411</v>
      </c>
      <c r="E61" s="9" t="s">
        <v>2286</v>
      </c>
      <c r="F61" s="9" t="s">
        <v>2287</v>
      </c>
      <c r="G61" s="9">
        <v>4</v>
      </c>
      <c r="H61" s="9"/>
      <c r="I61" s="9"/>
      <c r="J61" s="9"/>
      <c r="K61" s="9" t="b">
        <v>0</v>
      </c>
      <c r="L61" s="9" t="s">
        <v>430</v>
      </c>
      <c r="M61" s="9" t="b">
        <v>0</v>
      </c>
      <c r="N61" s="9" t="s">
        <v>2288</v>
      </c>
      <c r="O61" s="9" t="s">
        <v>3858</v>
      </c>
      <c r="P61" s="7">
        <v>1220</v>
      </c>
      <c r="Q61" s="7">
        <v>1128</v>
      </c>
      <c r="R61" s="7">
        <v>996</v>
      </c>
      <c r="S61" s="7">
        <v>336</v>
      </c>
      <c r="T61" s="8">
        <v>2.5</v>
      </c>
      <c r="U61" s="8">
        <v>3.9</v>
      </c>
      <c r="V61" s="17">
        <v>3.9</v>
      </c>
      <c r="AD61" s="1"/>
      <c r="AE61" s="3"/>
      <c r="AF61" s="2"/>
      <c r="AG61" s="3"/>
      <c r="AH61" s="3"/>
      <c r="AI61" s="3"/>
      <c r="AJ61" s="1"/>
      <c r="AK61" s="1"/>
    </row>
    <row r="62" spans="1:37" x14ac:dyDescent="0.3">
      <c r="A62" s="14">
        <v>717</v>
      </c>
      <c r="B62" s="14">
        <v>3</v>
      </c>
      <c r="C62" s="9" t="s">
        <v>1659</v>
      </c>
      <c r="D62" s="9" t="s">
        <v>411</v>
      </c>
      <c r="E62" s="9" t="s">
        <v>2390</v>
      </c>
      <c r="F62" s="9" t="s">
        <v>2391</v>
      </c>
      <c r="G62" s="9">
        <v>1</v>
      </c>
      <c r="H62" s="9"/>
      <c r="I62" s="9"/>
      <c r="J62" s="9"/>
      <c r="K62" s="9" t="b">
        <v>0</v>
      </c>
      <c r="L62" s="9" t="s">
        <v>223</v>
      </c>
      <c r="M62" s="9" t="b">
        <v>0</v>
      </c>
      <c r="N62" s="9" t="s">
        <v>2392</v>
      </c>
      <c r="O62" s="9" t="s">
        <v>3892</v>
      </c>
      <c r="P62" s="7">
        <v>1129</v>
      </c>
      <c r="Q62" s="7">
        <v>1037</v>
      </c>
      <c r="R62" s="7">
        <v>925</v>
      </c>
      <c r="S62" s="7">
        <v>305</v>
      </c>
      <c r="T62" s="8">
        <v>4.2</v>
      </c>
      <c r="U62" s="8">
        <v>3.9</v>
      </c>
      <c r="V62" s="17">
        <v>3.9</v>
      </c>
      <c r="AD62" s="1"/>
      <c r="AE62" s="3"/>
      <c r="AF62" s="2"/>
      <c r="AG62" s="2"/>
      <c r="AH62" s="2"/>
      <c r="AI62" s="3"/>
      <c r="AJ62" s="1"/>
      <c r="AK62" s="1"/>
    </row>
    <row r="63" spans="1:37" x14ac:dyDescent="0.3">
      <c r="A63" s="14">
        <v>526</v>
      </c>
      <c r="B63" s="14">
        <v>1</v>
      </c>
      <c r="C63" s="9" t="s">
        <v>1659</v>
      </c>
      <c r="D63" s="9" t="s">
        <v>1</v>
      </c>
      <c r="E63" s="9" t="s">
        <v>1798</v>
      </c>
      <c r="F63" s="9" t="s">
        <v>1799</v>
      </c>
      <c r="G63" s="9">
        <v>4</v>
      </c>
      <c r="H63" s="9"/>
      <c r="I63" s="9"/>
      <c r="J63" s="9"/>
      <c r="K63" s="9" t="b">
        <v>0</v>
      </c>
      <c r="L63" s="9" t="s">
        <v>7</v>
      </c>
      <c r="M63" s="9" t="b">
        <v>0</v>
      </c>
      <c r="N63" s="9" t="s">
        <v>1800</v>
      </c>
      <c r="O63" s="9" t="s">
        <v>3701</v>
      </c>
      <c r="P63" s="7">
        <v>1542</v>
      </c>
      <c r="Q63" s="7">
        <v>1540</v>
      </c>
      <c r="R63" s="7">
        <v>1485</v>
      </c>
      <c r="S63" s="7">
        <v>425</v>
      </c>
      <c r="T63" s="8">
        <v>1.9</v>
      </c>
      <c r="U63" s="8">
        <v>3.9</v>
      </c>
      <c r="V63" s="17">
        <v>3.9</v>
      </c>
      <c r="AD63" s="1"/>
      <c r="AE63" s="3"/>
      <c r="AF63" s="2"/>
      <c r="AG63" s="2"/>
      <c r="AH63" s="3"/>
      <c r="AI63" s="3"/>
      <c r="AJ63" s="1"/>
      <c r="AK63" s="1"/>
    </row>
    <row r="64" spans="1:37" x14ac:dyDescent="0.3">
      <c r="A64" s="14">
        <v>851</v>
      </c>
      <c r="B64" s="14">
        <v>1</v>
      </c>
      <c r="C64" s="9" t="s">
        <v>1659</v>
      </c>
      <c r="D64" s="9" t="s">
        <v>1208</v>
      </c>
      <c r="E64" s="9" t="s">
        <v>2797</v>
      </c>
      <c r="F64" s="9" t="s">
        <v>2798</v>
      </c>
      <c r="G64" s="9">
        <v>4</v>
      </c>
      <c r="H64" s="9"/>
      <c r="I64" s="9"/>
      <c r="J64" s="9"/>
      <c r="K64" s="9" t="b">
        <v>0</v>
      </c>
      <c r="L64" s="9" t="s">
        <v>7</v>
      </c>
      <c r="M64" s="9" t="b">
        <v>0</v>
      </c>
      <c r="N64" s="9" t="s">
        <v>2799</v>
      </c>
      <c r="O64" s="9" t="s">
        <v>4026</v>
      </c>
      <c r="P64" s="7">
        <v>1406</v>
      </c>
      <c r="Q64" s="7">
        <v>1393</v>
      </c>
      <c r="R64" s="7">
        <v>1333</v>
      </c>
      <c r="S64" s="7">
        <v>385</v>
      </c>
      <c r="T64" s="8">
        <v>1.6</v>
      </c>
      <c r="U64" s="8">
        <v>3.9</v>
      </c>
      <c r="V64" s="17">
        <v>3.9</v>
      </c>
      <c r="AD64" s="1"/>
      <c r="AE64" s="3"/>
      <c r="AF64" s="3"/>
      <c r="AG64" s="3"/>
      <c r="AH64" s="3"/>
      <c r="AI64" s="3"/>
      <c r="AJ64" s="1"/>
      <c r="AK64" s="1"/>
    </row>
    <row r="65" spans="1:37" x14ac:dyDescent="0.3">
      <c r="A65" s="14">
        <v>1</v>
      </c>
      <c r="B65" s="14">
        <v>1</v>
      </c>
      <c r="C65" s="9" t="s">
        <v>0</v>
      </c>
      <c r="D65" s="9" t="s">
        <v>1</v>
      </c>
      <c r="E65" s="9" t="s">
        <v>2</v>
      </c>
      <c r="F65" s="9" t="s">
        <v>3</v>
      </c>
      <c r="G65" s="9">
        <v>1</v>
      </c>
      <c r="H65" s="9" t="s">
        <v>4</v>
      </c>
      <c r="I65" s="9" t="s">
        <v>5</v>
      </c>
      <c r="J65" s="9">
        <v>1</v>
      </c>
      <c r="K65" s="9" t="b">
        <v>0</v>
      </c>
      <c r="L65" s="9" t="s">
        <v>7</v>
      </c>
      <c r="M65" s="9" t="b">
        <v>0</v>
      </c>
      <c r="N65" s="9" t="s">
        <v>6</v>
      </c>
      <c r="O65" s="9" t="s">
        <v>3177</v>
      </c>
      <c r="P65" s="7">
        <v>1603</v>
      </c>
      <c r="Q65" s="7">
        <v>1603</v>
      </c>
      <c r="R65" s="7">
        <v>1393</v>
      </c>
      <c r="S65" s="7">
        <v>433</v>
      </c>
      <c r="T65" s="8">
        <v>1.3</v>
      </c>
      <c r="U65" s="8">
        <v>3.9</v>
      </c>
      <c r="V65" s="17">
        <v>3.9</v>
      </c>
      <c r="AD65" s="1"/>
      <c r="AE65" s="3"/>
      <c r="AF65" s="2"/>
      <c r="AG65" s="2"/>
      <c r="AH65" s="3"/>
      <c r="AI65" s="3"/>
      <c r="AJ65" s="1"/>
      <c r="AK65" s="1"/>
    </row>
    <row r="66" spans="1:37" x14ac:dyDescent="0.3">
      <c r="A66" s="14">
        <v>3</v>
      </c>
      <c r="B66" s="14">
        <v>1</v>
      </c>
      <c r="C66" s="9" t="s">
        <v>0</v>
      </c>
      <c r="D66" s="9" t="s">
        <v>1</v>
      </c>
      <c r="E66" s="9" t="s">
        <v>12</v>
      </c>
      <c r="F66" s="9" t="s">
        <v>13</v>
      </c>
      <c r="G66" s="9">
        <v>1</v>
      </c>
      <c r="H66" s="9"/>
      <c r="I66" s="9" t="s">
        <v>14</v>
      </c>
      <c r="J66" s="9"/>
      <c r="K66" s="9" t="b">
        <v>0</v>
      </c>
      <c r="L66" s="9" t="s">
        <v>7</v>
      </c>
      <c r="M66" s="9" t="b">
        <v>0</v>
      </c>
      <c r="N66" s="9" t="s">
        <v>15</v>
      </c>
      <c r="O66" s="9" t="s">
        <v>3179</v>
      </c>
      <c r="P66" s="7">
        <v>1623</v>
      </c>
      <c r="Q66" s="7">
        <v>1613</v>
      </c>
      <c r="R66" s="7">
        <v>1476</v>
      </c>
      <c r="S66" s="7">
        <v>445</v>
      </c>
      <c r="T66" s="8">
        <v>1.5</v>
      </c>
      <c r="U66" s="8">
        <v>3.9</v>
      </c>
      <c r="V66" s="17">
        <v>3.9</v>
      </c>
      <c r="AD66" s="1"/>
      <c r="AE66" s="3"/>
      <c r="AF66" s="2"/>
      <c r="AG66" s="3"/>
      <c r="AH66" s="3"/>
      <c r="AI66" s="3"/>
      <c r="AJ66" s="1"/>
      <c r="AK66" s="1"/>
    </row>
    <row r="67" spans="1:37" x14ac:dyDescent="0.3">
      <c r="A67" s="14">
        <v>11</v>
      </c>
      <c r="B67" s="14">
        <v>1</v>
      </c>
      <c r="C67" s="9" t="s">
        <v>0</v>
      </c>
      <c r="D67" s="9" t="s">
        <v>1</v>
      </c>
      <c r="E67" s="9" t="s">
        <v>40</v>
      </c>
      <c r="F67" s="9" t="s">
        <v>41</v>
      </c>
      <c r="G67" s="9">
        <v>1</v>
      </c>
      <c r="H67" s="9" t="s">
        <v>42</v>
      </c>
      <c r="I67" s="9"/>
      <c r="J67" s="9">
        <v>1</v>
      </c>
      <c r="K67" s="9" t="b">
        <v>0</v>
      </c>
      <c r="L67" s="9" t="s">
        <v>7</v>
      </c>
      <c r="M67" s="9" t="b">
        <v>0</v>
      </c>
      <c r="N67" s="9" t="s">
        <v>43</v>
      </c>
      <c r="O67" s="9" t="s">
        <v>3187</v>
      </c>
      <c r="P67" s="7">
        <v>1533</v>
      </c>
      <c r="Q67" s="7">
        <v>1476</v>
      </c>
      <c r="R67" s="7">
        <v>1368</v>
      </c>
      <c r="S67" s="7">
        <v>415</v>
      </c>
      <c r="T67" s="8">
        <v>3.1</v>
      </c>
      <c r="U67" s="8">
        <v>3.9</v>
      </c>
      <c r="V67" s="17">
        <v>3.9</v>
      </c>
      <c r="AD67" s="1"/>
      <c r="AE67" s="3"/>
      <c r="AF67" s="2"/>
      <c r="AG67" s="3"/>
      <c r="AH67" s="3"/>
      <c r="AI67" s="3"/>
      <c r="AJ67" s="1"/>
      <c r="AK67" s="1"/>
    </row>
    <row r="68" spans="1:37" x14ac:dyDescent="0.3">
      <c r="A68" s="14">
        <v>351</v>
      </c>
      <c r="B68" s="14">
        <v>1</v>
      </c>
      <c r="C68" s="9" t="s">
        <v>0</v>
      </c>
      <c r="D68" s="9" t="s">
        <v>1208</v>
      </c>
      <c r="E68" s="9" t="s">
        <v>1241</v>
      </c>
      <c r="F68" s="9" t="s">
        <v>1242</v>
      </c>
      <c r="G68" s="9">
        <v>1</v>
      </c>
      <c r="H68" s="9"/>
      <c r="I68" s="9" t="s">
        <v>1243</v>
      </c>
      <c r="J68" s="9"/>
      <c r="K68" s="9" t="b">
        <v>1</v>
      </c>
      <c r="L68" s="9" t="s">
        <v>7</v>
      </c>
      <c r="M68" s="9" t="b">
        <v>0</v>
      </c>
      <c r="N68" s="9" t="s">
        <v>1244</v>
      </c>
      <c r="O68" s="9" t="s">
        <v>3527</v>
      </c>
      <c r="P68" s="7">
        <v>1462</v>
      </c>
      <c r="Q68" s="7">
        <v>1376</v>
      </c>
      <c r="R68" s="7">
        <v>1112</v>
      </c>
      <c r="S68" s="7">
        <v>397</v>
      </c>
      <c r="T68" s="8">
        <v>2.2999999999999998</v>
      </c>
      <c r="U68" s="8">
        <v>3.9</v>
      </c>
      <c r="V68" s="17">
        <v>3.9</v>
      </c>
      <c r="AD68" s="1"/>
      <c r="AE68" s="3"/>
      <c r="AF68" s="2"/>
      <c r="AG68" s="2"/>
      <c r="AH68" s="2"/>
      <c r="AI68" s="3"/>
      <c r="AJ68" s="1"/>
      <c r="AK68" s="1"/>
    </row>
    <row r="69" spans="1:37" x14ac:dyDescent="0.3">
      <c r="A69" s="14">
        <v>437</v>
      </c>
      <c r="B69" s="14">
        <v>2</v>
      </c>
      <c r="C69" s="9" t="s">
        <v>0</v>
      </c>
      <c r="D69" s="9" t="s">
        <v>1457</v>
      </c>
      <c r="E69" s="9" t="s">
        <v>1515</v>
      </c>
      <c r="F69" s="9" t="s">
        <v>1516</v>
      </c>
      <c r="G69" s="9">
        <v>1</v>
      </c>
      <c r="H69" s="9" t="s">
        <v>84</v>
      </c>
      <c r="I69" s="9"/>
      <c r="J69" s="9">
        <v>1</v>
      </c>
      <c r="K69" s="9" t="b">
        <v>0</v>
      </c>
      <c r="L69" s="9" t="s">
        <v>332</v>
      </c>
      <c r="M69" s="9" t="b">
        <v>0</v>
      </c>
      <c r="N69" s="9" t="s">
        <v>1517</v>
      </c>
      <c r="O69" s="9" t="s">
        <v>3612</v>
      </c>
      <c r="P69" s="7">
        <v>1594</v>
      </c>
      <c r="Q69" s="7">
        <v>1567</v>
      </c>
      <c r="R69" s="7">
        <v>1405</v>
      </c>
      <c r="S69" s="7">
        <v>439</v>
      </c>
      <c r="T69" s="8">
        <v>2.5</v>
      </c>
      <c r="U69" s="8">
        <v>3.9</v>
      </c>
      <c r="V69" s="17">
        <v>3.9</v>
      </c>
      <c r="AD69" s="1"/>
      <c r="AE69" s="3"/>
      <c r="AF69" s="2"/>
      <c r="AG69" s="3"/>
      <c r="AH69" s="3"/>
      <c r="AI69" s="3"/>
      <c r="AJ69" s="1"/>
      <c r="AK69" s="1"/>
    </row>
    <row r="70" spans="1:37" x14ac:dyDescent="0.3">
      <c r="A70" s="14">
        <v>324</v>
      </c>
      <c r="B70" s="14">
        <v>1</v>
      </c>
      <c r="C70" s="9" t="s">
        <v>0</v>
      </c>
      <c r="D70" s="9" t="s">
        <v>1077</v>
      </c>
      <c r="E70" s="9" t="s">
        <v>1151</v>
      </c>
      <c r="F70" s="9" t="s">
        <v>1152</v>
      </c>
      <c r="G70" s="9">
        <v>1</v>
      </c>
      <c r="H70" s="9" t="s">
        <v>26</v>
      </c>
      <c r="I70" s="9"/>
      <c r="J70" s="9"/>
      <c r="K70" s="9" t="b">
        <v>0</v>
      </c>
      <c r="L70" s="9" t="s">
        <v>7</v>
      </c>
      <c r="M70" s="9" t="b">
        <v>0</v>
      </c>
      <c r="N70" s="9" t="s">
        <v>1153</v>
      </c>
      <c r="O70" s="9" t="s">
        <v>3500</v>
      </c>
      <c r="P70" s="7">
        <v>1539</v>
      </c>
      <c r="Q70" s="7">
        <v>1432</v>
      </c>
      <c r="R70" s="7">
        <v>1324</v>
      </c>
      <c r="S70" s="7">
        <v>415</v>
      </c>
      <c r="T70" s="8">
        <v>3.3</v>
      </c>
      <c r="U70" s="8">
        <v>3.9</v>
      </c>
      <c r="V70" s="17">
        <v>3.9</v>
      </c>
      <c r="AD70" s="1"/>
      <c r="AE70" s="3"/>
      <c r="AF70" s="2"/>
      <c r="AG70" s="3"/>
      <c r="AH70" s="3"/>
      <c r="AI70" s="3"/>
      <c r="AJ70" s="1"/>
      <c r="AK70" s="1"/>
    </row>
    <row r="71" spans="1:37" x14ac:dyDescent="0.3">
      <c r="A71" s="14">
        <v>379</v>
      </c>
      <c r="B71" s="14">
        <v>1</v>
      </c>
      <c r="C71" s="9" t="s">
        <v>0</v>
      </c>
      <c r="D71" s="9" t="s">
        <v>1208</v>
      </c>
      <c r="E71" s="9" t="s">
        <v>1329</v>
      </c>
      <c r="F71" s="9" t="s">
        <v>1330</v>
      </c>
      <c r="G71" s="9">
        <v>1</v>
      </c>
      <c r="H71" s="9" t="s">
        <v>84</v>
      </c>
      <c r="I71" s="9"/>
      <c r="J71" s="9">
        <v>1</v>
      </c>
      <c r="K71" s="9" t="b">
        <v>0</v>
      </c>
      <c r="L71" s="9" t="s">
        <v>7</v>
      </c>
      <c r="M71" s="9" t="b">
        <v>0</v>
      </c>
      <c r="N71" s="9" t="s">
        <v>1331</v>
      </c>
      <c r="O71" s="9" t="s">
        <v>3555</v>
      </c>
      <c r="P71" s="7">
        <v>1594</v>
      </c>
      <c r="Q71" s="7">
        <v>1583</v>
      </c>
      <c r="R71" s="7">
        <v>1414</v>
      </c>
      <c r="S71" s="7">
        <v>435</v>
      </c>
      <c r="T71" s="8">
        <v>1.9</v>
      </c>
      <c r="U71" s="8">
        <v>3.9</v>
      </c>
      <c r="V71" s="17">
        <v>3.9</v>
      </c>
      <c r="AD71" s="1"/>
      <c r="AE71" s="3"/>
      <c r="AF71" s="2"/>
      <c r="AG71" s="2"/>
      <c r="AH71" s="3"/>
      <c r="AI71" s="3"/>
      <c r="AJ71" s="1"/>
      <c r="AK71" s="1"/>
    </row>
    <row r="72" spans="1:37" x14ac:dyDescent="0.3">
      <c r="A72" s="14">
        <v>622</v>
      </c>
      <c r="B72" s="14">
        <v>3</v>
      </c>
      <c r="C72" s="9" t="s">
        <v>1659</v>
      </c>
      <c r="D72" s="9" t="s">
        <v>411</v>
      </c>
      <c r="E72" s="9" t="s">
        <v>2096</v>
      </c>
      <c r="F72" s="9" t="s">
        <v>2097</v>
      </c>
      <c r="G72" s="9">
        <v>1</v>
      </c>
      <c r="H72" s="9"/>
      <c r="I72" s="9"/>
      <c r="J72" s="9"/>
      <c r="K72" s="9" t="b">
        <v>0</v>
      </c>
      <c r="L72" s="9" t="s">
        <v>296</v>
      </c>
      <c r="M72" s="9" t="b">
        <v>0</v>
      </c>
      <c r="N72" s="9" t="s">
        <v>2098</v>
      </c>
      <c r="O72" s="9" t="s">
        <v>3797</v>
      </c>
      <c r="P72" s="7">
        <v>920</v>
      </c>
      <c r="Q72" s="7">
        <v>883</v>
      </c>
      <c r="R72" s="7">
        <v>764</v>
      </c>
      <c r="S72" s="7">
        <v>244</v>
      </c>
      <c r="T72" s="8">
        <v>2.8</v>
      </c>
      <c r="U72" s="8">
        <v>3.8</v>
      </c>
      <c r="V72" s="17">
        <v>3.8</v>
      </c>
      <c r="AD72" s="1"/>
      <c r="AE72" s="3"/>
      <c r="AF72" s="3"/>
      <c r="AG72" s="3"/>
      <c r="AH72" s="3"/>
      <c r="AI72" s="3"/>
      <c r="AJ72" s="1"/>
      <c r="AK72" s="1"/>
    </row>
    <row r="73" spans="1:37" x14ac:dyDescent="0.3">
      <c r="A73" s="14">
        <v>553</v>
      </c>
      <c r="B73" s="14">
        <v>2</v>
      </c>
      <c r="C73" s="9" t="s">
        <v>1659</v>
      </c>
      <c r="D73" s="9" t="s">
        <v>180</v>
      </c>
      <c r="E73" s="9" t="s">
        <v>1879</v>
      </c>
      <c r="F73" s="9" t="s">
        <v>1880</v>
      </c>
      <c r="G73" s="9">
        <v>3</v>
      </c>
      <c r="H73" s="9"/>
      <c r="I73" s="9"/>
      <c r="J73" s="9"/>
      <c r="K73" s="9" t="b">
        <v>0</v>
      </c>
      <c r="L73" s="9" t="s">
        <v>238</v>
      </c>
      <c r="M73" s="9" t="b">
        <v>0</v>
      </c>
      <c r="N73" s="9" t="s">
        <v>1881</v>
      </c>
      <c r="O73" s="9" t="s">
        <v>3728</v>
      </c>
      <c r="P73" s="7">
        <v>1380</v>
      </c>
      <c r="Q73" s="7">
        <v>1339</v>
      </c>
      <c r="R73" s="7">
        <v>1100</v>
      </c>
      <c r="S73" s="7">
        <v>369</v>
      </c>
      <c r="T73" s="8">
        <v>2.6</v>
      </c>
      <c r="U73" s="8">
        <v>3.8</v>
      </c>
      <c r="V73" s="17">
        <v>3.8</v>
      </c>
      <c r="AD73" s="1"/>
      <c r="AE73" s="3"/>
      <c r="AF73" s="2"/>
      <c r="AG73" s="2"/>
      <c r="AH73" s="2"/>
      <c r="AI73" s="3"/>
      <c r="AJ73" s="1"/>
      <c r="AK73" s="1"/>
    </row>
    <row r="74" spans="1:37" x14ac:dyDescent="0.3">
      <c r="A74" s="14">
        <v>554</v>
      </c>
      <c r="B74" s="14">
        <v>2</v>
      </c>
      <c r="C74" s="9" t="s">
        <v>1659</v>
      </c>
      <c r="D74" s="9" t="s">
        <v>180</v>
      </c>
      <c r="E74" s="9" t="s">
        <v>1882</v>
      </c>
      <c r="F74" s="9" t="s">
        <v>1883</v>
      </c>
      <c r="G74" s="9">
        <v>1</v>
      </c>
      <c r="H74" s="9"/>
      <c r="I74" s="9"/>
      <c r="J74" s="9"/>
      <c r="K74" s="9" t="b">
        <v>0</v>
      </c>
      <c r="L74" s="9" t="s">
        <v>425</v>
      </c>
      <c r="M74" s="9" t="b">
        <v>0</v>
      </c>
      <c r="N74" s="9" t="s">
        <v>1884</v>
      </c>
      <c r="O74" s="9" t="s">
        <v>3729</v>
      </c>
      <c r="P74" s="7">
        <v>1514</v>
      </c>
      <c r="Q74" s="7">
        <v>1428</v>
      </c>
      <c r="R74" s="7">
        <v>1341</v>
      </c>
      <c r="S74" s="7">
        <v>398</v>
      </c>
      <c r="T74" s="8">
        <v>1.8</v>
      </c>
      <c r="U74" s="8">
        <v>3.8</v>
      </c>
      <c r="V74" s="17">
        <v>3.8</v>
      </c>
      <c r="AD74" s="1"/>
      <c r="AE74" s="3"/>
      <c r="AF74" s="2"/>
      <c r="AG74" s="2"/>
      <c r="AH74" s="3"/>
      <c r="AI74" s="3"/>
      <c r="AJ74" s="1"/>
      <c r="AK74" s="1"/>
    </row>
    <row r="75" spans="1:37" x14ac:dyDescent="0.3">
      <c r="A75" s="14">
        <v>675</v>
      </c>
      <c r="B75" s="14">
        <v>3</v>
      </c>
      <c r="C75" s="9" t="s">
        <v>1659</v>
      </c>
      <c r="D75" s="9" t="s">
        <v>411</v>
      </c>
      <c r="E75" s="9" t="s">
        <v>2262</v>
      </c>
      <c r="F75" s="9" t="s">
        <v>2263</v>
      </c>
      <c r="G75" s="9">
        <v>3</v>
      </c>
      <c r="H75" s="9"/>
      <c r="I75" s="9"/>
      <c r="J75" s="9"/>
      <c r="K75" s="9" t="b">
        <v>0</v>
      </c>
      <c r="L75" s="9" t="s">
        <v>194</v>
      </c>
      <c r="M75" s="9" t="b">
        <v>0</v>
      </c>
      <c r="N75" s="9" t="s">
        <v>2264</v>
      </c>
      <c r="O75" s="9" t="s">
        <v>3850</v>
      </c>
      <c r="P75" s="7">
        <v>1293</v>
      </c>
      <c r="Q75" s="7">
        <v>1288</v>
      </c>
      <c r="R75" s="7">
        <v>1114</v>
      </c>
      <c r="S75" s="7">
        <v>345</v>
      </c>
      <c r="T75" s="8">
        <v>1.8</v>
      </c>
      <c r="U75" s="8">
        <v>3.8</v>
      </c>
      <c r="V75" s="17">
        <v>3.8</v>
      </c>
      <c r="AD75" s="1"/>
      <c r="AE75" s="3"/>
      <c r="AF75" s="2"/>
      <c r="AG75" s="3"/>
      <c r="AH75" s="3"/>
      <c r="AI75" s="3"/>
      <c r="AJ75" s="1"/>
      <c r="AK75" s="1"/>
    </row>
    <row r="76" spans="1:37" x14ac:dyDescent="0.3">
      <c r="A76" s="14">
        <v>849</v>
      </c>
      <c r="B76" s="14">
        <v>1</v>
      </c>
      <c r="C76" s="9" t="s">
        <v>1659</v>
      </c>
      <c r="D76" s="9" t="s">
        <v>1208</v>
      </c>
      <c r="E76" s="9" t="s">
        <v>2791</v>
      </c>
      <c r="F76" s="9" t="s">
        <v>2792</v>
      </c>
      <c r="G76" s="9">
        <v>1</v>
      </c>
      <c r="H76" s="9"/>
      <c r="I76" s="9"/>
      <c r="J76" s="9"/>
      <c r="K76" s="9" t="b">
        <v>0</v>
      </c>
      <c r="L76" s="9" t="s">
        <v>7</v>
      </c>
      <c r="M76" s="9" t="b">
        <v>0</v>
      </c>
      <c r="N76" s="9" t="s">
        <v>2793</v>
      </c>
      <c r="O76" s="9" t="s">
        <v>4024</v>
      </c>
      <c r="P76" s="7">
        <v>1537</v>
      </c>
      <c r="Q76" s="7">
        <v>1507</v>
      </c>
      <c r="R76" s="7">
        <v>1429</v>
      </c>
      <c r="S76" s="7">
        <v>414</v>
      </c>
      <c r="T76" s="8">
        <v>2</v>
      </c>
      <c r="U76" s="8">
        <v>3.8</v>
      </c>
      <c r="V76" s="17">
        <v>3.8</v>
      </c>
      <c r="AD76" s="1"/>
      <c r="AE76" s="3"/>
      <c r="AF76" s="2"/>
      <c r="AG76" s="3"/>
      <c r="AH76" s="3"/>
      <c r="AI76" s="3"/>
      <c r="AJ76" s="1"/>
      <c r="AK76" s="1"/>
    </row>
    <row r="77" spans="1:37" x14ac:dyDescent="0.3">
      <c r="A77" s="14">
        <v>742</v>
      </c>
      <c r="B77" s="14">
        <v>3</v>
      </c>
      <c r="C77" s="9" t="s">
        <v>1659</v>
      </c>
      <c r="D77" s="9" t="s">
        <v>411</v>
      </c>
      <c r="E77" s="9" t="s">
        <v>2468</v>
      </c>
      <c r="F77" s="9" t="s">
        <v>2469</v>
      </c>
      <c r="G77" s="9">
        <v>1</v>
      </c>
      <c r="H77" s="9"/>
      <c r="I77" s="9"/>
      <c r="J77" s="9"/>
      <c r="K77" s="9" t="b">
        <v>0</v>
      </c>
      <c r="L77" s="9" t="s">
        <v>332</v>
      </c>
      <c r="M77" s="9" t="b">
        <v>0</v>
      </c>
      <c r="N77" s="9" t="s">
        <v>2470</v>
      </c>
      <c r="O77" s="9" t="s">
        <v>3917</v>
      </c>
      <c r="P77" s="7">
        <v>996</v>
      </c>
      <c r="Q77" s="7">
        <v>913</v>
      </c>
      <c r="R77" s="7">
        <v>740</v>
      </c>
      <c r="S77" s="7">
        <v>266</v>
      </c>
      <c r="T77" s="8">
        <v>3.3</v>
      </c>
      <c r="U77" s="8">
        <v>3.8</v>
      </c>
      <c r="V77" s="17">
        <v>3.8</v>
      </c>
      <c r="AD77" s="1"/>
      <c r="AE77" s="3"/>
      <c r="AF77" s="2"/>
      <c r="AG77" s="2"/>
      <c r="AH77" s="2"/>
      <c r="AI77" s="3"/>
      <c r="AJ77" s="1"/>
      <c r="AK77" s="1"/>
    </row>
    <row r="78" spans="1:37" x14ac:dyDescent="0.3">
      <c r="A78" s="14">
        <v>746</v>
      </c>
      <c r="B78" s="14">
        <v>3</v>
      </c>
      <c r="C78" s="9" t="s">
        <v>1659</v>
      </c>
      <c r="D78" s="9" t="s">
        <v>411</v>
      </c>
      <c r="E78" s="9" t="s">
        <v>2480</v>
      </c>
      <c r="F78" s="9" t="s">
        <v>2481</v>
      </c>
      <c r="G78" s="9">
        <v>1</v>
      </c>
      <c r="H78" s="9"/>
      <c r="I78" s="9"/>
      <c r="J78" s="9"/>
      <c r="K78" s="9" t="b">
        <v>0</v>
      </c>
      <c r="L78" s="9" t="s">
        <v>416</v>
      </c>
      <c r="M78" s="9" t="b">
        <v>1</v>
      </c>
      <c r="N78" s="9" t="s">
        <v>2482</v>
      </c>
      <c r="O78" s="9" t="s">
        <v>3921</v>
      </c>
      <c r="P78" s="7">
        <v>989</v>
      </c>
      <c r="Q78" s="7">
        <v>963</v>
      </c>
      <c r="R78" s="7">
        <v>694</v>
      </c>
      <c r="S78" s="7">
        <v>264</v>
      </c>
      <c r="T78" s="8">
        <v>2.6</v>
      </c>
      <c r="U78" s="8">
        <v>3.8</v>
      </c>
      <c r="V78" s="17">
        <v>3.8</v>
      </c>
      <c r="AD78" s="1"/>
      <c r="AE78" s="3"/>
      <c r="AF78" s="2"/>
      <c r="AG78" s="2"/>
      <c r="AH78" s="2"/>
      <c r="AI78" s="3"/>
      <c r="AJ78" s="1"/>
      <c r="AK78" s="1"/>
    </row>
    <row r="79" spans="1:37" x14ac:dyDescent="0.3">
      <c r="A79" s="14">
        <v>773</v>
      </c>
      <c r="B79" s="14">
        <v>3</v>
      </c>
      <c r="C79" s="9" t="s">
        <v>1659</v>
      </c>
      <c r="D79" s="9" t="s">
        <v>411</v>
      </c>
      <c r="E79" s="9" t="s">
        <v>2562</v>
      </c>
      <c r="F79" s="9" t="s">
        <v>2563</v>
      </c>
      <c r="G79" s="9">
        <v>1</v>
      </c>
      <c r="H79" s="9"/>
      <c r="I79" s="9"/>
      <c r="J79" s="9"/>
      <c r="K79" s="9" t="b">
        <v>0</v>
      </c>
      <c r="L79" s="9" t="s">
        <v>437</v>
      </c>
      <c r="M79" s="9" t="b">
        <v>1</v>
      </c>
      <c r="N79" s="9" t="s">
        <v>2564</v>
      </c>
      <c r="O79" s="9" t="s">
        <v>3948</v>
      </c>
      <c r="P79" s="7">
        <v>1054</v>
      </c>
      <c r="Q79" s="7">
        <v>1021</v>
      </c>
      <c r="R79" s="7">
        <v>737</v>
      </c>
      <c r="S79" s="7">
        <v>278</v>
      </c>
      <c r="T79" s="8">
        <v>3.6</v>
      </c>
      <c r="U79" s="8">
        <v>3.8</v>
      </c>
      <c r="V79" s="17">
        <v>3.8</v>
      </c>
      <c r="AD79" s="1"/>
      <c r="AE79" s="3"/>
      <c r="AF79" s="3"/>
      <c r="AG79" s="3"/>
      <c r="AH79" s="3"/>
      <c r="AI79" s="3"/>
      <c r="AJ79" s="1"/>
      <c r="AK79" s="1"/>
    </row>
    <row r="80" spans="1:37" x14ac:dyDescent="0.3">
      <c r="A80" s="14">
        <v>790</v>
      </c>
      <c r="B80" s="14">
        <v>3</v>
      </c>
      <c r="C80" s="9" t="s">
        <v>1659</v>
      </c>
      <c r="D80" s="9" t="s">
        <v>411</v>
      </c>
      <c r="E80" s="9" t="s">
        <v>2614</v>
      </c>
      <c r="F80" s="9" t="s">
        <v>2615</v>
      </c>
      <c r="G80" s="9">
        <v>1</v>
      </c>
      <c r="H80" s="9"/>
      <c r="I80" s="9"/>
      <c r="J80" s="9"/>
      <c r="K80" s="9" t="b">
        <v>0</v>
      </c>
      <c r="L80" s="9" t="s">
        <v>497</v>
      </c>
      <c r="M80" s="9" t="b">
        <v>1</v>
      </c>
      <c r="N80" s="9" t="s">
        <v>2616</v>
      </c>
      <c r="O80" s="9" t="s">
        <v>3965</v>
      </c>
      <c r="P80" s="7">
        <v>1281</v>
      </c>
      <c r="Q80" s="7">
        <v>1277</v>
      </c>
      <c r="R80" s="7">
        <v>1021</v>
      </c>
      <c r="S80" s="7">
        <v>344</v>
      </c>
      <c r="T80" s="8">
        <v>1.9</v>
      </c>
      <c r="U80" s="8">
        <v>3.8</v>
      </c>
      <c r="V80" s="17">
        <v>3.8</v>
      </c>
      <c r="AD80" s="1"/>
      <c r="AE80" s="3"/>
      <c r="AF80" s="3"/>
      <c r="AG80" s="3"/>
      <c r="AH80" s="3"/>
      <c r="AI80" s="3"/>
      <c r="AJ80" s="1"/>
      <c r="AK80" s="1"/>
    </row>
    <row r="81" spans="1:37" x14ac:dyDescent="0.3">
      <c r="A81" s="14">
        <v>113</v>
      </c>
      <c r="B81" s="14">
        <v>3</v>
      </c>
      <c r="C81" s="9" t="s">
        <v>0</v>
      </c>
      <c r="D81" s="9" t="s">
        <v>411</v>
      </c>
      <c r="E81" s="9" t="s">
        <v>431</v>
      </c>
      <c r="F81" s="9" t="s">
        <v>432</v>
      </c>
      <c r="G81" s="9">
        <v>1</v>
      </c>
      <c r="H81" s="9" t="s">
        <v>4</v>
      </c>
      <c r="I81" s="9"/>
      <c r="J81" s="9"/>
      <c r="K81" s="9" t="b">
        <v>0</v>
      </c>
      <c r="L81" s="9" t="s">
        <v>194</v>
      </c>
      <c r="M81" s="9" t="b">
        <v>0</v>
      </c>
      <c r="N81" s="9" t="s">
        <v>433</v>
      </c>
      <c r="O81" s="9" t="s">
        <v>3289</v>
      </c>
      <c r="P81" s="7">
        <v>1376</v>
      </c>
      <c r="Q81" s="7">
        <v>1325</v>
      </c>
      <c r="R81" s="7">
        <v>1074</v>
      </c>
      <c r="S81" s="7">
        <v>369</v>
      </c>
      <c r="T81" s="8">
        <v>2.6</v>
      </c>
      <c r="U81" s="8">
        <v>3.8</v>
      </c>
      <c r="V81" s="17">
        <v>3.8</v>
      </c>
      <c r="AD81" s="1"/>
      <c r="AE81" s="3"/>
      <c r="AF81" s="2"/>
      <c r="AG81" s="2"/>
      <c r="AH81" s="3"/>
      <c r="AI81" s="3"/>
      <c r="AJ81" s="1"/>
      <c r="AK81" s="1"/>
    </row>
    <row r="82" spans="1:37" x14ac:dyDescent="0.3">
      <c r="A82" s="14">
        <v>114</v>
      </c>
      <c r="B82" s="14">
        <v>3</v>
      </c>
      <c r="C82" s="9" t="s">
        <v>0</v>
      </c>
      <c r="D82" s="9" t="s">
        <v>411</v>
      </c>
      <c r="E82" s="9" t="s">
        <v>434</v>
      </c>
      <c r="F82" s="9" t="s">
        <v>435</v>
      </c>
      <c r="G82" s="9">
        <v>1</v>
      </c>
      <c r="H82" s="9" t="s">
        <v>26</v>
      </c>
      <c r="I82" s="9"/>
      <c r="J82" s="9"/>
      <c r="K82" s="9" t="b">
        <v>0</v>
      </c>
      <c r="L82" s="9" t="s">
        <v>437</v>
      </c>
      <c r="M82" s="9" t="b">
        <v>0</v>
      </c>
      <c r="N82" s="9" t="s">
        <v>436</v>
      </c>
      <c r="O82" s="9" t="s">
        <v>3290</v>
      </c>
      <c r="P82" s="7">
        <v>1043</v>
      </c>
      <c r="Q82" s="7">
        <v>942</v>
      </c>
      <c r="R82" s="7">
        <v>804</v>
      </c>
      <c r="S82" s="7">
        <v>278</v>
      </c>
      <c r="T82" s="8">
        <v>4.0999999999999996</v>
      </c>
      <c r="U82" s="8">
        <v>3.8</v>
      </c>
      <c r="V82" s="17">
        <v>3.8</v>
      </c>
      <c r="AD82" s="1"/>
      <c r="AE82" s="3"/>
      <c r="AF82" s="3"/>
      <c r="AG82" s="3"/>
      <c r="AH82" s="3"/>
      <c r="AI82" s="3"/>
      <c r="AJ82" s="1"/>
      <c r="AK82" s="1"/>
    </row>
    <row r="83" spans="1:37" x14ac:dyDescent="0.3">
      <c r="A83" s="14">
        <v>118</v>
      </c>
      <c r="B83" s="14">
        <v>3</v>
      </c>
      <c r="C83" s="9" t="s">
        <v>0</v>
      </c>
      <c r="D83" s="9" t="s">
        <v>411</v>
      </c>
      <c r="E83" s="9" t="s">
        <v>449</v>
      </c>
      <c r="F83" s="9" t="s">
        <v>450</v>
      </c>
      <c r="G83" s="9">
        <v>1</v>
      </c>
      <c r="H83" s="9"/>
      <c r="I83" s="9" t="s">
        <v>451</v>
      </c>
      <c r="J83" s="9"/>
      <c r="K83" s="9" t="b">
        <v>0</v>
      </c>
      <c r="L83" s="9" t="s">
        <v>453</v>
      </c>
      <c r="M83" s="9" t="b">
        <v>0</v>
      </c>
      <c r="N83" s="9" t="s">
        <v>452</v>
      </c>
      <c r="O83" s="9" t="s">
        <v>3294</v>
      </c>
      <c r="P83" s="7">
        <v>1304</v>
      </c>
      <c r="Q83" s="7">
        <v>1186</v>
      </c>
      <c r="R83" s="7">
        <v>1039</v>
      </c>
      <c r="S83" s="7">
        <v>346</v>
      </c>
      <c r="T83" s="8">
        <v>3</v>
      </c>
      <c r="U83" s="8">
        <v>3.8</v>
      </c>
      <c r="V83" s="17">
        <v>3.8</v>
      </c>
      <c r="AD83" s="1"/>
      <c r="AE83" s="3"/>
      <c r="AF83" s="2"/>
      <c r="AG83" s="3"/>
      <c r="AH83" s="3"/>
      <c r="AI83" s="3"/>
      <c r="AJ83" s="1"/>
      <c r="AK83" s="1"/>
    </row>
    <row r="84" spans="1:37" x14ac:dyDescent="0.3">
      <c r="A84" s="14">
        <v>357</v>
      </c>
      <c r="B84" s="14">
        <v>1</v>
      </c>
      <c r="C84" s="9" t="s">
        <v>0</v>
      </c>
      <c r="D84" s="9" t="s">
        <v>1208</v>
      </c>
      <c r="E84" s="9" t="s">
        <v>1259</v>
      </c>
      <c r="F84" s="9" t="s">
        <v>1260</v>
      </c>
      <c r="G84" s="9">
        <v>1</v>
      </c>
      <c r="H84" s="9" t="s">
        <v>84</v>
      </c>
      <c r="I84" s="9"/>
      <c r="J84" s="9">
        <v>1</v>
      </c>
      <c r="K84" s="9" t="b">
        <v>0</v>
      </c>
      <c r="L84" s="9" t="s">
        <v>7</v>
      </c>
      <c r="M84" s="9" t="b">
        <v>0</v>
      </c>
      <c r="N84" s="9" t="s">
        <v>1261</v>
      </c>
      <c r="O84" s="9" t="s">
        <v>3533</v>
      </c>
      <c r="P84" s="7">
        <v>1386</v>
      </c>
      <c r="Q84" s="7">
        <v>1383</v>
      </c>
      <c r="R84" s="7">
        <v>1220</v>
      </c>
      <c r="S84" s="7">
        <v>367</v>
      </c>
      <c r="T84" s="8">
        <v>2</v>
      </c>
      <c r="U84" s="8">
        <v>3.8</v>
      </c>
      <c r="V84" s="17">
        <v>3.8</v>
      </c>
      <c r="AD84" s="1"/>
      <c r="AE84" s="3"/>
      <c r="AF84" s="2"/>
      <c r="AG84" s="3"/>
      <c r="AH84" s="3"/>
      <c r="AI84" s="3"/>
      <c r="AJ84" s="1"/>
      <c r="AK84" s="1"/>
    </row>
    <row r="85" spans="1:37" x14ac:dyDescent="0.3">
      <c r="A85" s="14">
        <v>206</v>
      </c>
      <c r="B85" s="14">
        <v>3</v>
      </c>
      <c r="C85" s="9" t="s">
        <v>0</v>
      </c>
      <c r="D85" s="9" t="s">
        <v>411</v>
      </c>
      <c r="E85" s="9" t="s">
        <v>763</v>
      </c>
      <c r="F85" s="9" t="s">
        <v>764</v>
      </c>
      <c r="G85" s="9">
        <v>1</v>
      </c>
      <c r="H85" s="9" t="s">
        <v>252</v>
      </c>
      <c r="I85" s="9" t="s">
        <v>22</v>
      </c>
      <c r="J85" s="9"/>
      <c r="K85" s="9" t="b">
        <v>0</v>
      </c>
      <c r="L85" s="9" t="s">
        <v>416</v>
      </c>
      <c r="M85" s="9" t="b">
        <v>0</v>
      </c>
      <c r="N85" s="9" t="s">
        <v>765</v>
      </c>
      <c r="O85" s="9" t="s">
        <v>3382</v>
      </c>
      <c r="P85" s="7">
        <v>1005</v>
      </c>
      <c r="Q85" s="7">
        <v>691</v>
      </c>
      <c r="R85" s="7">
        <v>571</v>
      </c>
      <c r="S85" s="7">
        <v>265</v>
      </c>
      <c r="T85" s="8">
        <v>3.2</v>
      </c>
      <c r="U85" s="8">
        <v>3.8</v>
      </c>
      <c r="V85" s="17">
        <v>3.8</v>
      </c>
      <c r="AD85" s="1"/>
      <c r="AE85" s="3"/>
      <c r="AF85" s="2"/>
      <c r="AG85" s="3"/>
      <c r="AH85" s="3"/>
      <c r="AI85" s="3"/>
      <c r="AJ85" s="1"/>
      <c r="AK85" s="1"/>
    </row>
    <row r="86" spans="1:37" x14ac:dyDescent="0.3">
      <c r="A86" s="14">
        <v>224</v>
      </c>
      <c r="B86" s="14">
        <v>3</v>
      </c>
      <c r="C86" s="9" t="s">
        <v>0</v>
      </c>
      <c r="D86" s="9" t="s">
        <v>411</v>
      </c>
      <c r="E86" s="9" t="s">
        <v>824</v>
      </c>
      <c r="F86" s="9" t="s">
        <v>825</v>
      </c>
      <c r="G86" s="9">
        <v>1</v>
      </c>
      <c r="H86" s="9" t="s">
        <v>26</v>
      </c>
      <c r="I86" s="9"/>
      <c r="J86" s="9"/>
      <c r="K86" s="9" t="b">
        <v>0</v>
      </c>
      <c r="L86" s="9" t="s">
        <v>430</v>
      </c>
      <c r="M86" s="9" t="b">
        <v>0</v>
      </c>
      <c r="N86" s="9" t="s">
        <v>826</v>
      </c>
      <c r="O86" s="9" t="s">
        <v>3400</v>
      </c>
      <c r="P86" s="7">
        <v>1377</v>
      </c>
      <c r="Q86" s="7">
        <v>1228</v>
      </c>
      <c r="R86" s="7">
        <v>1089</v>
      </c>
      <c r="S86" s="7">
        <v>367</v>
      </c>
      <c r="T86" s="8">
        <v>2.9</v>
      </c>
      <c r="U86" s="8">
        <v>3.8</v>
      </c>
      <c r="V86" s="17">
        <v>3.8</v>
      </c>
      <c r="AD86" s="1"/>
      <c r="AE86" s="3"/>
      <c r="AF86" s="2"/>
      <c r="AG86" s="3"/>
      <c r="AH86" s="3"/>
      <c r="AI86" s="3"/>
      <c r="AJ86" s="1"/>
      <c r="AK86" s="1"/>
    </row>
    <row r="87" spans="1:37" x14ac:dyDescent="0.3">
      <c r="A87" s="14">
        <v>229</v>
      </c>
      <c r="B87" s="14">
        <v>3</v>
      </c>
      <c r="C87" s="9" t="s">
        <v>0</v>
      </c>
      <c r="D87" s="9" t="s">
        <v>411</v>
      </c>
      <c r="E87" s="9" t="s">
        <v>839</v>
      </c>
      <c r="F87" s="9" t="s">
        <v>840</v>
      </c>
      <c r="G87" s="9">
        <v>1</v>
      </c>
      <c r="H87" s="9" t="s">
        <v>841</v>
      </c>
      <c r="I87" s="9"/>
      <c r="J87" s="9">
        <v>1</v>
      </c>
      <c r="K87" s="9" t="b">
        <v>0</v>
      </c>
      <c r="L87" s="9" t="s">
        <v>469</v>
      </c>
      <c r="M87" s="9" t="b">
        <v>0</v>
      </c>
      <c r="N87" s="9" t="s">
        <v>842</v>
      </c>
      <c r="O87" s="9" t="s">
        <v>3405</v>
      </c>
      <c r="P87" s="7">
        <v>1323</v>
      </c>
      <c r="Q87" s="7">
        <v>1258</v>
      </c>
      <c r="R87" s="7">
        <v>1115</v>
      </c>
      <c r="S87" s="7">
        <v>351</v>
      </c>
      <c r="T87" s="8">
        <v>3.3</v>
      </c>
      <c r="U87" s="8">
        <v>3.8</v>
      </c>
      <c r="V87" s="17">
        <v>3.8</v>
      </c>
      <c r="AD87" s="1"/>
      <c r="AE87" s="3"/>
      <c r="AF87" s="2"/>
      <c r="AG87" s="2"/>
      <c r="AH87" s="3"/>
      <c r="AI87" s="3"/>
      <c r="AJ87" s="1"/>
      <c r="AK87" s="1"/>
    </row>
    <row r="88" spans="1:37" x14ac:dyDescent="0.3">
      <c r="A88" s="14">
        <v>173</v>
      </c>
      <c r="B88" s="14">
        <v>3</v>
      </c>
      <c r="C88" s="9" t="s">
        <v>0</v>
      </c>
      <c r="D88" s="9" t="s">
        <v>411</v>
      </c>
      <c r="E88" s="9" t="s">
        <v>651</v>
      </c>
      <c r="F88" s="9" t="s">
        <v>652</v>
      </c>
      <c r="G88" s="9">
        <v>1</v>
      </c>
      <c r="H88" s="9" t="s">
        <v>84</v>
      </c>
      <c r="I88" s="9"/>
      <c r="J88" s="9">
        <v>1</v>
      </c>
      <c r="K88" s="9" t="b">
        <v>0</v>
      </c>
      <c r="L88" s="9" t="s">
        <v>332</v>
      </c>
      <c r="M88" s="9" t="b">
        <v>0</v>
      </c>
      <c r="N88" s="9" t="s">
        <v>653</v>
      </c>
      <c r="O88" s="9" t="s">
        <v>3349</v>
      </c>
      <c r="P88" s="7">
        <v>1260</v>
      </c>
      <c r="Q88" s="7">
        <v>1239</v>
      </c>
      <c r="R88" s="7">
        <v>1131</v>
      </c>
      <c r="S88" s="7">
        <v>413</v>
      </c>
      <c r="T88" s="8">
        <v>2.1</v>
      </c>
      <c r="U88" s="18">
        <v>4.7</v>
      </c>
      <c r="V88" s="26">
        <v>3.75</v>
      </c>
      <c r="W88" s="23" t="s">
        <v>4177</v>
      </c>
      <c r="AD88" s="1"/>
      <c r="AE88" s="3"/>
      <c r="AF88" s="3"/>
      <c r="AG88" s="3"/>
      <c r="AH88" s="3"/>
      <c r="AI88" s="3"/>
      <c r="AJ88" s="1"/>
      <c r="AK88" s="1"/>
    </row>
    <row r="89" spans="1:37" x14ac:dyDescent="0.3">
      <c r="A89" s="14">
        <v>892</v>
      </c>
      <c r="B89" s="14">
        <v>4</v>
      </c>
      <c r="C89" s="9" t="s">
        <v>1659</v>
      </c>
      <c r="D89" s="9" t="s">
        <v>1394</v>
      </c>
      <c r="E89" s="9" t="s">
        <v>2923</v>
      </c>
      <c r="F89" s="9" t="s">
        <v>2924</v>
      </c>
      <c r="G89" s="9">
        <v>1</v>
      </c>
      <c r="H89" s="9"/>
      <c r="I89" s="9"/>
      <c r="J89" s="9"/>
      <c r="K89" s="9" t="b">
        <v>0</v>
      </c>
      <c r="L89" s="9"/>
      <c r="M89" s="9" t="b">
        <v>1</v>
      </c>
      <c r="N89" s="9" t="s">
        <v>2925</v>
      </c>
      <c r="O89" s="9" t="s">
        <v>4066</v>
      </c>
      <c r="P89" s="7">
        <v>688</v>
      </c>
      <c r="Q89" s="7">
        <v>674</v>
      </c>
      <c r="R89" s="7">
        <v>549</v>
      </c>
      <c r="S89" s="7">
        <v>180</v>
      </c>
      <c r="T89" s="8">
        <v>2.2000000000000002</v>
      </c>
      <c r="U89" s="8">
        <v>3.7</v>
      </c>
      <c r="V89" s="17">
        <v>3.7</v>
      </c>
      <c r="AD89" s="1"/>
      <c r="AE89" s="3"/>
      <c r="AF89" s="2"/>
      <c r="AG89" s="3"/>
      <c r="AH89" s="3"/>
      <c r="AI89" s="3"/>
      <c r="AJ89" s="1"/>
      <c r="AK89" s="1"/>
    </row>
    <row r="90" spans="1:37" x14ac:dyDescent="0.3">
      <c r="A90" s="14">
        <v>639</v>
      </c>
      <c r="B90" s="14">
        <v>3</v>
      </c>
      <c r="C90" s="9" t="s">
        <v>1659</v>
      </c>
      <c r="D90" s="9" t="s">
        <v>411</v>
      </c>
      <c r="E90" s="9" t="s">
        <v>2148</v>
      </c>
      <c r="F90" s="9" t="s">
        <v>2149</v>
      </c>
      <c r="G90" s="9">
        <v>3</v>
      </c>
      <c r="H90" s="9"/>
      <c r="I90" s="9"/>
      <c r="J90" s="9"/>
      <c r="K90" s="9" t="b">
        <v>0</v>
      </c>
      <c r="L90" s="9" t="s">
        <v>238</v>
      </c>
      <c r="M90" s="9" t="b">
        <v>1</v>
      </c>
      <c r="N90" s="9" t="s">
        <v>2150</v>
      </c>
      <c r="O90" s="9" t="s">
        <v>3814</v>
      </c>
      <c r="P90" s="7">
        <v>1216</v>
      </c>
      <c r="Q90" s="7">
        <v>1196</v>
      </c>
      <c r="R90" s="7">
        <v>925</v>
      </c>
      <c r="S90" s="7">
        <v>313</v>
      </c>
      <c r="T90" s="8">
        <v>2.2000000000000002</v>
      </c>
      <c r="U90" s="8">
        <v>3.7</v>
      </c>
      <c r="V90" s="17">
        <v>3.7</v>
      </c>
      <c r="AD90" s="1"/>
      <c r="AE90" s="3"/>
      <c r="AF90" s="2"/>
      <c r="AG90" s="2"/>
      <c r="AH90" s="3"/>
      <c r="AI90" s="3"/>
      <c r="AJ90" s="1"/>
      <c r="AK90" s="1"/>
    </row>
    <row r="91" spans="1:37" x14ac:dyDescent="0.3">
      <c r="A91" s="14">
        <v>645</v>
      </c>
      <c r="B91" s="14">
        <v>3</v>
      </c>
      <c r="C91" s="9" t="s">
        <v>1659</v>
      </c>
      <c r="D91" s="9" t="s">
        <v>411</v>
      </c>
      <c r="E91" s="9" t="s">
        <v>2167</v>
      </c>
      <c r="F91" s="9" t="s">
        <v>2168</v>
      </c>
      <c r="G91" s="9">
        <v>1</v>
      </c>
      <c r="H91" s="9"/>
      <c r="I91" s="9"/>
      <c r="J91" s="9"/>
      <c r="K91" s="9" t="b">
        <v>0</v>
      </c>
      <c r="L91" s="9" t="s">
        <v>416</v>
      </c>
      <c r="M91" s="9" t="b">
        <v>0</v>
      </c>
      <c r="N91" s="9" t="s">
        <v>2169</v>
      </c>
      <c r="O91" s="9" t="s">
        <v>3820</v>
      </c>
      <c r="P91" s="7">
        <v>1106</v>
      </c>
      <c r="Q91" s="7">
        <v>1038</v>
      </c>
      <c r="R91" s="7">
        <v>886</v>
      </c>
      <c r="S91" s="7">
        <v>287</v>
      </c>
      <c r="T91" s="8">
        <v>3.5</v>
      </c>
      <c r="U91" s="8">
        <v>3.7</v>
      </c>
      <c r="V91" s="17">
        <v>3.7</v>
      </c>
      <c r="AD91" s="1"/>
      <c r="AE91" s="3"/>
      <c r="AF91" s="2"/>
      <c r="AG91" s="3"/>
      <c r="AH91" s="3"/>
      <c r="AI91" s="3"/>
      <c r="AJ91" s="1"/>
      <c r="AK91" s="1"/>
    </row>
    <row r="92" spans="1:37" x14ac:dyDescent="0.3">
      <c r="A92" s="14">
        <v>564</v>
      </c>
      <c r="B92" s="14">
        <v>2</v>
      </c>
      <c r="C92" s="9" t="s">
        <v>1659</v>
      </c>
      <c r="D92" s="9" t="s">
        <v>180</v>
      </c>
      <c r="E92" s="9" t="s">
        <v>1913</v>
      </c>
      <c r="F92" s="9" t="s">
        <v>1914</v>
      </c>
      <c r="G92" s="9">
        <v>4</v>
      </c>
      <c r="H92" s="9"/>
      <c r="I92" s="9"/>
      <c r="J92" s="9"/>
      <c r="K92" s="9" t="b">
        <v>0</v>
      </c>
      <c r="L92" s="9" t="s">
        <v>407</v>
      </c>
      <c r="M92" s="9" t="b">
        <v>0</v>
      </c>
      <c r="N92" s="9" t="s">
        <v>1915</v>
      </c>
      <c r="O92" s="9" t="s">
        <v>3739</v>
      </c>
      <c r="P92" s="7">
        <v>1547</v>
      </c>
      <c r="Q92" s="7">
        <v>1477</v>
      </c>
      <c r="R92" s="7">
        <v>1348</v>
      </c>
      <c r="S92" s="7">
        <v>401</v>
      </c>
      <c r="T92" s="8">
        <v>2.5</v>
      </c>
      <c r="U92" s="8">
        <v>3.7</v>
      </c>
      <c r="V92" s="17">
        <v>3.7</v>
      </c>
      <c r="AD92" s="1"/>
      <c r="AE92" s="3"/>
      <c r="AF92" s="2"/>
      <c r="AG92" s="2"/>
      <c r="AH92" s="3"/>
      <c r="AI92" s="3"/>
      <c r="AJ92" s="1"/>
      <c r="AK92" s="1"/>
    </row>
    <row r="93" spans="1:37" x14ac:dyDescent="0.3">
      <c r="A93" s="14">
        <v>653</v>
      </c>
      <c r="B93" s="14">
        <v>3</v>
      </c>
      <c r="C93" s="9" t="s">
        <v>1659</v>
      </c>
      <c r="D93" s="9" t="s">
        <v>411</v>
      </c>
      <c r="E93" s="9" t="s">
        <v>2194</v>
      </c>
      <c r="F93" s="9" t="s">
        <v>2195</v>
      </c>
      <c r="G93" s="9">
        <v>1</v>
      </c>
      <c r="H93" s="9"/>
      <c r="I93" s="9"/>
      <c r="J93" s="9"/>
      <c r="K93" s="9" t="b">
        <v>0</v>
      </c>
      <c r="L93" s="9" t="s">
        <v>296</v>
      </c>
      <c r="M93" s="9" t="b">
        <v>0</v>
      </c>
      <c r="N93" s="9" t="s">
        <v>2196</v>
      </c>
      <c r="O93" s="9" t="s">
        <v>3828</v>
      </c>
      <c r="P93" s="7">
        <v>981</v>
      </c>
      <c r="Q93" s="7">
        <v>942</v>
      </c>
      <c r="R93" s="7">
        <v>832</v>
      </c>
      <c r="S93" s="7">
        <v>256</v>
      </c>
      <c r="T93" s="8">
        <v>3.4</v>
      </c>
      <c r="U93" s="8">
        <v>3.7</v>
      </c>
      <c r="V93" s="17">
        <v>3.7</v>
      </c>
      <c r="AD93" s="1"/>
      <c r="AE93" s="3"/>
      <c r="AF93" s="2"/>
      <c r="AG93" s="2"/>
      <c r="AH93" s="2"/>
      <c r="AI93" s="3"/>
      <c r="AJ93" s="1"/>
      <c r="AK93" s="1"/>
    </row>
    <row r="94" spans="1:37" x14ac:dyDescent="0.3">
      <c r="A94" s="14">
        <v>927</v>
      </c>
      <c r="B94" s="14">
        <v>2</v>
      </c>
      <c r="C94" s="9" t="s">
        <v>1659</v>
      </c>
      <c r="D94" s="9" t="s">
        <v>1457</v>
      </c>
      <c r="E94" s="9" t="s">
        <v>3028</v>
      </c>
      <c r="F94" s="9" t="s">
        <v>3029</v>
      </c>
      <c r="G94" s="9">
        <v>3</v>
      </c>
      <c r="H94" s="9"/>
      <c r="I94" s="9"/>
      <c r="J94" s="9"/>
      <c r="K94" s="9" t="b">
        <v>0</v>
      </c>
      <c r="L94" s="9" t="s">
        <v>3007</v>
      </c>
      <c r="M94" s="9" t="b">
        <v>0</v>
      </c>
      <c r="N94" s="9" t="s">
        <v>3030</v>
      </c>
      <c r="O94" s="9" t="s">
        <v>4099</v>
      </c>
      <c r="P94" s="7">
        <v>1506</v>
      </c>
      <c r="Q94" s="7">
        <v>1473</v>
      </c>
      <c r="R94" s="7">
        <v>1376</v>
      </c>
      <c r="S94" s="7">
        <v>395</v>
      </c>
      <c r="T94" s="8">
        <v>2.2999999999999998</v>
      </c>
      <c r="U94" s="8">
        <v>3.7</v>
      </c>
      <c r="V94" s="17">
        <v>3.7</v>
      </c>
      <c r="AD94" s="1"/>
      <c r="AE94" s="3"/>
      <c r="AF94" s="2"/>
      <c r="AG94" s="2"/>
      <c r="AH94" s="3"/>
      <c r="AI94" s="3"/>
      <c r="AJ94" s="1"/>
      <c r="AK94" s="1"/>
    </row>
    <row r="95" spans="1:37" x14ac:dyDescent="0.3">
      <c r="A95" s="14">
        <v>665</v>
      </c>
      <c r="B95" s="14">
        <v>3</v>
      </c>
      <c r="C95" s="9" t="s">
        <v>1659</v>
      </c>
      <c r="D95" s="9" t="s">
        <v>411</v>
      </c>
      <c r="E95" s="9" t="s">
        <v>2230</v>
      </c>
      <c r="F95" s="9" t="s">
        <v>2231</v>
      </c>
      <c r="G95" s="9">
        <v>1</v>
      </c>
      <c r="H95" s="9"/>
      <c r="I95" s="9"/>
      <c r="J95" s="9"/>
      <c r="K95" s="9" t="b">
        <v>0</v>
      </c>
      <c r="L95" s="9" t="s">
        <v>497</v>
      </c>
      <c r="M95" s="9" t="b">
        <v>0</v>
      </c>
      <c r="N95" s="9" t="s">
        <v>2232</v>
      </c>
      <c r="O95" s="9" t="s">
        <v>3840</v>
      </c>
      <c r="P95" s="7">
        <v>1252</v>
      </c>
      <c r="Q95" s="7">
        <v>1240</v>
      </c>
      <c r="R95" s="7">
        <v>1075</v>
      </c>
      <c r="S95" s="7">
        <v>327</v>
      </c>
      <c r="T95" s="8">
        <v>2</v>
      </c>
      <c r="U95" s="8">
        <v>3.7</v>
      </c>
      <c r="V95" s="17">
        <v>3.7</v>
      </c>
      <c r="AD95" s="1"/>
      <c r="AE95" s="3"/>
      <c r="AF95" s="2"/>
      <c r="AG95" s="3"/>
      <c r="AH95" s="3"/>
      <c r="AI95" s="3"/>
      <c r="AJ95" s="1"/>
      <c r="AK95" s="1"/>
    </row>
    <row r="96" spans="1:37" x14ac:dyDescent="0.3">
      <c r="A96" s="14">
        <v>511</v>
      </c>
      <c r="B96" s="14">
        <v>1</v>
      </c>
      <c r="C96" s="9" t="s">
        <v>1659</v>
      </c>
      <c r="D96" s="9" t="s">
        <v>1</v>
      </c>
      <c r="E96" s="9" t="s">
        <v>1753</v>
      </c>
      <c r="F96" s="9" t="s">
        <v>1754</v>
      </c>
      <c r="G96" s="9">
        <v>4</v>
      </c>
      <c r="H96" s="9"/>
      <c r="I96" s="9"/>
      <c r="J96" s="9"/>
      <c r="K96" s="9" t="b">
        <v>0</v>
      </c>
      <c r="L96" s="9" t="s">
        <v>7</v>
      </c>
      <c r="M96" s="9" t="b">
        <v>0</v>
      </c>
      <c r="N96" s="9" t="s">
        <v>1755</v>
      </c>
      <c r="O96" s="9" t="s">
        <v>3686</v>
      </c>
      <c r="P96" s="7">
        <v>1503</v>
      </c>
      <c r="Q96" s="7">
        <v>1442</v>
      </c>
      <c r="R96" s="7">
        <v>1325</v>
      </c>
      <c r="S96" s="7">
        <v>386</v>
      </c>
      <c r="T96" s="8">
        <v>2</v>
      </c>
      <c r="U96" s="8">
        <v>3.7</v>
      </c>
      <c r="V96" s="17">
        <v>3.7</v>
      </c>
      <c r="AD96" s="1"/>
      <c r="AE96" s="3"/>
      <c r="AF96" s="2"/>
      <c r="AG96" s="2"/>
      <c r="AH96" s="3"/>
      <c r="AI96" s="3"/>
      <c r="AJ96" s="1"/>
      <c r="AK96" s="1"/>
    </row>
    <row r="97" spans="1:37" x14ac:dyDescent="0.3">
      <c r="A97" s="14">
        <v>703</v>
      </c>
      <c r="B97" s="14">
        <v>3</v>
      </c>
      <c r="C97" s="9" t="s">
        <v>1659</v>
      </c>
      <c r="D97" s="9" t="s">
        <v>411</v>
      </c>
      <c r="E97" s="9" t="s">
        <v>2348</v>
      </c>
      <c r="F97" s="9" t="s">
        <v>2349</v>
      </c>
      <c r="G97" s="9">
        <v>1</v>
      </c>
      <c r="H97" s="9"/>
      <c r="I97" s="9"/>
      <c r="J97" s="9"/>
      <c r="K97" s="9" t="b">
        <v>0</v>
      </c>
      <c r="L97" s="9" t="s">
        <v>425</v>
      </c>
      <c r="M97" s="9" t="b">
        <v>0</v>
      </c>
      <c r="N97" s="9" t="s">
        <v>2350</v>
      </c>
      <c r="O97" s="9" t="s">
        <v>3878</v>
      </c>
      <c r="P97" s="7">
        <v>1330</v>
      </c>
      <c r="Q97" s="7">
        <v>1264</v>
      </c>
      <c r="R97" s="7">
        <v>1137</v>
      </c>
      <c r="S97" s="7">
        <v>347</v>
      </c>
      <c r="T97" s="8">
        <v>2.5</v>
      </c>
      <c r="U97" s="8">
        <v>3.7</v>
      </c>
      <c r="V97" s="17">
        <v>3.7</v>
      </c>
      <c r="AD97" s="1"/>
      <c r="AE97" s="3"/>
      <c r="AF97" s="2"/>
      <c r="AG97" s="2"/>
      <c r="AH97" s="3"/>
      <c r="AI97" s="3"/>
      <c r="AJ97" s="1"/>
      <c r="AK97" s="1"/>
    </row>
    <row r="98" spans="1:37" x14ac:dyDescent="0.3">
      <c r="A98" s="14">
        <v>716</v>
      </c>
      <c r="B98" s="14">
        <v>3</v>
      </c>
      <c r="C98" s="9" t="s">
        <v>1659</v>
      </c>
      <c r="D98" s="9" t="s">
        <v>411</v>
      </c>
      <c r="E98" s="9" t="s">
        <v>2387</v>
      </c>
      <c r="F98" s="9" t="s">
        <v>2388</v>
      </c>
      <c r="G98" s="9">
        <v>3</v>
      </c>
      <c r="H98" s="9"/>
      <c r="I98" s="9"/>
      <c r="J98" s="9"/>
      <c r="K98" s="9" t="b">
        <v>0</v>
      </c>
      <c r="L98" s="9" t="s">
        <v>598</v>
      </c>
      <c r="M98" s="9" t="b">
        <v>0</v>
      </c>
      <c r="N98" s="9" t="s">
        <v>2389</v>
      </c>
      <c r="O98" s="9" t="s">
        <v>3891</v>
      </c>
      <c r="P98" s="7">
        <v>1213</v>
      </c>
      <c r="Q98" s="7">
        <v>1175</v>
      </c>
      <c r="R98" s="7">
        <v>993</v>
      </c>
      <c r="S98" s="7">
        <v>310</v>
      </c>
      <c r="T98" s="8">
        <v>2</v>
      </c>
      <c r="U98" s="8">
        <v>3.7</v>
      </c>
      <c r="V98" s="17">
        <v>3.7</v>
      </c>
      <c r="AD98" s="1"/>
      <c r="AE98" s="3"/>
      <c r="AF98" s="3"/>
      <c r="AG98" s="3"/>
      <c r="AH98" s="3"/>
      <c r="AI98" s="3"/>
      <c r="AJ98" s="1"/>
      <c r="AK98" s="1"/>
    </row>
    <row r="99" spans="1:37" x14ac:dyDescent="0.3">
      <c r="A99" s="14">
        <v>748</v>
      </c>
      <c r="B99" s="14">
        <v>3</v>
      </c>
      <c r="C99" s="9" t="s">
        <v>1659</v>
      </c>
      <c r="D99" s="9" t="s">
        <v>411</v>
      </c>
      <c r="E99" s="9" t="s">
        <v>2486</v>
      </c>
      <c r="F99" s="9" t="s">
        <v>2487</v>
      </c>
      <c r="G99" s="9">
        <v>1</v>
      </c>
      <c r="H99" s="9"/>
      <c r="I99" s="9"/>
      <c r="J99" s="9"/>
      <c r="K99" s="9" t="b">
        <v>0</v>
      </c>
      <c r="L99" s="9" t="s">
        <v>497</v>
      </c>
      <c r="M99" s="9" t="b">
        <v>0</v>
      </c>
      <c r="N99" s="9" t="s">
        <v>2488</v>
      </c>
      <c r="O99" s="9" t="s">
        <v>3923</v>
      </c>
      <c r="P99" s="7">
        <v>1281</v>
      </c>
      <c r="Q99" s="7">
        <v>1227</v>
      </c>
      <c r="R99" s="7">
        <v>1169</v>
      </c>
      <c r="S99" s="7">
        <v>334</v>
      </c>
      <c r="T99" s="8">
        <v>2.2000000000000002</v>
      </c>
      <c r="U99" s="8">
        <v>3.7</v>
      </c>
      <c r="V99" s="17">
        <v>3.7</v>
      </c>
      <c r="AD99" s="1"/>
      <c r="AE99" s="3"/>
      <c r="AF99" s="2"/>
      <c r="AG99" s="3"/>
      <c r="AH99" s="3"/>
      <c r="AI99" s="3"/>
      <c r="AJ99" s="1"/>
      <c r="AK99" s="1"/>
    </row>
    <row r="100" spans="1:37" x14ac:dyDescent="0.3">
      <c r="A100" s="14">
        <v>759</v>
      </c>
      <c r="B100" s="14">
        <v>3</v>
      </c>
      <c r="C100" s="9" t="s">
        <v>1659</v>
      </c>
      <c r="D100" s="9" t="s">
        <v>411</v>
      </c>
      <c r="E100" s="9" t="s">
        <v>2520</v>
      </c>
      <c r="F100" s="9" t="s">
        <v>2521</v>
      </c>
      <c r="G100" s="9">
        <v>4</v>
      </c>
      <c r="H100" s="9"/>
      <c r="I100" s="9"/>
      <c r="J100" s="9"/>
      <c r="K100" s="9" t="b">
        <v>0</v>
      </c>
      <c r="L100" s="9" t="s">
        <v>416</v>
      </c>
      <c r="M100" s="9" t="b">
        <v>0</v>
      </c>
      <c r="N100" s="9" t="s">
        <v>2522</v>
      </c>
      <c r="O100" s="9" t="s">
        <v>3934</v>
      </c>
      <c r="P100" s="7">
        <v>1008</v>
      </c>
      <c r="Q100" s="7">
        <v>987</v>
      </c>
      <c r="R100" s="7">
        <v>905</v>
      </c>
      <c r="S100" s="7">
        <v>263</v>
      </c>
      <c r="T100" s="8">
        <v>2.8</v>
      </c>
      <c r="U100" s="8">
        <v>3.7</v>
      </c>
      <c r="V100" s="17">
        <v>3.7</v>
      </c>
      <c r="AD100" s="1"/>
      <c r="AE100" s="3"/>
      <c r="AF100" s="2"/>
      <c r="AG100" s="3"/>
      <c r="AH100" s="3"/>
      <c r="AI100" s="3"/>
      <c r="AJ100" s="1"/>
      <c r="AK100" s="1"/>
    </row>
    <row r="101" spans="1:37" x14ac:dyDescent="0.3">
      <c r="A101" s="14">
        <v>781</v>
      </c>
      <c r="B101" s="14">
        <v>3</v>
      </c>
      <c r="C101" s="9" t="s">
        <v>1659</v>
      </c>
      <c r="D101" s="9" t="s">
        <v>411</v>
      </c>
      <c r="E101" s="9" t="s">
        <v>2587</v>
      </c>
      <c r="F101" s="9" t="s">
        <v>2588</v>
      </c>
      <c r="G101" s="9">
        <v>1</v>
      </c>
      <c r="H101" s="9"/>
      <c r="I101" s="9"/>
      <c r="J101" s="9"/>
      <c r="K101" s="9" t="b">
        <v>0</v>
      </c>
      <c r="L101" s="9" t="s">
        <v>407</v>
      </c>
      <c r="M101" s="9" t="b">
        <v>0</v>
      </c>
      <c r="N101" s="9" t="s">
        <v>2589</v>
      </c>
      <c r="O101" s="9" t="s">
        <v>3956</v>
      </c>
      <c r="P101" s="7">
        <v>1315</v>
      </c>
      <c r="Q101" s="7">
        <v>1207</v>
      </c>
      <c r="R101" s="7">
        <v>1022</v>
      </c>
      <c r="S101" s="7">
        <v>339</v>
      </c>
      <c r="T101" s="8">
        <v>3.4</v>
      </c>
      <c r="U101" s="8">
        <v>3.7</v>
      </c>
      <c r="V101" s="17">
        <v>3.7</v>
      </c>
      <c r="AD101" s="1"/>
      <c r="AE101" s="3"/>
      <c r="AF101" s="2"/>
      <c r="AG101" s="3"/>
      <c r="AH101" s="3"/>
      <c r="AI101" s="3"/>
      <c r="AJ101" s="1"/>
      <c r="AK101" s="1"/>
    </row>
    <row r="102" spans="1:37" x14ac:dyDescent="0.3">
      <c r="A102" s="14">
        <v>910</v>
      </c>
      <c r="B102" s="14">
        <v>4</v>
      </c>
      <c r="C102" s="9" t="s">
        <v>1659</v>
      </c>
      <c r="D102" s="9" t="s">
        <v>1394</v>
      </c>
      <c r="E102" s="9" t="s">
        <v>2970</v>
      </c>
      <c r="F102" s="9" t="s">
        <v>2971</v>
      </c>
      <c r="G102" s="9">
        <v>1</v>
      </c>
      <c r="H102" s="9"/>
      <c r="I102" s="9"/>
      <c r="J102" s="9"/>
      <c r="K102" s="9" t="b">
        <v>0</v>
      </c>
      <c r="L102" s="9"/>
      <c r="M102" s="9" t="b">
        <v>0</v>
      </c>
      <c r="N102" s="9" t="s">
        <v>2972</v>
      </c>
      <c r="O102" s="9" t="s">
        <v>4082</v>
      </c>
      <c r="P102" s="7">
        <v>1151</v>
      </c>
      <c r="Q102" s="7">
        <v>1130</v>
      </c>
      <c r="R102" s="7">
        <v>977</v>
      </c>
      <c r="S102" s="7">
        <v>299</v>
      </c>
      <c r="T102" s="8">
        <v>2.7</v>
      </c>
      <c r="U102" s="8">
        <v>3.7</v>
      </c>
      <c r="V102" s="17">
        <v>3.7</v>
      </c>
      <c r="AD102" s="1"/>
      <c r="AE102" s="3"/>
      <c r="AF102" s="2"/>
      <c r="AG102" s="3"/>
      <c r="AH102" s="3"/>
      <c r="AI102" s="3"/>
      <c r="AJ102" s="1"/>
      <c r="AK102" s="1"/>
    </row>
    <row r="103" spans="1:37" x14ac:dyDescent="0.3">
      <c r="A103" s="14">
        <v>55</v>
      </c>
      <c r="B103" s="14">
        <v>2</v>
      </c>
      <c r="C103" s="9" t="s">
        <v>0</v>
      </c>
      <c r="D103" s="9" t="s">
        <v>180</v>
      </c>
      <c r="E103" s="9" t="s">
        <v>199</v>
      </c>
      <c r="F103" s="9" t="s">
        <v>200</v>
      </c>
      <c r="G103" s="9">
        <v>1</v>
      </c>
      <c r="H103" s="9" t="s">
        <v>84</v>
      </c>
      <c r="I103" s="9"/>
      <c r="J103" s="9">
        <v>1</v>
      </c>
      <c r="K103" s="9" t="b">
        <v>0</v>
      </c>
      <c r="L103" s="9" t="s">
        <v>194</v>
      </c>
      <c r="M103" s="9" t="b">
        <v>0</v>
      </c>
      <c r="N103" s="9" t="s">
        <v>201</v>
      </c>
      <c r="O103" s="9" t="s">
        <v>3231</v>
      </c>
      <c r="P103" s="7">
        <v>1579</v>
      </c>
      <c r="Q103" s="7">
        <v>1525</v>
      </c>
      <c r="R103" s="7">
        <v>1293</v>
      </c>
      <c r="S103" s="7">
        <v>412</v>
      </c>
      <c r="T103" s="8">
        <v>2.8</v>
      </c>
      <c r="U103" s="8">
        <v>3.7</v>
      </c>
      <c r="V103" s="17">
        <v>3.7</v>
      </c>
      <c r="AD103" s="1"/>
      <c r="AE103" s="3"/>
      <c r="AF103" s="2"/>
      <c r="AG103" s="3"/>
      <c r="AH103" s="3"/>
      <c r="AI103" s="3"/>
      <c r="AJ103" s="1"/>
      <c r="AK103" s="1"/>
    </row>
    <row r="104" spans="1:37" x14ac:dyDescent="0.3">
      <c r="A104" s="14">
        <v>352</v>
      </c>
      <c r="B104" s="14">
        <v>1</v>
      </c>
      <c r="C104" s="9" t="s">
        <v>0</v>
      </c>
      <c r="D104" s="9" t="s">
        <v>1208</v>
      </c>
      <c r="E104" s="9" t="s">
        <v>1245</v>
      </c>
      <c r="F104" s="9" t="s">
        <v>1246</v>
      </c>
      <c r="G104" s="9">
        <v>1</v>
      </c>
      <c r="H104" s="9" t="s">
        <v>84</v>
      </c>
      <c r="I104" s="9"/>
      <c r="J104" s="9">
        <v>1</v>
      </c>
      <c r="K104" s="9" t="b">
        <v>0</v>
      </c>
      <c r="L104" s="9" t="s">
        <v>7</v>
      </c>
      <c r="M104" s="9" t="b">
        <v>0</v>
      </c>
      <c r="N104" s="9" t="s">
        <v>1247</v>
      </c>
      <c r="O104" s="9" t="s">
        <v>3528</v>
      </c>
      <c r="P104" s="7">
        <v>1425</v>
      </c>
      <c r="Q104" s="7">
        <v>1425</v>
      </c>
      <c r="R104" s="7">
        <v>1271</v>
      </c>
      <c r="S104" s="7">
        <v>370</v>
      </c>
      <c r="T104" s="8">
        <v>2</v>
      </c>
      <c r="U104" s="8">
        <v>3.7</v>
      </c>
      <c r="V104" s="17">
        <v>3.7</v>
      </c>
      <c r="AD104" s="1"/>
      <c r="AE104" s="3"/>
      <c r="AF104" s="2"/>
      <c r="AG104" s="3"/>
      <c r="AH104" s="3"/>
      <c r="AI104" s="3"/>
      <c r="AJ104" s="1"/>
      <c r="AK104" s="1"/>
    </row>
    <row r="105" spans="1:37" x14ac:dyDescent="0.3">
      <c r="A105" s="14">
        <v>68</v>
      </c>
      <c r="B105" s="14">
        <v>2</v>
      </c>
      <c r="C105" s="9" t="s">
        <v>0</v>
      </c>
      <c r="D105" s="9" t="s">
        <v>180</v>
      </c>
      <c r="E105" s="9" t="s">
        <v>250</v>
      </c>
      <c r="F105" s="9" t="s">
        <v>251</v>
      </c>
      <c r="G105" s="9">
        <v>1</v>
      </c>
      <c r="H105" s="9" t="s">
        <v>252</v>
      </c>
      <c r="I105" s="9"/>
      <c r="J105" s="9"/>
      <c r="K105" s="9" t="b">
        <v>0</v>
      </c>
      <c r="L105" s="9" t="s">
        <v>254</v>
      </c>
      <c r="M105" s="9" t="b">
        <v>0</v>
      </c>
      <c r="N105" s="9" t="s">
        <v>253</v>
      </c>
      <c r="O105" s="9" t="s">
        <v>3244</v>
      </c>
      <c r="P105" s="7">
        <v>1555</v>
      </c>
      <c r="Q105" s="7">
        <v>1371</v>
      </c>
      <c r="R105" s="7">
        <v>1199</v>
      </c>
      <c r="S105" s="7">
        <v>399</v>
      </c>
      <c r="T105" s="8">
        <v>2.5</v>
      </c>
      <c r="U105" s="8">
        <v>3.7</v>
      </c>
      <c r="V105" s="17">
        <v>3.7</v>
      </c>
      <c r="AD105" s="1"/>
      <c r="AE105" s="3"/>
      <c r="AF105" s="2"/>
      <c r="AG105" s="3"/>
      <c r="AH105" s="3"/>
      <c r="AI105" s="3"/>
      <c r="AJ105" s="1"/>
      <c r="AK105" s="1"/>
    </row>
    <row r="106" spans="1:37" x14ac:dyDescent="0.3">
      <c r="A106" s="14">
        <v>191</v>
      </c>
      <c r="B106" s="14">
        <v>3</v>
      </c>
      <c r="C106" s="9" t="s">
        <v>0</v>
      </c>
      <c r="D106" s="9" t="s">
        <v>411</v>
      </c>
      <c r="E106" s="9" t="s">
        <v>710</v>
      </c>
      <c r="F106" s="9" t="s">
        <v>711</v>
      </c>
      <c r="G106" s="9">
        <v>1</v>
      </c>
      <c r="H106" s="9" t="s">
        <v>26</v>
      </c>
      <c r="I106" s="9"/>
      <c r="J106" s="9"/>
      <c r="K106" s="9" t="b">
        <v>0</v>
      </c>
      <c r="L106" s="9" t="s">
        <v>416</v>
      </c>
      <c r="M106" s="9" t="b">
        <v>0</v>
      </c>
      <c r="N106" s="9" t="s">
        <v>712</v>
      </c>
      <c r="O106" s="9" t="s">
        <v>3367</v>
      </c>
      <c r="P106" s="7">
        <v>927</v>
      </c>
      <c r="Q106" s="7">
        <v>887</v>
      </c>
      <c r="R106" s="7">
        <v>778</v>
      </c>
      <c r="S106" s="7">
        <v>241</v>
      </c>
      <c r="T106" s="8">
        <v>3.6</v>
      </c>
      <c r="U106" s="8">
        <v>3.7</v>
      </c>
      <c r="V106" s="17">
        <v>3.7</v>
      </c>
      <c r="AD106" s="1"/>
      <c r="AE106" s="3"/>
      <c r="AF106" s="2"/>
      <c r="AG106" s="3"/>
      <c r="AH106" s="3"/>
      <c r="AI106" s="3"/>
      <c r="AJ106" s="1"/>
      <c r="AK106" s="1"/>
    </row>
    <row r="107" spans="1:37" x14ac:dyDescent="0.3">
      <c r="A107" s="14">
        <v>296</v>
      </c>
      <c r="B107" s="14">
        <v>3</v>
      </c>
      <c r="C107" s="9" t="s">
        <v>0</v>
      </c>
      <c r="D107" s="9" t="s">
        <v>411</v>
      </c>
      <c r="E107" s="9" t="s">
        <v>1057</v>
      </c>
      <c r="F107" s="9" t="s">
        <v>1058</v>
      </c>
      <c r="G107" s="9">
        <v>1</v>
      </c>
      <c r="H107" s="9" t="s">
        <v>26</v>
      </c>
      <c r="I107" s="9"/>
      <c r="J107" s="9">
        <v>1</v>
      </c>
      <c r="K107" s="9" t="b">
        <v>0</v>
      </c>
      <c r="L107" s="9" t="s">
        <v>497</v>
      </c>
      <c r="M107" s="9" t="b">
        <v>0</v>
      </c>
      <c r="N107" s="9" t="s">
        <v>1059</v>
      </c>
      <c r="O107" s="9" t="s">
        <v>3472</v>
      </c>
      <c r="P107" s="7">
        <v>977</v>
      </c>
      <c r="Q107" s="7">
        <v>966</v>
      </c>
      <c r="R107" s="7">
        <v>897</v>
      </c>
      <c r="S107" s="7">
        <v>254</v>
      </c>
      <c r="T107" s="8">
        <v>2.9</v>
      </c>
      <c r="U107" s="8">
        <v>3.7</v>
      </c>
      <c r="V107" s="17">
        <v>3.7</v>
      </c>
      <c r="AD107" s="1"/>
      <c r="AE107" s="3"/>
      <c r="AF107" s="2"/>
      <c r="AG107" s="3"/>
      <c r="AH107" s="3"/>
      <c r="AI107" s="3"/>
      <c r="AJ107" s="1"/>
      <c r="AK107" s="1"/>
    </row>
    <row r="108" spans="1:37" x14ac:dyDescent="0.3">
      <c r="A108" s="14">
        <v>901</v>
      </c>
      <c r="B108" s="14">
        <v>4</v>
      </c>
      <c r="C108" s="9" t="s">
        <v>1659</v>
      </c>
      <c r="D108" s="9" t="s">
        <v>1394</v>
      </c>
      <c r="E108" s="9" t="s">
        <v>3165</v>
      </c>
      <c r="F108" s="9" t="s">
        <v>3166</v>
      </c>
      <c r="G108" s="9">
        <v>1</v>
      </c>
      <c r="H108" s="9"/>
      <c r="I108" s="9"/>
      <c r="J108" s="9"/>
      <c r="K108" s="9" t="b">
        <v>0</v>
      </c>
      <c r="L108" s="9"/>
      <c r="M108" s="9" t="b">
        <v>0</v>
      </c>
      <c r="N108" s="9" t="s">
        <v>3167</v>
      </c>
      <c r="O108" s="9" t="s">
        <v>4074</v>
      </c>
      <c r="P108" s="7">
        <v>1167</v>
      </c>
      <c r="Q108" s="7">
        <v>1126</v>
      </c>
      <c r="R108" s="7">
        <v>1068</v>
      </c>
      <c r="S108" s="7">
        <v>296</v>
      </c>
      <c r="T108" s="8">
        <v>2.2000000000000002</v>
      </c>
      <c r="U108" s="8">
        <v>3.6</v>
      </c>
      <c r="V108" s="17">
        <v>3.6</v>
      </c>
      <c r="AD108" s="1"/>
      <c r="AE108" s="3"/>
      <c r="AF108" s="3"/>
      <c r="AG108" s="3"/>
      <c r="AH108" s="3"/>
      <c r="AI108" s="3"/>
      <c r="AJ108" s="1"/>
      <c r="AK108" s="1"/>
    </row>
    <row r="109" spans="1:37" x14ac:dyDescent="0.3">
      <c r="A109" s="14">
        <v>718</v>
      </c>
      <c r="B109" s="14">
        <v>3</v>
      </c>
      <c r="C109" s="9" t="s">
        <v>1659</v>
      </c>
      <c r="D109" s="9" t="s">
        <v>411</v>
      </c>
      <c r="E109" s="9" t="s">
        <v>2393</v>
      </c>
      <c r="F109" s="9" t="s">
        <v>2394</v>
      </c>
      <c r="G109" s="9">
        <v>3</v>
      </c>
      <c r="H109" s="9"/>
      <c r="I109" s="9"/>
      <c r="J109" s="9"/>
      <c r="K109" s="9" t="b">
        <v>0</v>
      </c>
      <c r="L109" s="9" t="s">
        <v>2396</v>
      </c>
      <c r="M109" s="9" t="b">
        <v>1</v>
      </c>
      <c r="N109" s="9" t="s">
        <v>2395</v>
      </c>
      <c r="O109" s="9" t="s">
        <v>3893</v>
      </c>
      <c r="P109" s="7">
        <v>1242</v>
      </c>
      <c r="Q109" s="7">
        <v>1201</v>
      </c>
      <c r="R109" s="7">
        <v>925</v>
      </c>
      <c r="S109" s="7">
        <v>311</v>
      </c>
      <c r="T109" s="8">
        <v>3.2</v>
      </c>
      <c r="U109" s="8">
        <v>3.6</v>
      </c>
      <c r="V109" s="17">
        <v>3.6</v>
      </c>
      <c r="AD109" s="1"/>
      <c r="AE109" s="3"/>
      <c r="AF109" s="2"/>
      <c r="AG109" s="2"/>
      <c r="AH109" s="2"/>
      <c r="AI109" s="3"/>
      <c r="AJ109" s="1"/>
      <c r="AK109" s="1"/>
    </row>
    <row r="110" spans="1:37" x14ac:dyDescent="0.3">
      <c r="A110" s="14">
        <v>761</v>
      </c>
      <c r="B110" s="14">
        <v>3</v>
      </c>
      <c r="C110" s="9" t="s">
        <v>1659</v>
      </c>
      <c r="D110" s="9" t="s">
        <v>411</v>
      </c>
      <c r="E110" s="9" t="s">
        <v>2526</v>
      </c>
      <c r="F110" s="9" t="s">
        <v>2527</v>
      </c>
      <c r="G110" s="9">
        <v>3</v>
      </c>
      <c r="H110" s="9"/>
      <c r="I110" s="9"/>
      <c r="J110" s="9"/>
      <c r="K110" s="9" t="b">
        <v>0</v>
      </c>
      <c r="L110" s="9" t="s">
        <v>420</v>
      </c>
      <c r="M110" s="9" t="b">
        <v>0</v>
      </c>
      <c r="N110" s="9" t="s">
        <v>2528</v>
      </c>
      <c r="O110" s="9" t="s">
        <v>3936</v>
      </c>
      <c r="P110" s="7">
        <v>552</v>
      </c>
      <c r="Q110" s="7">
        <v>543</v>
      </c>
      <c r="R110" s="7">
        <v>440</v>
      </c>
      <c r="S110" s="7">
        <v>139</v>
      </c>
      <c r="T110" s="8">
        <v>3.4</v>
      </c>
      <c r="U110" s="8">
        <v>3.6</v>
      </c>
      <c r="V110" s="17">
        <v>3.6</v>
      </c>
      <c r="AD110" s="1"/>
      <c r="AE110" s="3"/>
      <c r="AF110" s="3"/>
      <c r="AG110" s="3"/>
      <c r="AH110" s="3"/>
      <c r="AI110" s="3"/>
      <c r="AJ110" s="1"/>
      <c r="AK110" s="1"/>
    </row>
    <row r="111" spans="1:37" x14ac:dyDescent="0.3">
      <c r="A111" s="14">
        <v>602</v>
      </c>
      <c r="B111" s="14">
        <v>2</v>
      </c>
      <c r="C111" s="9" t="s">
        <v>1659</v>
      </c>
      <c r="D111" s="9" t="s">
        <v>180</v>
      </c>
      <c r="E111" s="9" t="s">
        <v>2033</v>
      </c>
      <c r="F111" s="9" t="s">
        <v>2034</v>
      </c>
      <c r="G111" s="9">
        <v>1</v>
      </c>
      <c r="H111" s="9"/>
      <c r="I111" s="9"/>
      <c r="J111" s="9"/>
      <c r="K111" s="9" t="b">
        <v>0</v>
      </c>
      <c r="L111" s="9" t="s">
        <v>2036</v>
      </c>
      <c r="M111" s="9" t="b">
        <v>1</v>
      </c>
      <c r="N111" s="9" t="s">
        <v>2035</v>
      </c>
      <c r="O111" s="9" t="s">
        <v>3777</v>
      </c>
      <c r="P111" s="7">
        <v>1422</v>
      </c>
      <c r="Q111" s="7">
        <v>1387</v>
      </c>
      <c r="R111" s="7">
        <v>1279</v>
      </c>
      <c r="S111" s="7">
        <v>361</v>
      </c>
      <c r="T111" s="8">
        <v>2.2999999999999998</v>
      </c>
      <c r="U111" s="8">
        <v>3.6</v>
      </c>
      <c r="V111" s="17">
        <v>3.6</v>
      </c>
      <c r="AD111" s="1"/>
      <c r="AE111" s="3"/>
      <c r="AF111" s="2"/>
      <c r="AG111" s="2"/>
      <c r="AH111" s="3"/>
      <c r="AI111" s="3"/>
      <c r="AJ111" s="1"/>
      <c r="AK111" s="1"/>
    </row>
    <row r="112" spans="1:37" x14ac:dyDescent="0.3">
      <c r="A112" s="14">
        <v>825</v>
      </c>
      <c r="B112" s="14">
        <v>1</v>
      </c>
      <c r="C112" s="9" t="s">
        <v>1659</v>
      </c>
      <c r="D112" s="9" t="s">
        <v>1077</v>
      </c>
      <c r="E112" s="9" t="s">
        <v>2719</v>
      </c>
      <c r="F112" s="9" t="s">
        <v>2720</v>
      </c>
      <c r="G112" s="9">
        <v>3</v>
      </c>
      <c r="H112" s="9"/>
      <c r="I112" s="9"/>
      <c r="J112" s="9"/>
      <c r="K112" s="9" t="b">
        <v>0</v>
      </c>
      <c r="L112" s="9" t="s">
        <v>7</v>
      </c>
      <c r="M112" s="9" t="b">
        <v>1</v>
      </c>
      <c r="N112" s="9" t="s">
        <v>2721</v>
      </c>
      <c r="O112" s="9" t="s">
        <v>4000</v>
      </c>
      <c r="P112" s="7">
        <v>1547</v>
      </c>
      <c r="Q112" s="7">
        <v>1484</v>
      </c>
      <c r="R112" s="7">
        <v>1192</v>
      </c>
      <c r="S112" s="7">
        <v>392</v>
      </c>
      <c r="T112" s="8">
        <v>3.2</v>
      </c>
      <c r="U112" s="8">
        <v>3.6</v>
      </c>
      <c r="V112" s="17">
        <v>3.6</v>
      </c>
      <c r="AD112" s="1"/>
      <c r="AE112" s="3"/>
      <c r="AF112" s="2"/>
      <c r="AG112" s="3"/>
      <c r="AH112" s="3"/>
      <c r="AI112" s="3"/>
      <c r="AJ112" s="1"/>
      <c r="AK112" s="1"/>
    </row>
    <row r="113" spans="1:37" x14ac:dyDescent="0.3">
      <c r="A113" s="14">
        <v>420</v>
      </c>
      <c r="B113" s="14">
        <v>2</v>
      </c>
      <c r="C113" s="9" t="s">
        <v>0</v>
      </c>
      <c r="D113" s="9" t="s">
        <v>1457</v>
      </c>
      <c r="E113" s="9" t="s">
        <v>1458</v>
      </c>
      <c r="F113" s="9" t="s">
        <v>1459</v>
      </c>
      <c r="G113" s="9">
        <v>1</v>
      </c>
      <c r="H113" s="9"/>
      <c r="I113" s="9" t="s">
        <v>1001</v>
      </c>
      <c r="J113" s="9"/>
      <c r="K113" s="9" t="b">
        <v>0</v>
      </c>
      <c r="L113" s="9" t="s">
        <v>1461</v>
      </c>
      <c r="M113" s="9" t="b">
        <v>0</v>
      </c>
      <c r="N113" s="9" t="s">
        <v>1460</v>
      </c>
      <c r="O113" s="9" t="s">
        <v>3595</v>
      </c>
      <c r="P113" s="7">
        <v>1541</v>
      </c>
      <c r="Q113" s="7">
        <v>1388</v>
      </c>
      <c r="R113" s="7">
        <v>1201</v>
      </c>
      <c r="S113" s="7">
        <v>386</v>
      </c>
      <c r="T113" s="8">
        <v>3.3</v>
      </c>
      <c r="U113" s="8">
        <v>3.6</v>
      </c>
      <c r="V113" s="17">
        <v>3.6</v>
      </c>
      <c r="AD113" s="1"/>
      <c r="AE113" s="3"/>
      <c r="AF113" s="3"/>
      <c r="AG113" s="3"/>
      <c r="AH113" s="3"/>
      <c r="AI113" s="3"/>
      <c r="AJ113" s="1"/>
      <c r="AK113" s="1"/>
    </row>
    <row r="114" spans="1:37" x14ac:dyDescent="0.3">
      <c r="A114" s="14">
        <v>123</v>
      </c>
      <c r="B114" s="14">
        <v>3</v>
      </c>
      <c r="C114" s="9" t="s">
        <v>0</v>
      </c>
      <c r="D114" s="9" t="s">
        <v>411</v>
      </c>
      <c r="E114" s="9" t="s">
        <v>470</v>
      </c>
      <c r="F114" s="9" t="s">
        <v>471</v>
      </c>
      <c r="G114" s="9">
        <v>1</v>
      </c>
      <c r="H114" s="9"/>
      <c r="I114" s="9"/>
      <c r="J114" s="9"/>
      <c r="K114" s="9" t="b">
        <v>0</v>
      </c>
      <c r="L114" s="9" t="s">
        <v>194</v>
      </c>
      <c r="M114" s="9" t="b">
        <v>0</v>
      </c>
      <c r="N114" s="9" t="s">
        <v>472</v>
      </c>
      <c r="O114" s="9" t="s">
        <v>3299</v>
      </c>
      <c r="P114" s="7">
        <v>1267</v>
      </c>
      <c r="Q114" s="7">
        <v>1194</v>
      </c>
      <c r="R114" s="7">
        <v>1094</v>
      </c>
      <c r="S114" s="7">
        <v>318</v>
      </c>
      <c r="T114" s="8">
        <v>2.7</v>
      </c>
      <c r="U114" s="8">
        <v>3.6</v>
      </c>
      <c r="V114" s="17">
        <v>3.6</v>
      </c>
      <c r="AD114" s="1"/>
      <c r="AE114" s="3"/>
      <c r="AF114" s="3"/>
      <c r="AG114" s="3"/>
      <c r="AH114" s="3"/>
      <c r="AI114" s="3"/>
      <c r="AJ114" s="1"/>
      <c r="AK114" s="1"/>
    </row>
    <row r="115" spans="1:37" x14ac:dyDescent="0.3">
      <c r="A115" s="14">
        <v>310</v>
      </c>
      <c r="B115" s="14">
        <v>1</v>
      </c>
      <c r="C115" s="9" t="s">
        <v>0</v>
      </c>
      <c r="D115" s="9" t="s">
        <v>1077</v>
      </c>
      <c r="E115" s="9" t="s">
        <v>1104</v>
      </c>
      <c r="F115" s="9" t="s">
        <v>1105</v>
      </c>
      <c r="G115" s="9">
        <v>1</v>
      </c>
      <c r="H115" s="9"/>
      <c r="I115" s="9" t="s">
        <v>22</v>
      </c>
      <c r="J115" s="9"/>
      <c r="K115" s="9" t="b">
        <v>0</v>
      </c>
      <c r="L115" s="9" t="s">
        <v>7</v>
      </c>
      <c r="M115" s="9" t="b">
        <v>0</v>
      </c>
      <c r="N115" s="9" t="s">
        <v>1106</v>
      </c>
      <c r="O115" s="9" t="s">
        <v>3486</v>
      </c>
      <c r="P115" s="7">
        <v>1301</v>
      </c>
      <c r="Q115" s="7">
        <v>1283</v>
      </c>
      <c r="R115" s="7">
        <v>1148</v>
      </c>
      <c r="S115" s="7">
        <v>324</v>
      </c>
      <c r="T115" s="8">
        <v>2.1</v>
      </c>
      <c r="U115" s="8">
        <v>3.6</v>
      </c>
      <c r="V115" s="17">
        <v>3.6</v>
      </c>
      <c r="AD115" s="1"/>
      <c r="AE115" s="3"/>
      <c r="AF115" s="3"/>
      <c r="AG115" s="3"/>
      <c r="AH115" s="3"/>
      <c r="AI115" s="3"/>
      <c r="AJ115" s="1"/>
      <c r="AK115" s="1"/>
    </row>
    <row r="116" spans="1:37" x14ac:dyDescent="0.3">
      <c r="A116" s="14">
        <v>365</v>
      </c>
      <c r="B116" s="14">
        <v>1</v>
      </c>
      <c r="C116" s="9" t="s">
        <v>0</v>
      </c>
      <c r="D116" s="9" t="s">
        <v>1208</v>
      </c>
      <c r="E116" s="9" t="s">
        <v>1284</v>
      </c>
      <c r="F116" s="9" t="s">
        <v>1285</v>
      </c>
      <c r="G116" s="9">
        <v>1</v>
      </c>
      <c r="H116" s="9" t="s">
        <v>26</v>
      </c>
      <c r="I116" s="9" t="s">
        <v>5</v>
      </c>
      <c r="J116" s="9">
        <v>1</v>
      </c>
      <c r="K116" s="9" t="b">
        <v>0</v>
      </c>
      <c r="L116" s="9" t="s">
        <v>7</v>
      </c>
      <c r="M116" s="9" t="b">
        <v>1</v>
      </c>
      <c r="N116" s="9" t="s">
        <v>1286</v>
      </c>
      <c r="O116" s="9" t="s">
        <v>3541</v>
      </c>
      <c r="P116" s="7">
        <v>1553</v>
      </c>
      <c r="Q116" s="7">
        <v>1508</v>
      </c>
      <c r="R116" s="7">
        <v>1227</v>
      </c>
      <c r="S116" s="7">
        <v>395</v>
      </c>
      <c r="T116" s="8">
        <v>2.4</v>
      </c>
      <c r="U116" s="8">
        <v>3.6</v>
      </c>
      <c r="V116" s="17">
        <v>3.6</v>
      </c>
      <c r="AD116" s="1"/>
      <c r="AE116" s="3"/>
      <c r="AF116" s="2"/>
      <c r="AG116" s="3"/>
      <c r="AH116" s="3"/>
      <c r="AI116" s="3"/>
      <c r="AJ116" s="1"/>
      <c r="AK116" s="1"/>
    </row>
    <row r="117" spans="1:37" x14ac:dyDescent="0.3">
      <c r="A117" s="14">
        <v>223</v>
      </c>
      <c r="B117" s="14">
        <v>3</v>
      </c>
      <c r="C117" s="9" t="s">
        <v>0</v>
      </c>
      <c r="D117" s="9" t="s">
        <v>411</v>
      </c>
      <c r="E117" s="9" t="s">
        <v>820</v>
      </c>
      <c r="F117" s="9" t="s">
        <v>821</v>
      </c>
      <c r="G117" s="9">
        <v>1</v>
      </c>
      <c r="H117" s="9" t="s">
        <v>822</v>
      </c>
      <c r="I117" s="9"/>
      <c r="J117" s="9"/>
      <c r="K117" s="9" t="b">
        <v>0</v>
      </c>
      <c r="L117" s="9" t="s">
        <v>238</v>
      </c>
      <c r="M117" s="9" t="b">
        <v>0</v>
      </c>
      <c r="N117" s="9" t="s">
        <v>823</v>
      </c>
      <c r="O117" s="9" t="s">
        <v>3399</v>
      </c>
      <c r="P117" s="7">
        <v>1233</v>
      </c>
      <c r="Q117" s="7">
        <v>1105</v>
      </c>
      <c r="R117" s="7">
        <v>863</v>
      </c>
      <c r="S117" s="7">
        <v>314</v>
      </c>
      <c r="T117" s="8">
        <v>3.5</v>
      </c>
      <c r="U117" s="8">
        <v>3.6</v>
      </c>
      <c r="V117" s="17">
        <v>3.6</v>
      </c>
      <c r="AD117" s="1"/>
      <c r="AE117" s="3"/>
      <c r="AF117" s="2"/>
      <c r="AG117" s="3"/>
      <c r="AH117" s="3"/>
      <c r="AI117" s="3"/>
      <c r="AJ117" s="1"/>
      <c r="AK117" s="1"/>
    </row>
    <row r="118" spans="1:37" x14ac:dyDescent="0.3">
      <c r="A118" s="14">
        <v>233</v>
      </c>
      <c r="B118" s="14">
        <v>3</v>
      </c>
      <c r="C118" s="9" t="s">
        <v>0</v>
      </c>
      <c r="D118" s="9" t="s">
        <v>411</v>
      </c>
      <c r="E118" s="9" t="s">
        <v>852</v>
      </c>
      <c r="F118" s="9" t="s">
        <v>853</v>
      </c>
      <c r="G118" s="9">
        <v>1</v>
      </c>
      <c r="H118" s="9" t="s">
        <v>84</v>
      </c>
      <c r="I118" s="9"/>
      <c r="J118" s="9"/>
      <c r="K118" s="9" t="b">
        <v>0</v>
      </c>
      <c r="L118" s="9" t="s">
        <v>497</v>
      </c>
      <c r="M118" s="9" t="b">
        <v>0</v>
      </c>
      <c r="N118" s="9" t="s">
        <v>854</v>
      </c>
      <c r="O118" s="9" t="s">
        <v>3409</v>
      </c>
      <c r="P118" s="7">
        <v>979</v>
      </c>
      <c r="Q118" s="7">
        <v>946</v>
      </c>
      <c r="R118" s="7">
        <v>791</v>
      </c>
      <c r="S118" s="7">
        <v>246</v>
      </c>
      <c r="T118" s="8">
        <v>3.4</v>
      </c>
      <c r="U118" s="8">
        <v>3.6</v>
      </c>
      <c r="V118" s="17">
        <v>3.6</v>
      </c>
      <c r="AD118" s="1"/>
      <c r="AE118" s="3"/>
      <c r="AF118" s="2"/>
      <c r="AG118" s="3"/>
      <c r="AH118" s="3"/>
      <c r="AI118" s="3"/>
      <c r="AJ118" s="1"/>
      <c r="AK118" s="1"/>
    </row>
    <row r="119" spans="1:37" x14ac:dyDescent="0.3">
      <c r="A119" s="14">
        <v>464</v>
      </c>
      <c r="B119" s="14">
        <v>2</v>
      </c>
      <c r="C119" s="9" t="s">
        <v>0</v>
      </c>
      <c r="D119" s="9" t="s">
        <v>1457</v>
      </c>
      <c r="E119" s="9" t="s">
        <v>1607</v>
      </c>
      <c r="F119" s="9" t="s">
        <v>1608</v>
      </c>
      <c r="G119" s="9">
        <v>1</v>
      </c>
      <c r="H119" s="9" t="s">
        <v>1609</v>
      </c>
      <c r="I119" s="9"/>
      <c r="J119" s="9">
        <v>2</v>
      </c>
      <c r="K119" s="9" t="b">
        <v>0</v>
      </c>
      <c r="L119" s="9" t="s">
        <v>1482</v>
      </c>
      <c r="M119" s="9" t="b">
        <v>0</v>
      </c>
      <c r="N119" s="9" t="s">
        <v>1610</v>
      </c>
      <c r="O119" s="9" t="s">
        <v>3639</v>
      </c>
      <c r="P119" s="7">
        <v>1559</v>
      </c>
      <c r="Q119" s="7">
        <v>1516</v>
      </c>
      <c r="R119" s="7">
        <v>1189</v>
      </c>
      <c r="S119" s="7">
        <v>388</v>
      </c>
      <c r="T119" s="8">
        <v>2.8</v>
      </c>
      <c r="U119" s="8">
        <v>3.6</v>
      </c>
      <c r="V119" s="17">
        <v>3.6</v>
      </c>
      <c r="AD119" s="1"/>
      <c r="AE119" s="3"/>
      <c r="AF119" s="2"/>
      <c r="AG119" s="2"/>
      <c r="AH119" s="3"/>
      <c r="AI119" s="3"/>
      <c r="AJ119" s="1"/>
      <c r="AK119" s="1"/>
    </row>
    <row r="120" spans="1:37" x14ac:dyDescent="0.3">
      <c r="A120" s="14">
        <v>40</v>
      </c>
      <c r="B120" s="14">
        <v>1</v>
      </c>
      <c r="C120" s="9" t="s">
        <v>0</v>
      </c>
      <c r="D120" s="9" t="s">
        <v>1</v>
      </c>
      <c r="E120" s="9" t="s">
        <v>143</v>
      </c>
      <c r="F120" s="9" t="s">
        <v>144</v>
      </c>
      <c r="G120" s="9">
        <v>1</v>
      </c>
      <c r="H120" s="9" t="s">
        <v>84</v>
      </c>
      <c r="I120" s="9" t="s">
        <v>145</v>
      </c>
      <c r="J120" s="9"/>
      <c r="K120" s="9" t="b">
        <v>0</v>
      </c>
      <c r="L120" s="9" t="s">
        <v>7</v>
      </c>
      <c r="M120" s="9" t="b">
        <v>0</v>
      </c>
      <c r="N120" s="9" t="s">
        <v>146</v>
      </c>
      <c r="O120" s="9" t="s">
        <v>3216</v>
      </c>
      <c r="P120" s="7">
        <v>1502</v>
      </c>
      <c r="Q120" s="7">
        <v>1419</v>
      </c>
      <c r="R120" s="7">
        <v>1302</v>
      </c>
      <c r="S120" s="7">
        <v>381</v>
      </c>
      <c r="T120" s="8">
        <v>2</v>
      </c>
      <c r="U120" s="8">
        <v>3.6</v>
      </c>
      <c r="V120" s="17">
        <v>3.6</v>
      </c>
      <c r="AD120" s="1"/>
      <c r="AE120" s="3"/>
      <c r="AF120" s="2"/>
      <c r="AG120" s="3"/>
      <c r="AH120" s="3"/>
      <c r="AI120" s="3"/>
      <c r="AJ120" s="1"/>
      <c r="AK120" s="1"/>
    </row>
    <row r="121" spans="1:37" x14ac:dyDescent="0.3">
      <c r="A121" s="14">
        <v>98</v>
      </c>
      <c r="B121" s="14">
        <v>2</v>
      </c>
      <c r="C121" s="9" t="s">
        <v>0</v>
      </c>
      <c r="D121" s="9" t="s">
        <v>180</v>
      </c>
      <c r="E121" s="9" t="s">
        <v>370</v>
      </c>
      <c r="F121" s="9" t="s">
        <v>371</v>
      </c>
      <c r="G121" s="9">
        <v>1</v>
      </c>
      <c r="H121" s="9"/>
      <c r="I121" s="9" t="s">
        <v>22</v>
      </c>
      <c r="J121" s="9"/>
      <c r="K121" s="9" t="b">
        <v>0</v>
      </c>
      <c r="L121" s="9"/>
      <c r="M121" s="9" t="b">
        <v>0</v>
      </c>
      <c r="N121" s="9" t="s">
        <v>372</v>
      </c>
      <c r="O121" s="9" t="s">
        <v>3274</v>
      </c>
      <c r="P121" s="7">
        <v>1337</v>
      </c>
      <c r="Q121" s="7">
        <v>1199</v>
      </c>
      <c r="R121" s="7">
        <v>1127</v>
      </c>
      <c r="S121" s="7">
        <v>335</v>
      </c>
      <c r="T121" s="8">
        <v>3.5</v>
      </c>
      <c r="U121" s="8">
        <v>3.6</v>
      </c>
      <c r="V121" s="17">
        <v>3.6</v>
      </c>
      <c r="AD121" s="1"/>
      <c r="AE121" s="3"/>
      <c r="AF121" s="2"/>
      <c r="AG121" s="2"/>
      <c r="AH121" s="3"/>
      <c r="AI121" s="3"/>
      <c r="AJ121" s="1"/>
      <c r="AK121" s="1"/>
    </row>
    <row r="122" spans="1:37" x14ac:dyDescent="0.3">
      <c r="A122" s="14">
        <v>287</v>
      </c>
      <c r="B122" s="14">
        <v>3</v>
      </c>
      <c r="C122" s="9" t="s">
        <v>0</v>
      </c>
      <c r="D122" s="9" t="s">
        <v>411</v>
      </c>
      <c r="E122" s="9" t="s">
        <v>1029</v>
      </c>
      <c r="F122" s="9" t="s">
        <v>1030</v>
      </c>
      <c r="G122" s="9">
        <v>1</v>
      </c>
      <c r="H122" s="9"/>
      <c r="I122" s="9" t="s">
        <v>312</v>
      </c>
      <c r="J122" s="9"/>
      <c r="K122" s="9" t="b">
        <v>0</v>
      </c>
      <c r="L122" s="9" t="s">
        <v>425</v>
      </c>
      <c r="M122" s="9" t="b">
        <v>0</v>
      </c>
      <c r="N122" s="9" t="s">
        <v>1031</v>
      </c>
      <c r="O122" s="9" t="s">
        <v>3463</v>
      </c>
      <c r="P122" s="7">
        <v>1325</v>
      </c>
      <c r="Q122" s="7">
        <v>1252</v>
      </c>
      <c r="R122" s="7">
        <v>1063</v>
      </c>
      <c r="S122" s="7">
        <v>332</v>
      </c>
      <c r="T122" s="8">
        <v>2.2000000000000002</v>
      </c>
      <c r="U122" s="8">
        <v>3.6</v>
      </c>
      <c r="V122" s="17">
        <v>3.6</v>
      </c>
      <c r="AD122" s="1"/>
      <c r="AE122" s="3"/>
      <c r="AF122" s="2"/>
      <c r="AG122" s="2"/>
      <c r="AH122" s="2"/>
      <c r="AI122" s="3"/>
      <c r="AJ122" s="1"/>
      <c r="AK122" s="1"/>
    </row>
    <row r="123" spans="1:37" x14ac:dyDescent="0.3">
      <c r="A123" s="14">
        <v>634</v>
      </c>
      <c r="B123" s="14">
        <v>3</v>
      </c>
      <c r="C123" s="9" t="s">
        <v>1659</v>
      </c>
      <c r="D123" s="9" t="s">
        <v>411</v>
      </c>
      <c r="E123" s="9" t="s">
        <v>2133</v>
      </c>
      <c r="F123" s="9" t="s">
        <v>2134</v>
      </c>
      <c r="G123" s="9">
        <v>1</v>
      </c>
      <c r="H123" s="9"/>
      <c r="I123" s="9"/>
      <c r="J123" s="9"/>
      <c r="K123" s="9" t="b">
        <v>0</v>
      </c>
      <c r="L123" s="9" t="s">
        <v>416</v>
      </c>
      <c r="M123" s="9" t="b">
        <v>0</v>
      </c>
      <c r="N123" s="9" t="s">
        <v>2135</v>
      </c>
      <c r="O123" s="9" t="s">
        <v>3809</v>
      </c>
      <c r="P123" s="7">
        <v>998</v>
      </c>
      <c r="Q123" s="7">
        <v>962</v>
      </c>
      <c r="R123" s="7">
        <v>765</v>
      </c>
      <c r="S123" s="7">
        <v>242</v>
      </c>
      <c r="T123" s="8">
        <v>2.8</v>
      </c>
      <c r="U123" s="8">
        <v>3.5</v>
      </c>
      <c r="V123" s="17">
        <v>3.5</v>
      </c>
      <c r="AD123" s="1"/>
      <c r="AE123" s="3"/>
      <c r="AF123" s="3"/>
      <c r="AG123" s="3"/>
      <c r="AH123" s="3"/>
      <c r="AI123" s="3"/>
      <c r="AJ123" s="1"/>
      <c r="AK123" s="1"/>
    </row>
    <row r="124" spans="1:37" x14ac:dyDescent="0.3">
      <c r="A124" s="14">
        <v>491</v>
      </c>
      <c r="B124" s="14">
        <v>1</v>
      </c>
      <c r="C124" s="9" t="s">
        <v>1659</v>
      </c>
      <c r="D124" s="9" t="s">
        <v>1</v>
      </c>
      <c r="E124" s="9" t="s">
        <v>1693</v>
      </c>
      <c r="F124" s="9" t="s">
        <v>1694</v>
      </c>
      <c r="G124" s="9">
        <v>1</v>
      </c>
      <c r="H124" s="9"/>
      <c r="I124" s="9"/>
      <c r="J124" s="9"/>
      <c r="K124" s="9" t="b">
        <v>0</v>
      </c>
      <c r="L124" s="9" t="s">
        <v>7</v>
      </c>
      <c r="M124" s="9" t="b">
        <v>1</v>
      </c>
      <c r="N124" s="9" t="s">
        <v>1695</v>
      </c>
      <c r="O124" s="9" t="s">
        <v>3666</v>
      </c>
      <c r="P124" s="7">
        <v>1486</v>
      </c>
      <c r="Q124" s="7">
        <v>1419</v>
      </c>
      <c r="R124" s="7">
        <v>1040</v>
      </c>
      <c r="S124" s="7">
        <v>365</v>
      </c>
      <c r="T124" s="8">
        <v>3.1</v>
      </c>
      <c r="U124" s="8">
        <v>3.5</v>
      </c>
      <c r="V124" s="17">
        <v>3.5</v>
      </c>
      <c r="AD124" s="1"/>
      <c r="AE124" s="3"/>
      <c r="AF124" s="2"/>
      <c r="AG124" s="2"/>
      <c r="AH124" s="3"/>
      <c r="AI124" s="3"/>
      <c r="AJ124" s="1"/>
      <c r="AK124" s="1"/>
    </row>
    <row r="125" spans="1:37" x14ac:dyDescent="0.3">
      <c r="A125" s="14">
        <v>572</v>
      </c>
      <c r="B125" s="14">
        <v>2</v>
      </c>
      <c r="C125" s="9" t="s">
        <v>1659</v>
      </c>
      <c r="D125" s="9" t="s">
        <v>180</v>
      </c>
      <c r="E125" s="9" t="s">
        <v>1938</v>
      </c>
      <c r="F125" s="9" t="s">
        <v>1939</v>
      </c>
      <c r="G125" s="9">
        <v>1</v>
      </c>
      <c r="H125" s="9"/>
      <c r="I125" s="9"/>
      <c r="J125" s="9"/>
      <c r="K125" s="9" t="b">
        <v>0</v>
      </c>
      <c r="L125" s="9" t="s">
        <v>531</v>
      </c>
      <c r="M125" s="9" t="b">
        <v>0</v>
      </c>
      <c r="N125" s="9" t="s">
        <v>1940</v>
      </c>
      <c r="O125" s="9" t="s">
        <v>3747</v>
      </c>
      <c r="P125" s="7">
        <v>1316</v>
      </c>
      <c r="Q125" s="7">
        <v>1286</v>
      </c>
      <c r="R125" s="7">
        <v>1138</v>
      </c>
      <c r="S125" s="7">
        <v>324</v>
      </c>
      <c r="T125" s="8">
        <v>2.8</v>
      </c>
      <c r="U125" s="8">
        <v>3.5</v>
      </c>
      <c r="V125" s="17">
        <v>3.5</v>
      </c>
      <c r="AD125" s="1"/>
      <c r="AE125" s="3"/>
      <c r="AF125" s="3"/>
      <c r="AG125" s="3"/>
      <c r="AH125" s="3"/>
      <c r="AI125" s="3"/>
      <c r="AJ125" s="1"/>
      <c r="AK125" s="1"/>
    </row>
    <row r="126" spans="1:37" x14ac:dyDescent="0.3">
      <c r="A126" s="14">
        <v>676</v>
      </c>
      <c r="B126" s="14">
        <v>3</v>
      </c>
      <c r="C126" s="9" t="s">
        <v>1659</v>
      </c>
      <c r="D126" s="9" t="s">
        <v>411</v>
      </c>
      <c r="E126" s="9" t="s">
        <v>2265</v>
      </c>
      <c r="F126" s="9" t="s">
        <v>2266</v>
      </c>
      <c r="G126" s="9">
        <v>4</v>
      </c>
      <c r="H126" s="9"/>
      <c r="I126" s="9"/>
      <c r="J126" s="9"/>
      <c r="K126" s="9" t="b">
        <v>0</v>
      </c>
      <c r="L126" s="9" t="s">
        <v>437</v>
      </c>
      <c r="M126" s="9" t="b">
        <v>0</v>
      </c>
      <c r="N126" s="9" t="s">
        <v>2267</v>
      </c>
      <c r="O126" s="9" t="s">
        <v>3851</v>
      </c>
      <c r="P126" s="7">
        <v>1030</v>
      </c>
      <c r="Q126" s="7">
        <v>992</v>
      </c>
      <c r="R126" s="7">
        <v>777</v>
      </c>
      <c r="S126" s="7">
        <v>251</v>
      </c>
      <c r="T126" s="8">
        <v>3.9</v>
      </c>
      <c r="U126" s="8">
        <v>3.5</v>
      </c>
      <c r="V126" s="17">
        <v>3.5</v>
      </c>
      <c r="AD126" s="1"/>
      <c r="AE126" s="3"/>
      <c r="AF126" s="2"/>
      <c r="AG126" s="2"/>
      <c r="AH126" s="3"/>
      <c r="AI126" s="3"/>
      <c r="AJ126" s="1"/>
      <c r="AK126" s="1"/>
    </row>
    <row r="127" spans="1:37" x14ac:dyDescent="0.3">
      <c r="A127" s="14">
        <v>684</v>
      </c>
      <c r="B127" s="14">
        <v>3</v>
      </c>
      <c r="C127" s="9" t="s">
        <v>1659</v>
      </c>
      <c r="D127" s="9" t="s">
        <v>411</v>
      </c>
      <c r="E127" s="9" t="s">
        <v>2289</v>
      </c>
      <c r="F127" s="9" t="s">
        <v>2290</v>
      </c>
      <c r="G127" s="9">
        <v>4</v>
      </c>
      <c r="H127" s="9"/>
      <c r="I127" s="9"/>
      <c r="J127" s="9"/>
      <c r="K127" s="9" t="b">
        <v>0</v>
      </c>
      <c r="L127" s="9" t="s">
        <v>238</v>
      </c>
      <c r="M127" s="9" t="b">
        <v>0</v>
      </c>
      <c r="N127" s="9" t="s">
        <v>2291</v>
      </c>
      <c r="O127" s="9" t="s">
        <v>3859</v>
      </c>
      <c r="P127" s="7">
        <v>1159</v>
      </c>
      <c r="Q127" s="7">
        <v>1137</v>
      </c>
      <c r="R127" s="7">
        <v>980</v>
      </c>
      <c r="S127" s="7">
        <v>285</v>
      </c>
      <c r="T127" s="8">
        <v>2.8</v>
      </c>
      <c r="U127" s="8">
        <v>3.5</v>
      </c>
      <c r="V127" s="17">
        <v>3.5</v>
      </c>
      <c r="AD127" s="1"/>
      <c r="AE127" s="3"/>
      <c r="AF127" s="3"/>
      <c r="AG127" s="3"/>
      <c r="AH127" s="3"/>
      <c r="AI127" s="3"/>
      <c r="AJ127" s="1"/>
      <c r="AK127" s="1"/>
    </row>
    <row r="128" spans="1:37" x14ac:dyDescent="0.3">
      <c r="A128" s="14">
        <v>575</v>
      </c>
      <c r="B128" s="14">
        <v>2</v>
      </c>
      <c r="C128" s="9" t="s">
        <v>1659</v>
      </c>
      <c r="D128" s="9" t="s">
        <v>180</v>
      </c>
      <c r="E128" s="9" t="s">
        <v>1947</v>
      </c>
      <c r="F128" s="9" t="s">
        <v>1948</v>
      </c>
      <c r="G128" s="9">
        <v>1</v>
      </c>
      <c r="H128" s="9"/>
      <c r="I128" s="9"/>
      <c r="J128" s="9"/>
      <c r="K128" s="9" t="b">
        <v>0</v>
      </c>
      <c r="L128" s="9" t="s">
        <v>1950</v>
      </c>
      <c r="M128" s="9" t="b">
        <v>0</v>
      </c>
      <c r="N128" s="9" t="s">
        <v>1949</v>
      </c>
      <c r="O128" s="9" t="s">
        <v>3750</v>
      </c>
      <c r="P128" s="7">
        <v>1524</v>
      </c>
      <c r="Q128" s="7">
        <v>1468</v>
      </c>
      <c r="R128" s="7">
        <v>1265</v>
      </c>
      <c r="S128" s="7">
        <v>378</v>
      </c>
      <c r="T128" s="8">
        <v>2.6</v>
      </c>
      <c r="U128" s="8">
        <v>3.5</v>
      </c>
      <c r="V128" s="17">
        <v>3.5</v>
      </c>
      <c r="AD128" s="1"/>
      <c r="AE128" s="3"/>
      <c r="AF128" s="2"/>
      <c r="AG128" s="3"/>
      <c r="AH128" s="3"/>
      <c r="AI128" s="3"/>
      <c r="AJ128" s="1"/>
      <c r="AK128" s="1"/>
    </row>
    <row r="129" spans="1:37" x14ac:dyDescent="0.3">
      <c r="A129" s="14">
        <v>944</v>
      </c>
      <c r="B129" s="14">
        <v>2</v>
      </c>
      <c r="C129" s="9" t="s">
        <v>1659</v>
      </c>
      <c r="D129" s="9" t="s">
        <v>1457</v>
      </c>
      <c r="E129" s="9" t="s">
        <v>3079</v>
      </c>
      <c r="F129" s="9" t="s">
        <v>3080</v>
      </c>
      <c r="G129" s="9">
        <v>1</v>
      </c>
      <c r="H129" s="9"/>
      <c r="I129" s="9"/>
      <c r="J129" s="9"/>
      <c r="K129" s="9" t="b">
        <v>0</v>
      </c>
      <c r="L129" s="9" t="s">
        <v>286</v>
      </c>
      <c r="M129" s="9" t="b">
        <v>0</v>
      </c>
      <c r="N129" s="9" t="s">
        <v>3081</v>
      </c>
      <c r="O129" s="9" t="s">
        <v>4116</v>
      </c>
      <c r="P129" s="7">
        <v>1499</v>
      </c>
      <c r="Q129" s="7">
        <v>1384</v>
      </c>
      <c r="R129" s="7">
        <v>1123</v>
      </c>
      <c r="S129" s="7">
        <v>371</v>
      </c>
      <c r="T129" s="8">
        <v>3.6</v>
      </c>
      <c r="U129" s="8">
        <v>3.5</v>
      </c>
      <c r="V129" s="17">
        <v>3.5</v>
      </c>
      <c r="AD129" s="1"/>
      <c r="AE129" s="3"/>
      <c r="AF129" s="2"/>
      <c r="AG129" s="2"/>
      <c r="AH129" s="2"/>
      <c r="AI129" s="3"/>
      <c r="AJ129" s="1"/>
      <c r="AK129" s="1"/>
    </row>
    <row r="130" spans="1:37" x14ac:dyDescent="0.3">
      <c r="A130" s="14">
        <v>814</v>
      </c>
      <c r="B130" s="14">
        <v>1</v>
      </c>
      <c r="C130" s="9" t="s">
        <v>1659</v>
      </c>
      <c r="D130" s="9" t="s">
        <v>1077</v>
      </c>
      <c r="E130" s="9" t="s">
        <v>2686</v>
      </c>
      <c r="F130" s="9" t="s">
        <v>2687</v>
      </c>
      <c r="G130" s="9">
        <v>4</v>
      </c>
      <c r="H130" s="9"/>
      <c r="I130" s="9"/>
      <c r="J130" s="9"/>
      <c r="K130" s="9" t="b">
        <v>0</v>
      </c>
      <c r="L130" s="9" t="s">
        <v>7</v>
      </c>
      <c r="M130" s="9" t="b">
        <v>1</v>
      </c>
      <c r="N130" s="9" t="s">
        <v>2688</v>
      </c>
      <c r="O130" s="9" t="s">
        <v>3989</v>
      </c>
      <c r="P130" s="7">
        <v>1448</v>
      </c>
      <c r="Q130" s="7">
        <v>1379</v>
      </c>
      <c r="R130" s="7">
        <v>1062</v>
      </c>
      <c r="S130" s="7">
        <v>354</v>
      </c>
      <c r="T130" s="8">
        <v>3</v>
      </c>
      <c r="U130" s="8">
        <v>3.5</v>
      </c>
      <c r="V130" s="17">
        <v>3.5</v>
      </c>
      <c r="AD130" s="1"/>
      <c r="AE130" s="3"/>
      <c r="AF130" s="3"/>
      <c r="AG130" s="3"/>
      <c r="AH130" s="3"/>
      <c r="AI130" s="3"/>
      <c r="AJ130" s="1"/>
      <c r="AK130" s="1"/>
    </row>
    <row r="131" spans="1:37" x14ac:dyDescent="0.3">
      <c r="A131" s="14">
        <v>954</v>
      </c>
      <c r="B131" s="14">
        <v>2</v>
      </c>
      <c r="C131" s="9" t="s">
        <v>1659</v>
      </c>
      <c r="D131" s="9" t="s">
        <v>1457</v>
      </c>
      <c r="E131" s="9" t="s">
        <v>3111</v>
      </c>
      <c r="F131" s="9" t="s">
        <v>3112</v>
      </c>
      <c r="G131" s="9">
        <v>3</v>
      </c>
      <c r="H131" s="9"/>
      <c r="I131" s="9"/>
      <c r="J131" s="9"/>
      <c r="K131" s="9" t="b">
        <v>0</v>
      </c>
      <c r="L131" s="9" t="s">
        <v>332</v>
      </c>
      <c r="M131" s="9" t="b">
        <v>0</v>
      </c>
      <c r="N131" s="9" t="s">
        <v>3113</v>
      </c>
      <c r="O131" s="9" t="s">
        <v>4126</v>
      </c>
      <c r="P131" s="7">
        <v>1459</v>
      </c>
      <c r="Q131" s="7">
        <v>1329</v>
      </c>
      <c r="R131" s="7">
        <v>1017</v>
      </c>
      <c r="S131" s="7">
        <v>355</v>
      </c>
      <c r="T131" s="8">
        <v>2.9</v>
      </c>
      <c r="U131" s="8">
        <v>3.5</v>
      </c>
      <c r="V131" s="17">
        <v>3.5</v>
      </c>
      <c r="AD131" s="1"/>
      <c r="AE131" s="3"/>
      <c r="AF131" s="3"/>
      <c r="AG131" s="3"/>
      <c r="AH131" s="3"/>
      <c r="AI131" s="3"/>
      <c r="AJ131" s="1"/>
      <c r="AK131" s="1"/>
    </row>
    <row r="132" spans="1:37" x14ac:dyDescent="0.3">
      <c r="A132" s="14">
        <v>907</v>
      </c>
      <c r="B132" s="14">
        <v>4</v>
      </c>
      <c r="C132" s="9" t="s">
        <v>1659</v>
      </c>
      <c r="D132" s="9" t="s">
        <v>1394</v>
      </c>
      <c r="E132" s="9" t="s">
        <v>2961</v>
      </c>
      <c r="F132" s="9" t="s">
        <v>2962</v>
      </c>
      <c r="G132" s="9">
        <v>1</v>
      </c>
      <c r="H132" s="9"/>
      <c r="I132" s="9"/>
      <c r="J132" s="9"/>
      <c r="K132" s="9" t="b">
        <v>0</v>
      </c>
      <c r="L132" s="9"/>
      <c r="M132" s="9" t="b">
        <v>0</v>
      </c>
      <c r="N132" s="9" t="s">
        <v>2963</v>
      </c>
      <c r="O132" s="9" t="s">
        <v>4079</v>
      </c>
      <c r="P132" s="7">
        <v>267</v>
      </c>
      <c r="Q132" s="7">
        <v>254</v>
      </c>
      <c r="R132" s="7">
        <v>224</v>
      </c>
      <c r="S132" s="7">
        <v>66</v>
      </c>
      <c r="T132" s="8">
        <v>3.2</v>
      </c>
      <c r="U132" s="8">
        <v>3.5</v>
      </c>
      <c r="V132" s="17">
        <v>3.5</v>
      </c>
      <c r="AD132" s="1"/>
      <c r="AE132" s="3"/>
      <c r="AF132" s="3"/>
      <c r="AG132" s="3"/>
      <c r="AH132" s="3"/>
      <c r="AI132" s="3"/>
      <c r="AJ132" s="1"/>
      <c r="AK132" s="1"/>
    </row>
    <row r="133" spans="1:37" x14ac:dyDescent="0.3">
      <c r="A133" s="14">
        <v>608</v>
      </c>
      <c r="B133" s="14">
        <v>2</v>
      </c>
      <c r="C133" s="9" t="s">
        <v>1659</v>
      </c>
      <c r="D133" s="9" t="s">
        <v>180</v>
      </c>
      <c r="E133" s="9" t="s">
        <v>2052</v>
      </c>
      <c r="F133" s="9" t="s">
        <v>2053</v>
      </c>
      <c r="G133" s="9">
        <v>3</v>
      </c>
      <c r="H133" s="9"/>
      <c r="I133" s="9"/>
      <c r="J133" s="9"/>
      <c r="K133" s="9" t="b">
        <v>0</v>
      </c>
      <c r="L133" s="9" t="s">
        <v>322</v>
      </c>
      <c r="M133" s="9" t="b">
        <v>0</v>
      </c>
      <c r="N133" s="9" t="s">
        <v>2054</v>
      </c>
      <c r="O133" s="9" t="s">
        <v>3783</v>
      </c>
      <c r="P133" s="7">
        <v>1526</v>
      </c>
      <c r="Q133" s="7">
        <v>1445</v>
      </c>
      <c r="R133" s="7">
        <v>1219</v>
      </c>
      <c r="S133" s="7">
        <v>370</v>
      </c>
      <c r="T133" s="8">
        <v>2.4</v>
      </c>
      <c r="U133" s="8">
        <v>3.5</v>
      </c>
      <c r="V133" s="17">
        <v>3.5</v>
      </c>
      <c r="AD133" s="1"/>
      <c r="AE133" s="3"/>
      <c r="AF133" s="3"/>
      <c r="AG133" s="3"/>
      <c r="AH133" s="3"/>
      <c r="AI133" s="3"/>
      <c r="AJ133" s="1"/>
      <c r="AK133" s="1"/>
    </row>
    <row r="134" spans="1:37" x14ac:dyDescent="0.3">
      <c r="A134" s="14">
        <v>6</v>
      </c>
      <c r="B134" s="14">
        <v>1</v>
      </c>
      <c r="C134" s="9" t="s">
        <v>0</v>
      </c>
      <c r="D134" s="9" t="s">
        <v>1</v>
      </c>
      <c r="E134" s="9" t="s">
        <v>24</v>
      </c>
      <c r="F134" s="9" t="s">
        <v>25</v>
      </c>
      <c r="G134" s="9">
        <v>1</v>
      </c>
      <c r="H134" s="9" t="s">
        <v>26</v>
      </c>
      <c r="I134" s="9"/>
      <c r="J134" s="9">
        <v>1</v>
      </c>
      <c r="K134" s="9" t="b">
        <v>0</v>
      </c>
      <c r="L134" s="9" t="s">
        <v>7</v>
      </c>
      <c r="M134" s="9" t="b">
        <v>0</v>
      </c>
      <c r="N134" s="9" t="s">
        <v>27</v>
      </c>
      <c r="O134" s="9" t="s">
        <v>3182</v>
      </c>
      <c r="P134" s="7">
        <v>1596</v>
      </c>
      <c r="Q134" s="7">
        <v>1484</v>
      </c>
      <c r="R134" s="7">
        <v>1291</v>
      </c>
      <c r="S134" s="7">
        <v>387</v>
      </c>
      <c r="T134" s="8">
        <v>3.5</v>
      </c>
      <c r="U134" s="8">
        <v>3.5</v>
      </c>
      <c r="V134" s="17">
        <v>3.5</v>
      </c>
      <c r="AD134" s="1"/>
      <c r="AE134" s="3"/>
      <c r="AF134" s="2"/>
      <c r="AG134" s="3"/>
      <c r="AH134" s="3"/>
      <c r="AI134" s="3"/>
      <c r="AJ134" s="1"/>
      <c r="AK134" s="1"/>
    </row>
    <row r="135" spans="1:37" x14ac:dyDescent="0.3">
      <c r="A135" s="14">
        <v>167</v>
      </c>
      <c r="B135" s="14">
        <v>3</v>
      </c>
      <c r="C135" s="9" t="s">
        <v>0</v>
      </c>
      <c r="D135" s="9" t="s">
        <v>411</v>
      </c>
      <c r="E135" s="9" t="s">
        <v>629</v>
      </c>
      <c r="F135" s="9" t="s">
        <v>630</v>
      </c>
      <c r="G135" s="9">
        <v>1</v>
      </c>
      <c r="H135" s="9" t="s">
        <v>631</v>
      </c>
      <c r="I135" s="9"/>
      <c r="J135" s="9">
        <v>1</v>
      </c>
      <c r="K135" s="9" t="b">
        <v>0</v>
      </c>
      <c r="L135" s="9" t="s">
        <v>430</v>
      </c>
      <c r="M135" s="9" t="b">
        <v>0</v>
      </c>
      <c r="N135" s="9" t="s">
        <v>632</v>
      </c>
      <c r="O135" s="9" t="s">
        <v>3343</v>
      </c>
      <c r="P135" s="7">
        <v>1279</v>
      </c>
      <c r="Q135" s="7">
        <v>1189</v>
      </c>
      <c r="R135" s="7">
        <v>996</v>
      </c>
      <c r="S135" s="7">
        <v>314</v>
      </c>
      <c r="T135" s="8">
        <v>3.3</v>
      </c>
      <c r="U135" s="8">
        <v>3.5</v>
      </c>
      <c r="V135" s="17">
        <v>3.5</v>
      </c>
      <c r="AD135" s="1"/>
      <c r="AE135" s="3"/>
      <c r="AF135" s="2"/>
      <c r="AG135" s="2"/>
      <c r="AH135" s="3"/>
      <c r="AI135" s="3"/>
      <c r="AJ135" s="1"/>
      <c r="AK135" s="1"/>
    </row>
    <row r="136" spans="1:37" x14ac:dyDescent="0.3">
      <c r="A136" s="14">
        <v>172</v>
      </c>
      <c r="B136" s="14">
        <v>3</v>
      </c>
      <c r="C136" s="9" t="s">
        <v>0</v>
      </c>
      <c r="D136" s="9" t="s">
        <v>411</v>
      </c>
      <c r="E136" s="9" t="s">
        <v>648</v>
      </c>
      <c r="F136" s="9" t="s">
        <v>649</v>
      </c>
      <c r="G136" s="9">
        <v>1</v>
      </c>
      <c r="H136" s="9" t="s">
        <v>84</v>
      </c>
      <c r="I136" s="9"/>
      <c r="J136" s="9">
        <v>1</v>
      </c>
      <c r="K136" s="9" t="b">
        <v>0</v>
      </c>
      <c r="L136" s="9" t="s">
        <v>526</v>
      </c>
      <c r="M136" s="9" t="b">
        <v>0</v>
      </c>
      <c r="N136" s="9" t="s">
        <v>650</v>
      </c>
      <c r="O136" s="9" t="s">
        <v>3348</v>
      </c>
      <c r="P136" s="7">
        <v>1012</v>
      </c>
      <c r="Q136" s="7">
        <v>977</v>
      </c>
      <c r="R136" s="7">
        <v>825</v>
      </c>
      <c r="S136" s="7">
        <v>250</v>
      </c>
      <c r="T136" s="8">
        <v>3.3</v>
      </c>
      <c r="U136" s="8">
        <v>3.5</v>
      </c>
      <c r="V136" s="17">
        <v>3.5</v>
      </c>
      <c r="AD136" s="1"/>
      <c r="AE136" s="3"/>
      <c r="AF136" s="2"/>
      <c r="AG136" s="2"/>
      <c r="AH136" s="3"/>
      <c r="AI136" s="3"/>
      <c r="AJ136" s="1"/>
      <c r="AK136" s="1"/>
    </row>
    <row r="137" spans="1:37" x14ac:dyDescent="0.3">
      <c r="A137" s="14">
        <v>178</v>
      </c>
      <c r="B137" s="14">
        <v>3</v>
      </c>
      <c r="C137" s="9" t="s">
        <v>0</v>
      </c>
      <c r="D137" s="9" t="s">
        <v>411</v>
      </c>
      <c r="E137" s="9" t="s">
        <v>666</v>
      </c>
      <c r="F137" s="9" t="s">
        <v>667</v>
      </c>
      <c r="G137" s="9">
        <v>1</v>
      </c>
      <c r="H137" s="9"/>
      <c r="I137" s="9" t="s">
        <v>397</v>
      </c>
      <c r="J137" s="9"/>
      <c r="K137" s="9" t="b">
        <v>1</v>
      </c>
      <c r="L137" s="9" t="s">
        <v>526</v>
      </c>
      <c r="M137" s="9" t="b">
        <v>0</v>
      </c>
      <c r="N137" s="9" t="s">
        <v>668</v>
      </c>
      <c r="O137" s="9" t="s">
        <v>3354</v>
      </c>
      <c r="P137" s="7">
        <v>1004</v>
      </c>
      <c r="Q137" s="7">
        <v>933</v>
      </c>
      <c r="R137" s="7">
        <v>756</v>
      </c>
      <c r="S137" s="7">
        <v>249</v>
      </c>
      <c r="T137" s="8">
        <v>3.7</v>
      </c>
      <c r="U137" s="8">
        <v>3.5</v>
      </c>
      <c r="V137" s="17">
        <v>3.5</v>
      </c>
      <c r="AD137" s="1"/>
      <c r="AE137" s="3"/>
      <c r="AF137" s="2"/>
      <c r="AG137" s="3"/>
      <c r="AH137" s="3"/>
      <c r="AI137" s="3"/>
      <c r="AJ137" s="1"/>
      <c r="AK137" s="1"/>
    </row>
    <row r="138" spans="1:37" x14ac:dyDescent="0.3">
      <c r="A138" s="14">
        <v>76</v>
      </c>
      <c r="B138" s="14">
        <v>2</v>
      </c>
      <c r="C138" s="9" t="s">
        <v>0</v>
      </c>
      <c r="D138" s="9" t="s">
        <v>180</v>
      </c>
      <c r="E138" s="9" t="s">
        <v>283</v>
      </c>
      <c r="F138" s="9" t="s">
        <v>284</v>
      </c>
      <c r="G138" s="9">
        <v>1</v>
      </c>
      <c r="H138" s="9"/>
      <c r="I138" s="9" t="s">
        <v>22</v>
      </c>
      <c r="J138" s="9"/>
      <c r="K138" s="9" t="b">
        <v>0</v>
      </c>
      <c r="L138" s="9" t="s">
        <v>286</v>
      </c>
      <c r="M138" s="9" t="b">
        <v>0</v>
      </c>
      <c r="N138" s="9" t="s">
        <v>285</v>
      </c>
      <c r="O138" s="9" t="s">
        <v>3252</v>
      </c>
      <c r="P138" s="7">
        <v>1372</v>
      </c>
      <c r="Q138" s="7">
        <v>1336</v>
      </c>
      <c r="R138" s="7">
        <v>1253</v>
      </c>
      <c r="S138" s="7">
        <v>339</v>
      </c>
      <c r="T138" s="8">
        <v>2.7</v>
      </c>
      <c r="U138" s="8">
        <v>3.5</v>
      </c>
      <c r="V138" s="17">
        <v>3.5</v>
      </c>
      <c r="AD138" s="1"/>
      <c r="AE138" s="3"/>
      <c r="AF138" s="2"/>
      <c r="AG138" s="2"/>
      <c r="AH138" s="3"/>
      <c r="AI138" s="3"/>
      <c r="AJ138" s="1"/>
      <c r="AK138" s="1"/>
    </row>
    <row r="139" spans="1:37" x14ac:dyDescent="0.3">
      <c r="A139" s="14">
        <v>199</v>
      </c>
      <c r="B139" s="14">
        <v>3</v>
      </c>
      <c r="C139" s="9" t="s">
        <v>0</v>
      </c>
      <c r="D139" s="9" t="s">
        <v>411</v>
      </c>
      <c r="E139" s="9" t="s">
        <v>736</v>
      </c>
      <c r="F139" s="9" t="s">
        <v>737</v>
      </c>
      <c r="G139" s="9">
        <v>1</v>
      </c>
      <c r="H139" s="9"/>
      <c r="I139" s="9" t="s">
        <v>738</v>
      </c>
      <c r="J139" s="9">
        <v>1</v>
      </c>
      <c r="K139" s="9" t="b">
        <v>0</v>
      </c>
      <c r="L139" s="9" t="s">
        <v>238</v>
      </c>
      <c r="M139" s="9" t="b">
        <v>0</v>
      </c>
      <c r="N139" s="9" t="s">
        <v>739</v>
      </c>
      <c r="O139" s="9" t="s">
        <v>3375</v>
      </c>
      <c r="P139" s="7">
        <v>1364</v>
      </c>
      <c r="Q139" s="7">
        <v>1244</v>
      </c>
      <c r="R139" s="7">
        <v>1028</v>
      </c>
      <c r="S139" s="7">
        <v>334</v>
      </c>
      <c r="T139" s="8">
        <v>2.6</v>
      </c>
      <c r="U139" s="8">
        <v>3.5</v>
      </c>
      <c r="V139" s="17">
        <v>3.5</v>
      </c>
      <c r="AD139" s="1"/>
      <c r="AE139" s="3"/>
      <c r="AF139" s="3"/>
      <c r="AG139" s="3"/>
      <c r="AH139" s="3"/>
      <c r="AI139" s="3"/>
      <c r="AJ139" s="1"/>
      <c r="AK139" s="1"/>
    </row>
    <row r="140" spans="1:37" x14ac:dyDescent="0.3">
      <c r="A140" s="14">
        <v>225</v>
      </c>
      <c r="B140" s="14">
        <v>3</v>
      </c>
      <c r="C140" s="9" t="s">
        <v>0</v>
      </c>
      <c r="D140" s="9" t="s">
        <v>411</v>
      </c>
      <c r="E140" s="9" t="s">
        <v>827</v>
      </c>
      <c r="F140" s="9" t="s">
        <v>828</v>
      </c>
      <c r="G140" s="9">
        <v>1</v>
      </c>
      <c r="H140" s="9" t="s">
        <v>84</v>
      </c>
      <c r="I140" s="9"/>
      <c r="J140" s="9">
        <v>1</v>
      </c>
      <c r="K140" s="9" t="b">
        <v>0</v>
      </c>
      <c r="L140" s="9" t="s">
        <v>238</v>
      </c>
      <c r="M140" s="9" t="b">
        <v>0</v>
      </c>
      <c r="N140" s="9" t="s">
        <v>829</v>
      </c>
      <c r="O140" s="9" t="s">
        <v>3401</v>
      </c>
      <c r="P140" s="7">
        <v>1265</v>
      </c>
      <c r="Q140" s="7">
        <v>1161</v>
      </c>
      <c r="R140" s="7">
        <v>953</v>
      </c>
      <c r="S140" s="7">
        <v>310</v>
      </c>
      <c r="T140" s="8">
        <v>3.6</v>
      </c>
      <c r="U140" s="8">
        <v>3.5</v>
      </c>
      <c r="V140" s="17">
        <v>3.5</v>
      </c>
      <c r="AD140" s="1"/>
      <c r="AE140" s="3"/>
      <c r="AF140" s="2"/>
      <c r="AG140" s="2"/>
      <c r="AH140" s="2"/>
      <c r="AI140" s="3"/>
      <c r="AJ140" s="1"/>
      <c r="AK140" s="1"/>
    </row>
    <row r="141" spans="1:37" x14ac:dyDescent="0.3">
      <c r="A141" s="14">
        <v>32</v>
      </c>
      <c r="B141" s="14">
        <v>1</v>
      </c>
      <c r="C141" s="9" t="s">
        <v>0</v>
      </c>
      <c r="D141" s="9" t="s">
        <v>1</v>
      </c>
      <c r="E141" s="9" t="s">
        <v>116</v>
      </c>
      <c r="F141" s="9" t="s">
        <v>117</v>
      </c>
      <c r="G141" s="9">
        <v>1</v>
      </c>
      <c r="H141" s="9"/>
      <c r="I141" s="9" t="s">
        <v>118</v>
      </c>
      <c r="J141" s="9"/>
      <c r="K141" s="9" t="b">
        <v>1</v>
      </c>
      <c r="L141" s="9" t="s">
        <v>7</v>
      </c>
      <c r="M141" s="9" t="b">
        <v>0</v>
      </c>
      <c r="N141" s="9" t="s">
        <v>119</v>
      </c>
      <c r="O141" s="9" t="s">
        <v>3208</v>
      </c>
      <c r="P141" s="7">
        <v>1457</v>
      </c>
      <c r="Q141" s="7">
        <v>1414</v>
      </c>
      <c r="R141" s="7">
        <v>1279</v>
      </c>
      <c r="S141" s="7">
        <v>360</v>
      </c>
      <c r="T141" s="8">
        <v>3.3</v>
      </c>
      <c r="U141" s="8">
        <v>3.5</v>
      </c>
      <c r="V141" s="17">
        <v>3.5</v>
      </c>
      <c r="AD141" s="1"/>
      <c r="AE141" s="3"/>
      <c r="AF141" s="2"/>
      <c r="AG141" s="3"/>
      <c r="AH141" s="3"/>
      <c r="AI141" s="3"/>
      <c r="AJ141" s="1"/>
      <c r="AK141" s="1"/>
    </row>
    <row r="142" spans="1:37" x14ac:dyDescent="0.3">
      <c r="A142" s="14">
        <v>369</v>
      </c>
      <c r="B142" s="14">
        <v>1</v>
      </c>
      <c r="C142" s="9" t="s">
        <v>0</v>
      </c>
      <c r="D142" s="9" t="s">
        <v>1208</v>
      </c>
      <c r="E142" s="9" t="s">
        <v>1297</v>
      </c>
      <c r="F142" s="9" t="s">
        <v>1298</v>
      </c>
      <c r="G142" s="9">
        <v>1</v>
      </c>
      <c r="H142" s="9" t="s">
        <v>1299</v>
      </c>
      <c r="I142" s="9" t="s">
        <v>171</v>
      </c>
      <c r="J142" s="9">
        <v>1</v>
      </c>
      <c r="K142" s="9" t="b">
        <v>0</v>
      </c>
      <c r="L142" s="9" t="s">
        <v>7</v>
      </c>
      <c r="M142" s="9" t="b">
        <v>0</v>
      </c>
      <c r="N142" s="9" t="s">
        <v>1300</v>
      </c>
      <c r="O142" s="9" t="s">
        <v>3545</v>
      </c>
      <c r="P142" s="7">
        <v>1605</v>
      </c>
      <c r="Q142" s="7">
        <v>1463</v>
      </c>
      <c r="R142" s="7">
        <v>1095</v>
      </c>
      <c r="S142" s="7">
        <v>391</v>
      </c>
      <c r="T142" s="8">
        <v>2.7</v>
      </c>
      <c r="U142" s="8">
        <v>3.5</v>
      </c>
      <c r="V142" s="17">
        <v>3.5</v>
      </c>
      <c r="AD142" s="1"/>
      <c r="AE142" s="3"/>
      <c r="AF142" s="2"/>
      <c r="AG142" s="2"/>
      <c r="AH142" s="2"/>
      <c r="AI142" s="3"/>
      <c r="AJ142" s="1"/>
      <c r="AK142" s="1"/>
    </row>
    <row r="143" spans="1:37" x14ac:dyDescent="0.3">
      <c r="A143" s="14">
        <v>248</v>
      </c>
      <c r="B143" s="14">
        <v>3</v>
      </c>
      <c r="C143" s="9" t="s">
        <v>0</v>
      </c>
      <c r="D143" s="9" t="s">
        <v>411</v>
      </c>
      <c r="E143" s="9" t="s">
        <v>902</v>
      </c>
      <c r="F143" s="9" t="s">
        <v>903</v>
      </c>
      <c r="G143" s="9">
        <v>1</v>
      </c>
      <c r="H143" s="9" t="s">
        <v>904</v>
      </c>
      <c r="I143" s="9"/>
      <c r="J143" s="9"/>
      <c r="K143" s="9" t="b">
        <v>0</v>
      </c>
      <c r="L143" s="9" t="s">
        <v>497</v>
      </c>
      <c r="M143" s="9" t="b">
        <v>0</v>
      </c>
      <c r="N143" s="9" t="s">
        <v>905</v>
      </c>
      <c r="O143" s="9" t="s">
        <v>3424</v>
      </c>
      <c r="P143" s="7">
        <v>1025</v>
      </c>
      <c r="Q143" s="7">
        <v>994</v>
      </c>
      <c r="R143" s="7">
        <v>788</v>
      </c>
      <c r="S143" s="7">
        <v>249</v>
      </c>
      <c r="T143" s="8">
        <v>3.2</v>
      </c>
      <c r="U143" s="8">
        <v>3.5</v>
      </c>
      <c r="V143" s="17">
        <v>3.5</v>
      </c>
      <c r="AD143" s="1"/>
      <c r="AE143" s="3"/>
      <c r="AF143" s="2"/>
      <c r="AG143" s="3"/>
      <c r="AH143" s="3"/>
      <c r="AI143" s="3"/>
      <c r="AJ143" s="1"/>
      <c r="AK143" s="1"/>
    </row>
    <row r="144" spans="1:37" x14ac:dyDescent="0.3">
      <c r="A144" s="14">
        <v>471</v>
      </c>
      <c r="B144" s="14">
        <v>2</v>
      </c>
      <c r="C144" s="9" t="s">
        <v>0</v>
      </c>
      <c r="D144" s="9" t="s">
        <v>1457</v>
      </c>
      <c r="E144" s="9" t="s">
        <v>1630</v>
      </c>
      <c r="F144" s="9" t="s">
        <v>1631</v>
      </c>
      <c r="G144" s="9">
        <v>1</v>
      </c>
      <c r="H144" s="9"/>
      <c r="I144" s="9" t="s">
        <v>278</v>
      </c>
      <c r="J144" s="9"/>
      <c r="K144" s="9" t="b">
        <v>0</v>
      </c>
      <c r="L144" s="9" t="s">
        <v>1465</v>
      </c>
      <c r="M144" s="9" t="b">
        <v>0</v>
      </c>
      <c r="N144" s="9" t="s">
        <v>1632</v>
      </c>
      <c r="O144" s="9" t="s">
        <v>3646</v>
      </c>
      <c r="P144" s="7">
        <v>1609</v>
      </c>
      <c r="Q144" s="7">
        <v>1526</v>
      </c>
      <c r="R144" s="7">
        <v>1371</v>
      </c>
      <c r="S144" s="7">
        <v>393</v>
      </c>
      <c r="T144" s="8">
        <v>2.9</v>
      </c>
      <c r="U144" s="8">
        <v>3.5</v>
      </c>
      <c r="V144" s="17">
        <v>3.5</v>
      </c>
      <c r="AD144" s="1"/>
      <c r="AE144" s="3"/>
      <c r="AF144" s="3"/>
      <c r="AG144" s="3"/>
      <c r="AH144" s="3"/>
      <c r="AI144" s="3"/>
      <c r="AJ144" s="1"/>
      <c r="AK144" s="1"/>
    </row>
    <row r="145" spans="1:37" x14ac:dyDescent="0.3">
      <c r="A145" s="14">
        <v>473</v>
      </c>
      <c r="B145" s="14">
        <v>2</v>
      </c>
      <c r="C145" s="9" t="s">
        <v>0</v>
      </c>
      <c r="D145" s="9" t="s">
        <v>1457</v>
      </c>
      <c r="E145" s="9" t="s">
        <v>1636</v>
      </c>
      <c r="F145" s="9" t="s">
        <v>1637</v>
      </c>
      <c r="G145" s="9">
        <v>1</v>
      </c>
      <c r="H145" s="9" t="s">
        <v>84</v>
      </c>
      <c r="I145" s="9" t="s">
        <v>175</v>
      </c>
      <c r="J145" s="9"/>
      <c r="K145" s="9" t="b">
        <v>0</v>
      </c>
      <c r="L145" s="9" t="s">
        <v>296</v>
      </c>
      <c r="M145" s="9" t="b">
        <v>0</v>
      </c>
      <c r="N145" s="9" t="s">
        <v>1638</v>
      </c>
      <c r="O145" s="9" t="s">
        <v>3648</v>
      </c>
      <c r="P145" s="7">
        <v>1596</v>
      </c>
      <c r="Q145" s="7">
        <v>1560</v>
      </c>
      <c r="R145" s="7">
        <v>1417</v>
      </c>
      <c r="S145" s="7">
        <v>394</v>
      </c>
      <c r="T145" s="8">
        <v>1.8</v>
      </c>
      <c r="U145" s="8">
        <v>3.5</v>
      </c>
      <c r="V145" s="17">
        <v>3.5</v>
      </c>
      <c r="AD145" s="1"/>
      <c r="AE145" s="3"/>
      <c r="AF145" s="3"/>
      <c r="AG145" s="3"/>
      <c r="AH145" s="3"/>
      <c r="AI145" s="3"/>
      <c r="AJ145" s="1"/>
      <c r="AK145" s="1"/>
    </row>
    <row r="146" spans="1:37" x14ac:dyDescent="0.3">
      <c r="A146" s="14">
        <v>378</v>
      </c>
      <c r="B146" s="14">
        <v>1</v>
      </c>
      <c r="C146" s="9" t="s">
        <v>0</v>
      </c>
      <c r="D146" s="9" t="s">
        <v>1208</v>
      </c>
      <c r="E146" s="9" t="s">
        <v>1326</v>
      </c>
      <c r="F146" s="9" t="s">
        <v>1327</v>
      </c>
      <c r="G146" s="9">
        <v>1</v>
      </c>
      <c r="H146" s="9" t="s">
        <v>84</v>
      </c>
      <c r="I146" s="9" t="s">
        <v>171</v>
      </c>
      <c r="J146" s="9"/>
      <c r="K146" s="9" t="b">
        <v>0</v>
      </c>
      <c r="L146" s="9" t="s">
        <v>7</v>
      </c>
      <c r="M146" s="9" t="b">
        <v>0</v>
      </c>
      <c r="N146" s="9" t="s">
        <v>1328</v>
      </c>
      <c r="O146" s="9" t="s">
        <v>3554</v>
      </c>
      <c r="P146" s="7">
        <v>1665</v>
      </c>
      <c r="Q146" s="7">
        <v>1544</v>
      </c>
      <c r="R146" s="7">
        <v>1383</v>
      </c>
      <c r="S146" s="7">
        <v>409</v>
      </c>
      <c r="T146" s="8">
        <v>2.2999999999999998</v>
      </c>
      <c r="U146" s="8">
        <v>3.5</v>
      </c>
      <c r="V146" s="17">
        <v>3.5</v>
      </c>
      <c r="AD146" s="1"/>
      <c r="AE146" s="3"/>
      <c r="AF146" s="3"/>
      <c r="AG146" s="3"/>
      <c r="AH146" s="3"/>
      <c r="AI146" s="3"/>
      <c r="AJ146" s="1"/>
      <c r="AK146" s="1"/>
    </row>
    <row r="147" spans="1:37" x14ac:dyDescent="0.3">
      <c r="A147" s="14">
        <v>629</v>
      </c>
      <c r="B147" s="14">
        <v>3</v>
      </c>
      <c r="C147" s="9" t="s">
        <v>1659</v>
      </c>
      <c r="D147" s="9" t="s">
        <v>411</v>
      </c>
      <c r="E147" s="9" t="s">
        <v>2117</v>
      </c>
      <c r="F147" s="9" t="s">
        <v>2118</v>
      </c>
      <c r="G147" s="9">
        <v>1</v>
      </c>
      <c r="H147" s="9"/>
      <c r="I147" s="9"/>
      <c r="J147" s="9"/>
      <c r="K147" s="9" t="b">
        <v>0</v>
      </c>
      <c r="L147" s="9" t="s">
        <v>437</v>
      </c>
      <c r="M147" s="9" t="b">
        <v>0</v>
      </c>
      <c r="N147" s="9" t="s">
        <v>2119</v>
      </c>
      <c r="O147" s="9" t="s">
        <v>3804</v>
      </c>
      <c r="P147" s="7">
        <v>984</v>
      </c>
      <c r="Q147" s="7">
        <v>903</v>
      </c>
      <c r="R147" s="7">
        <v>684</v>
      </c>
      <c r="S147" s="7">
        <v>236</v>
      </c>
      <c r="T147" s="8">
        <v>3.6</v>
      </c>
      <c r="U147" s="8">
        <v>3.4</v>
      </c>
      <c r="V147" s="17">
        <v>3.4</v>
      </c>
      <c r="AD147" s="1"/>
      <c r="AE147" s="3"/>
      <c r="AF147" s="2"/>
      <c r="AG147" s="3"/>
      <c r="AH147" s="3"/>
      <c r="AI147" s="3"/>
      <c r="AJ147" s="1"/>
      <c r="AK147" s="1"/>
    </row>
    <row r="148" spans="1:37" x14ac:dyDescent="0.3">
      <c r="A148" s="14">
        <v>555</v>
      </c>
      <c r="B148" s="14">
        <v>2</v>
      </c>
      <c r="C148" s="9" t="s">
        <v>1659</v>
      </c>
      <c r="D148" s="9" t="s">
        <v>180</v>
      </c>
      <c r="E148" s="9" t="s">
        <v>1885</v>
      </c>
      <c r="F148" s="9" t="s">
        <v>1886</v>
      </c>
      <c r="G148" s="9">
        <v>4</v>
      </c>
      <c r="H148" s="9"/>
      <c r="I148" s="9"/>
      <c r="J148" s="9"/>
      <c r="K148" s="9" t="b">
        <v>0</v>
      </c>
      <c r="L148" s="9" t="s">
        <v>382</v>
      </c>
      <c r="M148" s="9" t="b">
        <v>1</v>
      </c>
      <c r="N148" s="9" t="s">
        <v>1887</v>
      </c>
      <c r="O148" s="9" t="s">
        <v>3730</v>
      </c>
      <c r="P148" s="7">
        <v>1546</v>
      </c>
      <c r="Q148" s="7">
        <v>1427</v>
      </c>
      <c r="R148" s="7">
        <v>1217</v>
      </c>
      <c r="S148" s="7">
        <v>366</v>
      </c>
      <c r="T148" s="8">
        <v>3</v>
      </c>
      <c r="U148" s="8">
        <v>3.4</v>
      </c>
      <c r="V148" s="17">
        <v>3.4</v>
      </c>
      <c r="AD148" s="1"/>
      <c r="AE148" s="3"/>
      <c r="AF148" s="3"/>
      <c r="AG148" s="3"/>
      <c r="AH148" s="3"/>
      <c r="AI148" s="3"/>
      <c r="AJ148" s="1"/>
      <c r="AK148" s="1"/>
    </row>
    <row r="149" spans="1:37" x14ac:dyDescent="0.3">
      <c r="A149" s="14">
        <v>796</v>
      </c>
      <c r="B149" s="14">
        <v>1</v>
      </c>
      <c r="C149" s="9" t="s">
        <v>1659</v>
      </c>
      <c r="D149" s="9" t="s">
        <v>1077</v>
      </c>
      <c r="E149" s="9" t="s">
        <v>2632</v>
      </c>
      <c r="F149" s="9" t="s">
        <v>2633</v>
      </c>
      <c r="G149" s="9">
        <v>1</v>
      </c>
      <c r="H149" s="9"/>
      <c r="I149" s="9"/>
      <c r="J149" s="9"/>
      <c r="K149" s="9" t="b">
        <v>0</v>
      </c>
      <c r="L149" s="9" t="s">
        <v>7</v>
      </c>
      <c r="M149" s="9" t="b">
        <v>1</v>
      </c>
      <c r="N149" s="9" t="s">
        <v>2634</v>
      </c>
      <c r="O149" s="9" t="s">
        <v>3971</v>
      </c>
      <c r="P149" s="7">
        <v>1332</v>
      </c>
      <c r="Q149" s="7">
        <v>1302</v>
      </c>
      <c r="R149" s="7">
        <v>1050</v>
      </c>
      <c r="S149" s="7">
        <v>320</v>
      </c>
      <c r="T149" s="8">
        <v>3.1</v>
      </c>
      <c r="U149" s="8">
        <v>3.4</v>
      </c>
      <c r="V149" s="17">
        <v>3.4</v>
      </c>
      <c r="AD149" s="1"/>
      <c r="AE149" s="3"/>
      <c r="AF149" s="2"/>
      <c r="AG149" s="3"/>
      <c r="AH149" s="3"/>
      <c r="AI149" s="3"/>
      <c r="AJ149" s="1"/>
      <c r="AK149" s="1"/>
    </row>
    <row r="150" spans="1:37" x14ac:dyDescent="0.3">
      <c r="A150" s="14">
        <v>652</v>
      </c>
      <c r="B150" s="14">
        <v>3</v>
      </c>
      <c r="C150" s="9" t="s">
        <v>1659</v>
      </c>
      <c r="D150" s="9" t="s">
        <v>411</v>
      </c>
      <c r="E150" s="9" t="s">
        <v>2190</v>
      </c>
      <c r="F150" s="9" t="s">
        <v>2191</v>
      </c>
      <c r="G150" s="9">
        <v>1</v>
      </c>
      <c r="H150" s="9"/>
      <c r="I150" s="9"/>
      <c r="J150" s="9"/>
      <c r="K150" s="9" t="b">
        <v>0</v>
      </c>
      <c r="L150" s="9" t="s">
        <v>2193</v>
      </c>
      <c r="M150" s="9" t="b">
        <v>0</v>
      </c>
      <c r="N150" s="9" t="s">
        <v>2192</v>
      </c>
      <c r="O150" s="9" t="s">
        <v>3827</v>
      </c>
      <c r="P150" s="7">
        <v>1279</v>
      </c>
      <c r="Q150" s="7">
        <v>1132</v>
      </c>
      <c r="R150" s="7">
        <v>896</v>
      </c>
      <c r="S150" s="7">
        <v>302</v>
      </c>
      <c r="T150" s="8">
        <v>3.4</v>
      </c>
      <c r="U150" s="8">
        <v>3.4</v>
      </c>
      <c r="V150" s="17">
        <v>3.4</v>
      </c>
      <c r="AD150" s="1"/>
      <c r="AE150" s="3"/>
      <c r="AF150" s="2"/>
      <c r="AG150" s="2"/>
      <c r="AH150" s="2"/>
      <c r="AI150" s="3"/>
      <c r="AJ150" s="1"/>
      <c r="AK150" s="1"/>
    </row>
    <row r="151" spans="1:37" x14ac:dyDescent="0.3">
      <c r="A151" s="14">
        <v>842</v>
      </c>
      <c r="B151" s="14">
        <v>1</v>
      </c>
      <c r="C151" s="9" t="s">
        <v>1659</v>
      </c>
      <c r="D151" s="9" t="s">
        <v>1208</v>
      </c>
      <c r="E151" s="9" t="s">
        <v>2770</v>
      </c>
      <c r="F151" s="9" t="s">
        <v>2771</v>
      </c>
      <c r="G151" s="9">
        <v>1</v>
      </c>
      <c r="H151" s="9"/>
      <c r="I151" s="9"/>
      <c r="J151" s="9"/>
      <c r="K151" s="9" t="b">
        <v>0</v>
      </c>
      <c r="L151" s="9" t="s">
        <v>7</v>
      </c>
      <c r="M151" s="9" t="b">
        <v>0</v>
      </c>
      <c r="N151" s="9" t="s">
        <v>2772</v>
      </c>
      <c r="O151" s="9" t="s">
        <v>4017</v>
      </c>
      <c r="P151" s="7">
        <v>1275</v>
      </c>
      <c r="Q151" s="7">
        <v>1250</v>
      </c>
      <c r="R151" s="7">
        <v>1081</v>
      </c>
      <c r="S151" s="7">
        <v>303</v>
      </c>
      <c r="T151" s="8">
        <v>2.6</v>
      </c>
      <c r="U151" s="8">
        <v>3.4</v>
      </c>
      <c r="V151" s="17">
        <v>3.4</v>
      </c>
      <c r="AD151" s="1"/>
      <c r="AE151" s="3"/>
      <c r="AF151" s="2"/>
      <c r="AG151" s="2"/>
      <c r="AH151" s="2"/>
      <c r="AI151" s="3"/>
      <c r="AJ151" s="1"/>
      <c r="AK151" s="1"/>
    </row>
    <row r="152" spans="1:37" x14ac:dyDescent="0.3">
      <c r="A152" s="14">
        <v>664</v>
      </c>
      <c r="B152" s="14">
        <v>3</v>
      </c>
      <c r="C152" s="9" t="s">
        <v>1659</v>
      </c>
      <c r="D152" s="9" t="s">
        <v>411</v>
      </c>
      <c r="E152" s="9" t="s">
        <v>2227</v>
      </c>
      <c r="F152" s="9" t="s">
        <v>2228</v>
      </c>
      <c r="G152" s="9">
        <v>1</v>
      </c>
      <c r="H152" s="9"/>
      <c r="I152" s="9"/>
      <c r="J152" s="9"/>
      <c r="K152" s="9" t="b">
        <v>0</v>
      </c>
      <c r="L152" s="9" t="s">
        <v>526</v>
      </c>
      <c r="M152" s="9" t="b">
        <v>0</v>
      </c>
      <c r="N152" s="9" t="s">
        <v>2229</v>
      </c>
      <c r="O152" s="9" t="s">
        <v>3839</v>
      </c>
      <c r="P152" s="7">
        <v>997</v>
      </c>
      <c r="Q152" s="7">
        <v>962</v>
      </c>
      <c r="R152" s="7">
        <v>873</v>
      </c>
      <c r="S152" s="7">
        <v>237</v>
      </c>
      <c r="T152" s="8">
        <v>3</v>
      </c>
      <c r="U152" s="8">
        <v>3.4</v>
      </c>
      <c r="V152" s="17">
        <v>3.4</v>
      </c>
      <c r="AD152" s="1"/>
      <c r="AE152" s="3"/>
      <c r="AF152" s="3"/>
      <c r="AG152" s="3"/>
      <c r="AH152" s="3"/>
      <c r="AI152" s="3"/>
      <c r="AJ152" s="1"/>
      <c r="AK152" s="1"/>
    </row>
    <row r="153" spans="1:37" x14ac:dyDescent="0.3">
      <c r="A153" s="14">
        <v>512</v>
      </c>
      <c r="B153" s="14">
        <v>1</v>
      </c>
      <c r="C153" s="9" t="s">
        <v>1659</v>
      </c>
      <c r="D153" s="9" t="s">
        <v>1</v>
      </c>
      <c r="E153" s="9" t="s">
        <v>1756</v>
      </c>
      <c r="F153" s="9" t="s">
        <v>1757</v>
      </c>
      <c r="G153" s="9">
        <v>3</v>
      </c>
      <c r="H153" s="9"/>
      <c r="I153" s="9"/>
      <c r="J153" s="9"/>
      <c r="K153" s="9" t="b">
        <v>0</v>
      </c>
      <c r="L153" s="9" t="s">
        <v>7</v>
      </c>
      <c r="M153" s="9" t="b">
        <v>0</v>
      </c>
      <c r="N153" s="9" t="s">
        <v>1758</v>
      </c>
      <c r="O153" s="9" t="s">
        <v>3687</v>
      </c>
      <c r="P153" s="7">
        <v>1353</v>
      </c>
      <c r="Q153" s="7">
        <v>1297</v>
      </c>
      <c r="R153" s="7">
        <v>1106</v>
      </c>
      <c r="S153" s="7">
        <v>324</v>
      </c>
      <c r="T153" s="8">
        <v>3.4</v>
      </c>
      <c r="U153" s="8">
        <v>3.4</v>
      </c>
      <c r="V153" s="17">
        <v>3.4</v>
      </c>
      <c r="AD153" s="1"/>
      <c r="AE153" s="3"/>
      <c r="AF153" s="2"/>
      <c r="AG153" s="3"/>
      <c r="AH153" s="3"/>
      <c r="AI153" s="3"/>
      <c r="AJ153" s="1"/>
      <c r="AK153" s="1"/>
    </row>
    <row r="154" spans="1:37" x14ac:dyDescent="0.3">
      <c r="A154" s="14">
        <v>708</v>
      </c>
      <c r="B154" s="14">
        <v>3</v>
      </c>
      <c r="C154" s="9" t="s">
        <v>1659</v>
      </c>
      <c r="D154" s="9" t="s">
        <v>411</v>
      </c>
      <c r="E154" s="9" t="s">
        <v>2363</v>
      </c>
      <c r="F154" s="9" t="s">
        <v>2364</v>
      </c>
      <c r="G154" s="9">
        <v>1</v>
      </c>
      <c r="H154" s="9"/>
      <c r="I154" s="9"/>
      <c r="J154" s="9"/>
      <c r="K154" s="9" t="b">
        <v>0</v>
      </c>
      <c r="L154" s="9" t="s">
        <v>497</v>
      </c>
      <c r="M154" s="9" t="b">
        <v>0</v>
      </c>
      <c r="N154" s="9" t="s">
        <v>2365</v>
      </c>
      <c r="O154" s="9" t="s">
        <v>3883</v>
      </c>
      <c r="P154" s="7">
        <v>1191</v>
      </c>
      <c r="Q154" s="7">
        <v>1132</v>
      </c>
      <c r="R154" s="7">
        <v>878</v>
      </c>
      <c r="S154" s="7">
        <v>285</v>
      </c>
      <c r="T154" s="8">
        <v>3.7</v>
      </c>
      <c r="U154" s="8">
        <v>3.4</v>
      </c>
      <c r="V154" s="17">
        <v>3.4</v>
      </c>
      <c r="AD154" s="1"/>
      <c r="AE154" s="3"/>
      <c r="AF154" s="2"/>
      <c r="AG154" s="3"/>
      <c r="AH154" s="3"/>
      <c r="AI154" s="3"/>
      <c r="AJ154" s="1"/>
      <c r="AK154" s="1"/>
    </row>
    <row r="155" spans="1:37" x14ac:dyDescent="0.3">
      <c r="A155" s="14">
        <v>730</v>
      </c>
      <c r="B155" s="14">
        <v>3</v>
      </c>
      <c r="C155" s="9" t="s">
        <v>1659</v>
      </c>
      <c r="D155" s="9" t="s">
        <v>411</v>
      </c>
      <c r="E155" s="9" t="s">
        <v>2430</v>
      </c>
      <c r="F155" s="9" t="s">
        <v>2431</v>
      </c>
      <c r="G155" s="9">
        <v>1</v>
      </c>
      <c r="H155" s="9"/>
      <c r="I155" s="9"/>
      <c r="J155" s="9"/>
      <c r="K155" s="9" t="b">
        <v>0</v>
      </c>
      <c r="L155" s="9" t="s">
        <v>416</v>
      </c>
      <c r="M155" s="9" t="b">
        <v>1</v>
      </c>
      <c r="N155" s="9" t="s">
        <v>2432</v>
      </c>
      <c r="O155" s="9" t="s">
        <v>3905</v>
      </c>
      <c r="P155" s="7">
        <v>922</v>
      </c>
      <c r="Q155" s="7">
        <v>901</v>
      </c>
      <c r="R155" s="7">
        <v>767</v>
      </c>
      <c r="S155" s="7">
        <v>218</v>
      </c>
      <c r="T155" s="8">
        <v>2.5</v>
      </c>
      <c r="U155" s="8">
        <v>3.4</v>
      </c>
      <c r="V155" s="17">
        <v>3.4</v>
      </c>
      <c r="AD155" s="1"/>
      <c r="AE155" s="3"/>
      <c r="AF155" s="2"/>
      <c r="AG155" s="3"/>
      <c r="AH155" s="3"/>
      <c r="AI155" s="3"/>
      <c r="AJ155" s="1"/>
      <c r="AK155" s="1"/>
    </row>
    <row r="156" spans="1:37" x14ac:dyDescent="0.3">
      <c r="A156" s="14">
        <v>594</v>
      </c>
      <c r="B156" s="14">
        <v>2</v>
      </c>
      <c r="C156" s="9" t="s">
        <v>1659</v>
      </c>
      <c r="D156" s="9" t="s">
        <v>180</v>
      </c>
      <c r="E156" s="9" t="s">
        <v>2007</v>
      </c>
      <c r="F156" s="9" t="s">
        <v>2008</v>
      </c>
      <c r="G156" s="9">
        <v>1</v>
      </c>
      <c r="H156" s="9"/>
      <c r="I156" s="9"/>
      <c r="J156" s="9"/>
      <c r="K156" s="9" t="b">
        <v>0</v>
      </c>
      <c r="L156" s="9" t="s">
        <v>1603</v>
      </c>
      <c r="M156" s="9" t="b">
        <v>0</v>
      </c>
      <c r="N156" s="9" t="s">
        <v>2009</v>
      </c>
      <c r="O156" s="9" t="s">
        <v>3769</v>
      </c>
      <c r="P156" s="7">
        <v>1534</v>
      </c>
      <c r="Q156" s="7">
        <v>1364</v>
      </c>
      <c r="R156" s="7">
        <v>1068</v>
      </c>
      <c r="S156" s="7">
        <v>363</v>
      </c>
      <c r="T156" s="8">
        <v>4.0999999999999996</v>
      </c>
      <c r="U156" s="8">
        <v>3.4</v>
      </c>
      <c r="V156" s="17">
        <v>3.4</v>
      </c>
      <c r="AD156" s="1"/>
      <c r="AE156" s="3"/>
      <c r="AF156" s="2"/>
      <c r="AG156" s="2"/>
      <c r="AH156" s="3"/>
      <c r="AI156" s="3"/>
      <c r="AJ156" s="1"/>
      <c r="AK156" s="1"/>
    </row>
    <row r="157" spans="1:37" x14ac:dyDescent="0.3">
      <c r="A157" s="14">
        <v>857</v>
      </c>
      <c r="B157" s="14">
        <v>1</v>
      </c>
      <c r="C157" s="9" t="s">
        <v>1659</v>
      </c>
      <c r="D157" s="9" t="s">
        <v>1208</v>
      </c>
      <c r="E157" s="9" t="s">
        <v>2815</v>
      </c>
      <c r="F157" s="9" t="s">
        <v>2816</v>
      </c>
      <c r="G157" s="9">
        <v>1</v>
      </c>
      <c r="H157" s="9"/>
      <c r="I157" s="9"/>
      <c r="J157" s="9"/>
      <c r="K157" s="9" t="b">
        <v>0</v>
      </c>
      <c r="L157" s="9" t="s">
        <v>7</v>
      </c>
      <c r="M157" s="9" t="b">
        <v>0</v>
      </c>
      <c r="N157" s="9" t="s">
        <v>2817</v>
      </c>
      <c r="O157" s="9" t="s">
        <v>4032</v>
      </c>
      <c r="P157" s="7">
        <v>1466</v>
      </c>
      <c r="Q157" s="7">
        <v>1395</v>
      </c>
      <c r="R157" s="7">
        <v>1038</v>
      </c>
      <c r="S157" s="7">
        <v>344</v>
      </c>
      <c r="T157" s="8">
        <v>2.5</v>
      </c>
      <c r="U157" s="8">
        <v>3.4</v>
      </c>
      <c r="V157" s="17">
        <v>3.4</v>
      </c>
      <c r="AD157" s="1"/>
      <c r="AE157" s="3"/>
      <c r="AF157" s="2"/>
      <c r="AG157" s="2"/>
      <c r="AH157" s="2"/>
      <c r="AI157" s="3"/>
      <c r="AJ157" s="1"/>
      <c r="AK157" s="1"/>
    </row>
    <row r="158" spans="1:37" x14ac:dyDescent="0.3">
      <c r="A158" s="14">
        <v>956</v>
      </c>
      <c r="B158" s="14">
        <v>2</v>
      </c>
      <c r="C158" s="9" t="s">
        <v>1659</v>
      </c>
      <c r="D158" s="9" t="s">
        <v>1457</v>
      </c>
      <c r="E158" s="9" t="s">
        <v>3118</v>
      </c>
      <c r="F158" s="9" t="s">
        <v>3119</v>
      </c>
      <c r="G158" s="9">
        <v>1</v>
      </c>
      <c r="H158" s="9"/>
      <c r="I158" s="9"/>
      <c r="J158" s="9"/>
      <c r="K158" s="9" t="b">
        <v>0</v>
      </c>
      <c r="L158" s="9" t="s">
        <v>3121</v>
      </c>
      <c r="M158" s="9" t="b">
        <v>1</v>
      </c>
      <c r="N158" s="9" t="s">
        <v>3120</v>
      </c>
      <c r="O158" s="9" t="s">
        <v>4128</v>
      </c>
      <c r="P158" s="7">
        <v>1509</v>
      </c>
      <c r="Q158" s="7">
        <v>1371</v>
      </c>
      <c r="R158" s="7">
        <v>956</v>
      </c>
      <c r="S158" s="7">
        <v>358</v>
      </c>
      <c r="T158" s="8">
        <v>3.7</v>
      </c>
      <c r="U158" s="8">
        <v>3.4</v>
      </c>
      <c r="V158" s="17">
        <v>3.4</v>
      </c>
      <c r="AD158" s="1"/>
      <c r="AE158" s="3"/>
      <c r="AF158" s="3"/>
      <c r="AG158" s="3"/>
      <c r="AH158" s="3"/>
      <c r="AI158" s="3"/>
      <c r="AJ158" s="1"/>
      <c r="AK158" s="1"/>
    </row>
    <row r="159" spans="1:37" x14ac:dyDescent="0.3">
      <c r="A159" s="14">
        <v>115</v>
      </c>
      <c r="B159" s="14">
        <v>3</v>
      </c>
      <c r="C159" s="9" t="s">
        <v>0</v>
      </c>
      <c r="D159" s="9" t="s">
        <v>411</v>
      </c>
      <c r="E159" s="9" t="s">
        <v>438</v>
      </c>
      <c r="F159" s="9" t="s">
        <v>439</v>
      </c>
      <c r="G159" s="9">
        <v>1</v>
      </c>
      <c r="H159" s="9"/>
      <c r="I159" s="9"/>
      <c r="J159" s="9"/>
      <c r="K159" s="9" t="b">
        <v>0</v>
      </c>
      <c r="L159" s="9" t="s">
        <v>416</v>
      </c>
      <c r="M159" s="9" t="b">
        <v>0</v>
      </c>
      <c r="N159" s="9" t="s">
        <v>440</v>
      </c>
      <c r="O159" s="9" t="s">
        <v>3291</v>
      </c>
      <c r="P159" s="7">
        <v>887</v>
      </c>
      <c r="Q159" s="7">
        <v>805</v>
      </c>
      <c r="R159" s="7">
        <v>725</v>
      </c>
      <c r="S159" s="7">
        <v>210</v>
      </c>
      <c r="T159" s="8">
        <v>3.9</v>
      </c>
      <c r="U159" s="8">
        <v>3.4</v>
      </c>
      <c r="V159" s="17">
        <v>3.4</v>
      </c>
      <c r="AD159" s="1"/>
      <c r="AE159" s="3"/>
      <c r="AF159" s="2"/>
      <c r="AG159" s="3"/>
      <c r="AH159" s="3"/>
      <c r="AI159" s="3"/>
      <c r="AJ159" s="1"/>
      <c r="AK159" s="1"/>
    </row>
    <row r="160" spans="1:37" x14ac:dyDescent="0.3">
      <c r="A160" s="14">
        <v>120</v>
      </c>
      <c r="B160" s="14">
        <v>3</v>
      </c>
      <c r="C160" s="9" t="s">
        <v>0</v>
      </c>
      <c r="D160" s="9" t="s">
        <v>411</v>
      </c>
      <c r="E160" s="9" t="s">
        <v>459</v>
      </c>
      <c r="F160" s="9" t="s">
        <v>460</v>
      </c>
      <c r="G160" s="9">
        <v>1</v>
      </c>
      <c r="H160" s="9" t="s">
        <v>461</v>
      </c>
      <c r="I160" s="9"/>
      <c r="J160" s="9"/>
      <c r="K160" s="9" t="b">
        <v>0</v>
      </c>
      <c r="L160" s="9" t="s">
        <v>194</v>
      </c>
      <c r="M160" s="9" t="b">
        <v>0</v>
      </c>
      <c r="N160" s="9" t="s">
        <v>462</v>
      </c>
      <c r="O160" s="9" t="s">
        <v>3296</v>
      </c>
      <c r="P160" s="7">
        <v>1363</v>
      </c>
      <c r="Q160" s="7">
        <v>1322</v>
      </c>
      <c r="R160" s="7">
        <v>1090</v>
      </c>
      <c r="S160" s="7">
        <v>320</v>
      </c>
      <c r="T160" s="8">
        <v>2.8</v>
      </c>
      <c r="U160" s="8">
        <v>3.4</v>
      </c>
      <c r="V160" s="17">
        <v>3.4</v>
      </c>
      <c r="AD160" s="1"/>
      <c r="AE160" s="3"/>
      <c r="AF160" s="2"/>
      <c r="AG160" s="2"/>
      <c r="AH160" s="2"/>
      <c r="AI160" s="3"/>
      <c r="AJ160" s="1"/>
      <c r="AK160" s="1"/>
    </row>
    <row r="161" spans="1:37" x14ac:dyDescent="0.3">
      <c r="A161" s="14">
        <v>432</v>
      </c>
      <c r="B161" s="14">
        <v>2</v>
      </c>
      <c r="C161" s="9" t="s">
        <v>0</v>
      </c>
      <c r="D161" s="9" t="s">
        <v>1457</v>
      </c>
      <c r="E161" s="9" t="s">
        <v>1500</v>
      </c>
      <c r="F161" s="9" t="s">
        <v>1501</v>
      </c>
      <c r="G161" s="9">
        <v>1</v>
      </c>
      <c r="H161" s="9" t="s">
        <v>10</v>
      </c>
      <c r="I161" s="9"/>
      <c r="J161" s="9"/>
      <c r="K161" s="9" t="b">
        <v>0</v>
      </c>
      <c r="L161" s="9" t="s">
        <v>194</v>
      </c>
      <c r="M161" s="9" t="b">
        <v>1</v>
      </c>
      <c r="N161" s="9" t="s">
        <v>1502</v>
      </c>
      <c r="O161" s="9" t="s">
        <v>3607</v>
      </c>
      <c r="P161" s="7">
        <v>1585</v>
      </c>
      <c r="Q161" s="7">
        <v>1486</v>
      </c>
      <c r="R161" s="7">
        <v>1281</v>
      </c>
      <c r="S161" s="7">
        <v>372</v>
      </c>
      <c r="T161" s="8">
        <v>3.3</v>
      </c>
      <c r="U161" s="8">
        <v>3.4</v>
      </c>
      <c r="V161" s="17">
        <v>3.4</v>
      </c>
      <c r="AD161" s="1"/>
      <c r="AE161" s="3"/>
      <c r="AF161" s="3"/>
      <c r="AG161" s="3"/>
      <c r="AH161" s="3"/>
      <c r="AI161" s="3"/>
      <c r="AJ161" s="1"/>
      <c r="AK161" s="1"/>
    </row>
    <row r="162" spans="1:37" x14ac:dyDescent="0.3">
      <c r="A162" s="14">
        <v>64</v>
      </c>
      <c r="B162" s="14">
        <v>2</v>
      </c>
      <c r="C162" s="9" t="s">
        <v>0</v>
      </c>
      <c r="D162" s="9" t="s">
        <v>180</v>
      </c>
      <c r="E162" s="9" t="s">
        <v>235</v>
      </c>
      <c r="F162" s="9" t="s">
        <v>236</v>
      </c>
      <c r="G162" s="9">
        <v>1</v>
      </c>
      <c r="H162" s="9"/>
      <c r="I162" s="9" t="s">
        <v>51</v>
      </c>
      <c r="J162" s="9">
        <v>1</v>
      </c>
      <c r="K162" s="9" t="b">
        <v>0</v>
      </c>
      <c r="L162" s="9" t="s">
        <v>238</v>
      </c>
      <c r="M162" s="9" t="b">
        <v>0</v>
      </c>
      <c r="N162" s="9" t="s">
        <v>237</v>
      </c>
      <c r="O162" s="9" t="s">
        <v>3240</v>
      </c>
      <c r="P162" s="7">
        <v>1367</v>
      </c>
      <c r="Q162" s="7">
        <v>1236</v>
      </c>
      <c r="R162" s="7">
        <v>966</v>
      </c>
      <c r="S162" s="7">
        <v>325</v>
      </c>
      <c r="T162" s="8">
        <v>4.3</v>
      </c>
      <c r="U162" s="8">
        <v>3.4</v>
      </c>
      <c r="V162" s="17">
        <v>3.4</v>
      </c>
      <c r="AD162" s="1"/>
      <c r="AE162" s="3"/>
      <c r="AF162" s="2"/>
      <c r="AG162" s="2"/>
      <c r="AH162" s="2"/>
      <c r="AI162" s="3"/>
      <c r="AJ162" s="1"/>
      <c r="AK162" s="1"/>
    </row>
    <row r="163" spans="1:37" x14ac:dyDescent="0.3">
      <c r="A163" s="14">
        <v>214</v>
      </c>
      <c r="B163" s="14">
        <v>3</v>
      </c>
      <c r="C163" s="9" t="s">
        <v>0</v>
      </c>
      <c r="D163" s="9" t="s">
        <v>411</v>
      </c>
      <c r="E163" s="9" t="s">
        <v>792</v>
      </c>
      <c r="F163" s="9" t="s">
        <v>793</v>
      </c>
      <c r="G163" s="9">
        <v>1</v>
      </c>
      <c r="H163" s="9" t="s">
        <v>84</v>
      </c>
      <c r="I163" s="9"/>
      <c r="J163" s="9"/>
      <c r="K163" s="9" t="b">
        <v>0</v>
      </c>
      <c r="L163" s="9" t="s">
        <v>430</v>
      </c>
      <c r="M163" s="9" t="b">
        <v>1</v>
      </c>
      <c r="N163" s="9" t="s">
        <v>794</v>
      </c>
      <c r="O163" s="9" t="s">
        <v>3390</v>
      </c>
      <c r="P163" s="7">
        <v>1038</v>
      </c>
      <c r="Q163" s="7">
        <v>979</v>
      </c>
      <c r="R163" s="7">
        <v>744</v>
      </c>
      <c r="S163" s="7">
        <v>249</v>
      </c>
      <c r="T163" s="8">
        <v>3.5</v>
      </c>
      <c r="U163" s="8">
        <v>3.4</v>
      </c>
      <c r="V163" s="17">
        <v>3.4</v>
      </c>
      <c r="AD163" s="1"/>
      <c r="AE163" s="3"/>
      <c r="AF163" s="3"/>
      <c r="AG163" s="3"/>
      <c r="AH163" s="3"/>
      <c r="AI163" s="3"/>
      <c r="AJ163" s="1"/>
      <c r="AK163" s="1"/>
    </row>
    <row r="164" spans="1:37" x14ac:dyDescent="0.3">
      <c r="A164" s="14">
        <v>27</v>
      </c>
      <c r="B164" s="14">
        <v>1</v>
      </c>
      <c r="C164" s="9" t="s">
        <v>0</v>
      </c>
      <c r="D164" s="9" t="s">
        <v>1</v>
      </c>
      <c r="E164" s="9" t="s">
        <v>98</v>
      </c>
      <c r="F164" s="9" t="s">
        <v>99</v>
      </c>
      <c r="G164" s="9">
        <v>1</v>
      </c>
      <c r="H164" s="9" t="s">
        <v>84</v>
      </c>
      <c r="I164" s="9"/>
      <c r="J164" s="9">
        <v>1</v>
      </c>
      <c r="K164" s="9" t="b">
        <v>0</v>
      </c>
      <c r="L164" s="9" t="s">
        <v>7</v>
      </c>
      <c r="M164" s="9" t="b">
        <v>0</v>
      </c>
      <c r="N164" s="9" t="s">
        <v>100</v>
      </c>
      <c r="O164" s="9" t="s">
        <v>3203</v>
      </c>
      <c r="P164" s="7">
        <v>1582</v>
      </c>
      <c r="Q164" s="7">
        <v>1505</v>
      </c>
      <c r="R164" s="7">
        <v>1269</v>
      </c>
      <c r="S164" s="7">
        <v>371</v>
      </c>
      <c r="T164" s="8">
        <v>2.9</v>
      </c>
      <c r="U164" s="8">
        <v>3.4</v>
      </c>
      <c r="V164" s="17">
        <v>3.4</v>
      </c>
      <c r="AD164" s="1"/>
      <c r="AE164" s="3"/>
      <c r="AF164" s="2"/>
      <c r="AG164" s="3"/>
      <c r="AH164" s="3"/>
      <c r="AI164" s="3"/>
      <c r="AJ164" s="1"/>
      <c r="AK164" s="1"/>
    </row>
    <row r="165" spans="1:37" x14ac:dyDescent="0.3">
      <c r="A165" s="14">
        <v>409</v>
      </c>
      <c r="B165" s="14">
        <v>4</v>
      </c>
      <c r="C165" s="9" t="s">
        <v>0</v>
      </c>
      <c r="D165" s="9" t="s">
        <v>1394</v>
      </c>
      <c r="E165" s="9" t="s">
        <v>1424</v>
      </c>
      <c r="F165" s="9" t="s">
        <v>1425</v>
      </c>
      <c r="G165" s="9">
        <v>1</v>
      </c>
      <c r="H165" s="9" t="s">
        <v>213</v>
      </c>
      <c r="I165" s="9"/>
      <c r="J165" s="9"/>
      <c r="K165" s="9" t="b">
        <v>0</v>
      </c>
      <c r="L165" s="9"/>
      <c r="M165" s="9" t="b">
        <v>0</v>
      </c>
      <c r="N165" s="9" t="s">
        <v>1426</v>
      </c>
      <c r="O165" s="9" t="s">
        <v>3585</v>
      </c>
      <c r="P165" s="7">
        <v>200</v>
      </c>
      <c r="Q165" s="7">
        <v>185</v>
      </c>
      <c r="R165" s="7">
        <v>169</v>
      </c>
      <c r="S165" s="7">
        <v>47</v>
      </c>
      <c r="T165" s="8">
        <v>3.7</v>
      </c>
      <c r="U165" s="8">
        <v>3.4</v>
      </c>
      <c r="V165" s="17">
        <v>3.4</v>
      </c>
      <c r="AD165" s="1"/>
      <c r="AE165" s="3"/>
      <c r="AF165" s="2"/>
      <c r="AG165" s="2"/>
      <c r="AH165" s="3"/>
      <c r="AI165" s="3"/>
      <c r="AJ165" s="1"/>
      <c r="AK165" s="1"/>
    </row>
    <row r="166" spans="1:37" x14ac:dyDescent="0.3">
      <c r="A166" s="14">
        <v>621</v>
      </c>
      <c r="B166" s="14">
        <v>3</v>
      </c>
      <c r="C166" s="9" t="s">
        <v>1659</v>
      </c>
      <c r="D166" s="9" t="s">
        <v>411</v>
      </c>
      <c r="E166" s="9" t="s">
        <v>2093</v>
      </c>
      <c r="F166" s="9" t="s">
        <v>2094</v>
      </c>
      <c r="G166" s="9">
        <v>1</v>
      </c>
      <c r="H166" s="9"/>
      <c r="I166" s="9"/>
      <c r="J166" s="9"/>
      <c r="K166" s="9" t="b">
        <v>0</v>
      </c>
      <c r="L166" s="9" t="s">
        <v>416</v>
      </c>
      <c r="M166" s="9" t="b">
        <v>0</v>
      </c>
      <c r="N166" s="9" t="s">
        <v>2095</v>
      </c>
      <c r="O166" s="9" t="s">
        <v>3796</v>
      </c>
      <c r="P166" s="7">
        <v>993</v>
      </c>
      <c r="Q166" s="7">
        <v>923</v>
      </c>
      <c r="R166" s="7">
        <v>646</v>
      </c>
      <c r="S166" s="7">
        <v>232</v>
      </c>
      <c r="T166" s="8">
        <v>3.5</v>
      </c>
      <c r="U166" s="8">
        <v>3.3</v>
      </c>
      <c r="V166" s="17">
        <v>3.3</v>
      </c>
      <c r="AD166" s="1"/>
      <c r="AE166" s="3"/>
      <c r="AF166" s="2"/>
      <c r="AG166" s="2"/>
      <c r="AH166" s="3"/>
      <c r="AI166" s="3"/>
      <c r="AJ166" s="1"/>
      <c r="AK166" s="1"/>
    </row>
    <row r="167" spans="1:37" x14ac:dyDescent="0.3">
      <c r="A167" s="14">
        <v>626</v>
      </c>
      <c r="B167" s="14">
        <v>3</v>
      </c>
      <c r="C167" s="9" t="s">
        <v>1659</v>
      </c>
      <c r="D167" s="9" t="s">
        <v>411</v>
      </c>
      <c r="E167" s="9" t="s">
        <v>2108</v>
      </c>
      <c r="F167" s="9" t="s">
        <v>2109</v>
      </c>
      <c r="G167" s="9">
        <v>4</v>
      </c>
      <c r="H167" s="9"/>
      <c r="I167" s="9"/>
      <c r="J167" s="9"/>
      <c r="K167" s="9" t="b">
        <v>0</v>
      </c>
      <c r="L167" s="9" t="s">
        <v>416</v>
      </c>
      <c r="M167" s="9" t="b">
        <v>0</v>
      </c>
      <c r="N167" s="9" t="s">
        <v>2110</v>
      </c>
      <c r="O167" s="9" t="s">
        <v>3801</v>
      </c>
      <c r="P167" s="7">
        <v>940</v>
      </c>
      <c r="Q167" s="7">
        <v>877</v>
      </c>
      <c r="R167" s="7">
        <v>638</v>
      </c>
      <c r="S167" s="7">
        <v>218</v>
      </c>
      <c r="T167" s="8">
        <v>3.7</v>
      </c>
      <c r="U167" s="8">
        <v>3.3</v>
      </c>
      <c r="V167" s="17">
        <v>3.3</v>
      </c>
      <c r="AD167" s="1"/>
      <c r="AE167" s="3"/>
      <c r="AF167" s="2"/>
      <c r="AG167" s="2"/>
      <c r="AH167" s="3"/>
      <c r="AI167" s="3"/>
      <c r="AJ167" s="1"/>
      <c r="AK167" s="1"/>
    </row>
    <row r="168" spans="1:37" x14ac:dyDescent="0.3">
      <c r="A168" s="14">
        <v>637</v>
      </c>
      <c r="B168" s="14">
        <v>3</v>
      </c>
      <c r="C168" s="9" t="s">
        <v>1659</v>
      </c>
      <c r="D168" s="9" t="s">
        <v>411</v>
      </c>
      <c r="E168" s="9" t="s">
        <v>2142</v>
      </c>
      <c r="F168" s="9" t="s">
        <v>2143</v>
      </c>
      <c r="G168" s="9">
        <v>3</v>
      </c>
      <c r="H168" s="9"/>
      <c r="I168" s="9"/>
      <c r="J168" s="9"/>
      <c r="K168" s="9" t="b">
        <v>0</v>
      </c>
      <c r="L168" s="9" t="s">
        <v>416</v>
      </c>
      <c r="M168" s="9" t="b">
        <v>1</v>
      </c>
      <c r="N168" s="9" t="s">
        <v>2144</v>
      </c>
      <c r="O168" s="9" t="s">
        <v>3812</v>
      </c>
      <c r="P168" s="7">
        <v>1122</v>
      </c>
      <c r="Q168" s="7">
        <v>1060</v>
      </c>
      <c r="R168" s="7">
        <v>854</v>
      </c>
      <c r="S168" s="7">
        <v>263</v>
      </c>
      <c r="T168" s="8">
        <v>3.2</v>
      </c>
      <c r="U168" s="8">
        <v>3.3</v>
      </c>
      <c r="V168" s="17">
        <v>3.3</v>
      </c>
      <c r="AD168" s="1"/>
      <c r="AE168" s="3"/>
      <c r="AF168" s="3"/>
      <c r="AG168" s="3"/>
      <c r="AH168" s="3"/>
      <c r="AI168" s="3"/>
      <c r="AJ168" s="1"/>
      <c r="AK168" s="1"/>
    </row>
    <row r="169" spans="1:37" x14ac:dyDescent="0.3">
      <c r="A169" s="14">
        <v>640</v>
      </c>
      <c r="B169" s="14">
        <v>3</v>
      </c>
      <c r="C169" s="9" t="s">
        <v>1659</v>
      </c>
      <c r="D169" s="9" t="s">
        <v>411</v>
      </c>
      <c r="E169" s="9" t="s">
        <v>2151</v>
      </c>
      <c r="F169" s="9" t="s">
        <v>2152</v>
      </c>
      <c r="G169" s="9">
        <v>1</v>
      </c>
      <c r="H169" s="9"/>
      <c r="I169" s="9"/>
      <c r="J169" s="9"/>
      <c r="K169" s="9" t="b">
        <v>0</v>
      </c>
      <c r="L169" s="9" t="s">
        <v>430</v>
      </c>
      <c r="M169" s="9" t="b">
        <v>0</v>
      </c>
      <c r="N169" s="9" t="s">
        <v>2153</v>
      </c>
      <c r="O169" s="9" t="s">
        <v>3815</v>
      </c>
      <c r="P169" s="7">
        <v>1155</v>
      </c>
      <c r="Q169" s="7">
        <v>1101</v>
      </c>
      <c r="R169" s="7">
        <v>955</v>
      </c>
      <c r="S169" s="7">
        <v>265</v>
      </c>
      <c r="T169" s="8">
        <v>3.7</v>
      </c>
      <c r="U169" s="8">
        <v>3.3</v>
      </c>
      <c r="V169" s="17">
        <v>3.3</v>
      </c>
      <c r="AD169" s="1"/>
      <c r="AE169" s="3"/>
      <c r="AF169" s="2"/>
      <c r="AG169" s="2"/>
      <c r="AH169" s="2"/>
      <c r="AI169" s="3"/>
      <c r="AJ169" s="1"/>
      <c r="AK169" s="1"/>
    </row>
    <row r="170" spans="1:37" x14ac:dyDescent="0.3">
      <c r="A170" s="14">
        <v>561</v>
      </c>
      <c r="B170" s="14">
        <v>2</v>
      </c>
      <c r="C170" s="9" t="s">
        <v>1659</v>
      </c>
      <c r="D170" s="9" t="s">
        <v>180</v>
      </c>
      <c r="E170" s="9" t="s">
        <v>1904</v>
      </c>
      <c r="F170" s="9" t="s">
        <v>1905</v>
      </c>
      <c r="G170" s="9">
        <v>1</v>
      </c>
      <c r="H170" s="9"/>
      <c r="I170" s="9"/>
      <c r="J170" s="9"/>
      <c r="K170" s="9" t="b">
        <v>0</v>
      </c>
      <c r="L170" s="9" t="s">
        <v>270</v>
      </c>
      <c r="M170" s="9" t="b">
        <v>1</v>
      </c>
      <c r="N170" s="9" t="s">
        <v>1906</v>
      </c>
      <c r="O170" s="9" t="s">
        <v>3736</v>
      </c>
      <c r="P170" s="7">
        <v>1372</v>
      </c>
      <c r="Q170" s="7">
        <v>1217</v>
      </c>
      <c r="R170" s="7">
        <v>807</v>
      </c>
      <c r="S170" s="7">
        <v>314</v>
      </c>
      <c r="T170" s="8">
        <v>4.5</v>
      </c>
      <c r="U170" s="8">
        <v>3.3</v>
      </c>
      <c r="V170" s="17">
        <v>3.3</v>
      </c>
      <c r="AD170" s="1"/>
      <c r="AE170" s="3"/>
      <c r="AF170" s="2"/>
      <c r="AG170" s="2"/>
      <c r="AH170" s="2"/>
      <c r="AI170" s="3"/>
      <c r="AJ170" s="1"/>
      <c r="AK170" s="1"/>
    </row>
    <row r="171" spans="1:37" x14ac:dyDescent="0.3">
      <c r="A171" s="14">
        <v>931</v>
      </c>
      <c r="B171" s="14">
        <v>2</v>
      </c>
      <c r="C171" s="9" t="s">
        <v>1659</v>
      </c>
      <c r="D171" s="9" t="s">
        <v>1457</v>
      </c>
      <c r="E171" s="9" t="s">
        <v>3040</v>
      </c>
      <c r="F171" s="9" t="s">
        <v>3041</v>
      </c>
      <c r="G171" s="9">
        <v>1</v>
      </c>
      <c r="H171" s="9"/>
      <c r="I171" s="9"/>
      <c r="J171" s="9"/>
      <c r="K171" s="9" t="b">
        <v>0</v>
      </c>
      <c r="L171" s="9"/>
      <c r="M171" s="9" t="b">
        <v>0</v>
      </c>
      <c r="N171" s="9" t="s">
        <v>3042</v>
      </c>
      <c r="O171" s="9" t="s">
        <v>4103</v>
      </c>
      <c r="P171" s="7">
        <v>1208</v>
      </c>
      <c r="Q171" s="7">
        <v>1142</v>
      </c>
      <c r="R171" s="7">
        <v>937</v>
      </c>
      <c r="S171" s="7">
        <v>283</v>
      </c>
      <c r="T171" s="8">
        <v>3.6</v>
      </c>
      <c r="U171" s="8">
        <v>3.3</v>
      </c>
      <c r="V171" s="17">
        <v>3.3</v>
      </c>
      <c r="AD171" s="1"/>
      <c r="AE171" s="3"/>
      <c r="AF171" s="2"/>
      <c r="AG171" s="2"/>
      <c r="AH171" s="3"/>
      <c r="AI171" s="3"/>
      <c r="AJ171" s="1"/>
      <c r="AK171" s="1"/>
    </row>
    <row r="172" spans="1:37" x14ac:dyDescent="0.3">
      <c r="A172" s="14">
        <v>574</v>
      </c>
      <c r="B172" s="14">
        <v>2</v>
      </c>
      <c r="C172" s="9" t="s">
        <v>1659</v>
      </c>
      <c r="D172" s="9" t="s">
        <v>180</v>
      </c>
      <c r="E172" s="9" t="s">
        <v>1944</v>
      </c>
      <c r="F172" s="9" t="s">
        <v>1945</v>
      </c>
      <c r="G172" s="9">
        <v>3</v>
      </c>
      <c r="H172" s="9"/>
      <c r="I172" s="9"/>
      <c r="J172" s="9"/>
      <c r="K172" s="9" t="b">
        <v>0</v>
      </c>
      <c r="L172" s="9"/>
      <c r="M172" s="9" t="b">
        <v>1</v>
      </c>
      <c r="N172" s="9" t="s">
        <v>1946</v>
      </c>
      <c r="O172" s="9" t="s">
        <v>3749</v>
      </c>
      <c r="P172" s="7">
        <v>1270</v>
      </c>
      <c r="Q172" s="7">
        <v>1216</v>
      </c>
      <c r="R172" s="7">
        <v>885</v>
      </c>
      <c r="S172" s="7">
        <v>289</v>
      </c>
      <c r="T172" s="8">
        <v>3.7</v>
      </c>
      <c r="U172" s="8">
        <v>3.3</v>
      </c>
      <c r="V172" s="17">
        <v>3.3</v>
      </c>
      <c r="AD172" s="1"/>
      <c r="AE172" s="3"/>
      <c r="AF172" s="2"/>
      <c r="AG172" s="2"/>
      <c r="AH172" s="3"/>
      <c r="AI172" s="3"/>
      <c r="AJ172" s="1"/>
      <c r="AK172" s="1"/>
    </row>
    <row r="173" spans="1:37" x14ac:dyDescent="0.3">
      <c r="A173" s="14">
        <v>691</v>
      </c>
      <c r="B173" s="14">
        <v>3</v>
      </c>
      <c r="C173" s="9" t="s">
        <v>1659</v>
      </c>
      <c r="D173" s="9" t="s">
        <v>411</v>
      </c>
      <c r="E173" s="9" t="s">
        <v>2312</v>
      </c>
      <c r="F173" s="9" t="s">
        <v>2313</v>
      </c>
      <c r="G173" s="9">
        <v>3</v>
      </c>
      <c r="H173" s="9"/>
      <c r="I173" s="9"/>
      <c r="J173" s="9"/>
      <c r="K173" s="9" t="b">
        <v>0</v>
      </c>
      <c r="L173" s="9" t="s">
        <v>497</v>
      </c>
      <c r="M173" s="9" t="b">
        <v>0</v>
      </c>
      <c r="N173" s="9" t="s">
        <v>2314</v>
      </c>
      <c r="O173" s="9" t="s">
        <v>3866</v>
      </c>
      <c r="P173" s="7">
        <v>1132</v>
      </c>
      <c r="Q173" s="7">
        <v>1042</v>
      </c>
      <c r="R173" s="7">
        <v>831</v>
      </c>
      <c r="S173" s="7">
        <v>261</v>
      </c>
      <c r="T173" s="8">
        <v>3.9</v>
      </c>
      <c r="U173" s="8">
        <v>3.3</v>
      </c>
      <c r="V173" s="17">
        <v>3.3</v>
      </c>
      <c r="AD173" s="1"/>
      <c r="AE173" s="3"/>
      <c r="AF173" s="2"/>
      <c r="AG173" s="2"/>
      <c r="AH173" s="3"/>
      <c r="AI173" s="3"/>
      <c r="AJ173" s="1"/>
      <c r="AK173" s="1"/>
    </row>
    <row r="174" spans="1:37" x14ac:dyDescent="0.3">
      <c r="A174" s="14">
        <v>696</v>
      </c>
      <c r="B174" s="14">
        <v>3</v>
      </c>
      <c r="C174" s="9" t="s">
        <v>1659</v>
      </c>
      <c r="D174" s="9" t="s">
        <v>411</v>
      </c>
      <c r="E174" s="9" t="s">
        <v>2327</v>
      </c>
      <c r="F174" s="9" t="s">
        <v>2328</v>
      </c>
      <c r="G174" s="9">
        <v>3</v>
      </c>
      <c r="H174" s="9"/>
      <c r="I174" s="9"/>
      <c r="J174" s="9"/>
      <c r="K174" s="9" t="b">
        <v>0</v>
      </c>
      <c r="L174" s="9" t="s">
        <v>309</v>
      </c>
      <c r="M174" s="9" t="b">
        <v>1</v>
      </c>
      <c r="N174" s="9" t="s">
        <v>2329</v>
      </c>
      <c r="O174" s="9" t="s">
        <v>3871</v>
      </c>
      <c r="P174" s="7">
        <v>1259</v>
      </c>
      <c r="Q174" s="7">
        <v>1201</v>
      </c>
      <c r="R174" s="7">
        <v>918</v>
      </c>
      <c r="S174" s="7">
        <v>292</v>
      </c>
      <c r="T174" s="8">
        <v>3.3</v>
      </c>
      <c r="U174" s="8">
        <v>3.3</v>
      </c>
      <c r="V174" s="17">
        <v>3.3</v>
      </c>
      <c r="AD174" s="1"/>
      <c r="AE174" s="3"/>
      <c r="AF174" s="2"/>
      <c r="AG174" s="3"/>
      <c r="AH174" s="3"/>
      <c r="AI174" s="3"/>
      <c r="AJ174" s="1"/>
      <c r="AK174" s="1"/>
    </row>
    <row r="175" spans="1:37" x14ac:dyDescent="0.3">
      <c r="A175" s="14">
        <v>532</v>
      </c>
      <c r="B175" s="14">
        <v>1</v>
      </c>
      <c r="C175" s="9" t="s">
        <v>1659</v>
      </c>
      <c r="D175" s="9" t="s">
        <v>1</v>
      </c>
      <c r="E175" s="9" t="s">
        <v>1816</v>
      </c>
      <c r="F175" s="9" t="s">
        <v>1817</v>
      </c>
      <c r="G175" s="9">
        <v>3</v>
      </c>
      <c r="H175" s="9"/>
      <c r="I175" s="9"/>
      <c r="J175" s="9"/>
      <c r="K175" s="9" t="b">
        <v>0</v>
      </c>
      <c r="L175" s="9" t="s">
        <v>7</v>
      </c>
      <c r="M175" s="9" t="b">
        <v>1</v>
      </c>
      <c r="N175" s="9" t="s">
        <v>1818</v>
      </c>
      <c r="O175" s="9" t="s">
        <v>3707</v>
      </c>
      <c r="P175" s="7">
        <v>1503</v>
      </c>
      <c r="Q175" s="7">
        <v>1474</v>
      </c>
      <c r="R175" s="7">
        <v>1180</v>
      </c>
      <c r="S175" s="7">
        <v>347</v>
      </c>
      <c r="T175" s="8">
        <v>3</v>
      </c>
      <c r="U175" s="8">
        <v>3.3</v>
      </c>
      <c r="V175" s="17">
        <v>3.3</v>
      </c>
      <c r="AD175" s="1"/>
      <c r="AE175" s="3"/>
      <c r="AF175" s="2"/>
      <c r="AG175" s="2"/>
      <c r="AH175" s="2"/>
      <c r="AI175" s="3"/>
      <c r="AJ175" s="1"/>
      <c r="AK175" s="1"/>
    </row>
    <row r="176" spans="1:37" x14ac:dyDescent="0.3">
      <c r="A176" s="14">
        <v>749</v>
      </c>
      <c r="B176" s="14">
        <v>3</v>
      </c>
      <c r="C176" s="9" t="s">
        <v>1659</v>
      </c>
      <c r="D176" s="9" t="s">
        <v>411</v>
      </c>
      <c r="E176" s="9" t="s">
        <v>2489</v>
      </c>
      <c r="F176" s="9" t="s">
        <v>2490</v>
      </c>
      <c r="G176" s="9">
        <v>4</v>
      </c>
      <c r="H176" s="9"/>
      <c r="I176" s="9"/>
      <c r="J176" s="9"/>
      <c r="K176" s="9" t="b">
        <v>0</v>
      </c>
      <c r="L176" s="9" t="s">
        <v>223</v>
      </c>
      <c r="M176" s="9" t="b">
        <v>1</v>
      </c>
      <c r="N176" s="9" t="s">
        <v>2491</v>
      </c>
      <c r="O176" s="9" t="s">
        <v>3924</v>
      </c>
      <c r="P176" s="7">
        <v>1227</v>
      </c>
      <c r="Q176" s="7">
        <v>1126</v>
      </c>
      <c r="R176" s="7">
        <v>928</v>
      </c>
      <c r="S176" s="7">
        <v>280</v>
      </c>
      <c r="T176" s="8">
        <v>3.8</v>
      </c>
      <c r="U176" s="8">
        <v>3.3</v>
      </c>
      <c r="V176" s="17">
        <v>3.3</v>
      </c>
      <c r="AD176" s="1"/>
      <c r="AE176" s="3"/>
      <c r="AF176" s="2"/>
      <c r="AG176" s="3"/>
      <c r="AH176" s="3"/>
      <c r="AI176" s="3"/>
      <c r="AJ176" s="1"/>
      <c r="AK176" s="1"/>
    </row>
    <row r="177" spans="1:37" x14ac:dyDescent="0.3">
      <c r="A177" s="14">
        <v>601</v>
      </c>
      <c r="B177" s="14">
        <v>2</v>
      </c>
      <c r="C177" s="9" t="s">
        <v>1659</v>
      </c>
      <c r="D177" s="9" t="s">
        <v>180</v>
      </c>
      <c r="E177" s="9" t="s">
        <v>2030</v>
      </c>
      <c r="F177" s="9" t="s">
        <v>2031</v>
      </c>
      <c r="G177" s="9">
        <v>1</v>
      </c>
      <c r="H177" s="9"/>
      <c r="I177" s="9"/>
      <c r="J177" s="9"/>
      <c r="K177" s="9" t="b">
        <v>0</v>
      </c>
      <c r="L177" s="9" t="s">
        <v>238</v>
      </c>
      <c r="M177" s="9" t="b">
        <v>0</v>
      </c>
      <c r="N177" s="9" t="s">
        <v>2032</v>
      </c>
      <c r="O177" s="9" t="s">
        <v>3776</v>
      </c>
      <c r="P177" s="7">
        <v>1285</v>
      </c>
      <c r="Q177" s="7">
        <v>1194</v>
      </c>
      <c r="R177" s="7">
        <v>981</v>
      </c>
      <c r="S177" s="7">
        <v>293</v>
      </c>
      <c r="T177" s="8">
        <v>3.7</v>
      </c>
      <c r="U177" s="8">
        <v>3.3</v>
      </c>
      <c r="V177" s="17">
        <v>3.3</v>
      </c>
      <c r="AD177" s="1"/>
      <c r="AE177" s="3"/>
      <c r="AF177" s="3"/>
      <c r="AG177" s="3"/>
      <c r="AH177" s="3"/>
      <c r="AI177" s="3"/>
      <c r="AJ177" s="1"/>
      <c r="AK177" s="1"/>
    </row>
    <row r="178" spans="1:37" x14ac:dyDescent="0.3">
      <c r="A178" s="14">
        <v>607</v>
      </c>
      <c r="B178" s="14">
        <v>2</v>
      </c>
      <c r="C178" s="9" t="s">
        <v>1659</v>
      </c>
      <c r="D178" s="9" t="s">
        <v>180</v>
      </c>
      <c r="E178" s="9" t="s">
        <v>2049</v>
      </c>
      <c r="F178" s="9" t="s">
        <v>2050</v>
      </c>
      <c r="G178" s="9">
        <v>4</v>
      </c>
      <c r="H178" s="9"/>
      <c r="I178" s="9"/>
      <c r="J178" s="9"/>
      <c r="K178" s="9" t="b">
        <v>0</v>
      </c>
      <c r="L178" s="9" t="s">
        <v>1897</v>
      </c>
      <c r="M178" s="9" t="b">
        <v>0</v>
      </c>
      <c r="N178" s="9" t="s">
        <v>2051</v>
      </c>
      <c r="O178" s="9" t="s">
        <v>3782</v>
      </c>
      <c r="P178" s="7">
        <v>1323</v>
      </c>
      <c r="Q178" s="7">
        <v>1259</v>
      </c>
      <c r="R178" s="7">
        <v>896</v>
      </c>
      <c r="S178" s="7">
        <v>301</v>
      </c>
      <c r="T178" s="8">
        <v>3.7</v>
      </c>
      <c r="U178" s="8">
        <v>3.3</v>
      </c>
      <c r="V178" s="17">
        <v>3.3</v>
      </c>
      <c r="AD178" s="1"/>
      <c r="AE178" s="3"/>
      <c r="AF178" s="3"/>
      <c r="AG178" s="3"/>
      <c r="AH178" s="3"/>
      <c r="AI178" s="3"/>
      <c r="AJ178" s="1"/>
      <c r="AK178" s="1"/>
    </row>
    <row r="179" spans="1:37" x14ac:dyDescent="0.3">
      <c r="A179" s="14">
        <v>348</v>
      </c>
      <c r="B179" s="14">
        <v>1</v>
      </c>
      <c r="C179" s="9" t="s">
        <v>0</v>
      </c>
      <c r="D179" s="9" t="s">
        <v>1208</v>
      </c>
      <c r="E179" s="9" t="s">
        <v>1232</v>
      </c>
      <c r="F179" s="9" t="s">
        <v>1233</v>
      </c>
      <c r="G179" s="9">
        <v>1</v>
      </c>
      <c r="H179" s="9"/>
      <c r="I179" s="9" t="s">
        <v>22</v>
      </c>
      <c r="J179" s="9"/>
      <c r="K179" s="9" t="b">
        <v>0</v>
      </c>
      <c r="L179" s="9" t="s">
        <v>7</v>
      </c>
      <c r="M179" s="9" t="b">
        <v>0</v>
      </c>
      <c r="N179" s="9" t="s">
        <v>1234</v>
      </c>
      <c r="O179" s="9" t="s">
        <v>3524</v>
      </c>
      <c r="P179" s="7">
        <v>1566</v>
      </c>
      <c r="Q179" s="7">
        <v>1557</v>
      </c>
      <c r="R179" s="7">
        <v>1377</v>
      </c>
      <c r="S179" s="7">
        <v>366</v>
      </c>
      <c r="T179" s="8">
        <v>2.1</v>
      </c>
      <c r="U179" s="8">
        <v>3.3</v>
      </c>
      <c r="V179" s="17">
        <v>3.3</v>
      </c>
      <c r="AD179" s="1"/>
      <c r="AE179" s="3"/>
      <c r="AF179" s="2"/>
      <c r="AG179" s="2"/>
      <c r="AH179" s="3"/>
      <c r="AI179" s="3"/>
      <c r="AJ179" s="1"/>
      <c r="AK179" s="1"/>
    </row>
    <row r="180" spans="1:37" x14ac:dyDescent="0.3">
      <c r="A180" s="14">
        <v>61</v>
      </c>
      <c r="B180" s="14">
        <v>2</v>
      </c>
      <c r="C180" s="9" t="s">
        <v>0</v>
      </c>
      <c r="D180" s="9" t="s">
        <v>180</v>
      </c>
      <c r="E180" s="9" t="s">
        <v>224</v>
      </c>
      <c r="F180" s="9" t="s">
        <v>225</v>
      </c>
      <c r="G180" s="9">
        <v>1</v>
      </c>
      <c r="H180" s="9" t="s">
        <v>26</v>
      </c>
      <c r="I180" s="9"/>
      <c r="J180" s="9">
        <v>1</v>
      </c>
      <c r="K180" s="9" t="b">
        <v>0</v>
      </c>
      <c r="L180" s="9"/>
      <c r="M180" s="9" t="b">
        <v>0</v>
      </c>
      <c r="N180" s="9" t="s">
        <v>226</v>
      </c>
      <c r="O180" s="9" t="s">
        <v>3237</v>
      </c>
      <c r="P180" s="7">
        <v>1587</v>
      </c>
      <c r="Q180" s="7">
        <v>1461</v>
      </c>
      <c r="R180" s="7">
        <v>1298</v>
      </c>
      <c r="S180" s="7">
        <v>365</v>
      </c>
      <c r="T180" s="8">
        <v>3.5</v>
      </c>
      <c r="U180" s="8">
        <v>3.3</v>
      </c>
      <c r="V180" s="17">
        <v>3.3</v>
      </c>
      <c r="AD180" s="1"/>
      <c r="AE180" s="3"/>
      <c r="AF180" s="2"/>
      <c r="AG180" s="2"/>
      <c r="AH180" s="2"/>
      <c r="AI180" s="3"/>
      <c r="AJ180" s="1"/>
      <c r="AK180" s="1"/>
    </row>
    <row r="181" spans="1:37" x14ac:dyDescent="0.3">
      <c r="A181" s="14">
        <v>170</v>
      </c>
      <c r="B181" s="14">
        <v>3</v>
      </c>
      <c r="C181" s="9" t="s">
        <v>0</v>
      </c>
      <c r="D181" s="9" t="s">
        <v>411</v>
      </c>
      <c r="E181" s="9" t="s">
        <v>640</v>
      </c>
      <c r="F181" s="9" t="s">
        <v>641</v>
      </c>
      <c r="G181" s="9">
        <v>1</v>
      </c>
      <c r="H181" s="9" t="s">
        <v>642</v>
      </c>
      <c r="I181" s="9" t="s">
        <v>22</v>
      </c>
      <c r="J181" s="9"/>
      <c r="K181" s="9" t="b">
        <v>0</v>
      </c>
      <c r="L181" s="9" t="s">
        <v>238</v>
      </c>
      <c r="M181" s="9" t="b">
        <v>0</v>
      </c>
      <c r="N181" s="9" t="s">
        <v>643</v>
      </c>
      <c r="O181" s="9" t="s">
        <v>3346</v>
      </c>
      <c r="P181" s="7">
        <v>966</v>
      </c>
      <c r="Q181" s="7">
        <v>908</v>
      </c>
      <c r="R181" s="7">
        <v>702</v>
      </c>
      <c r="S181" s="7">
        <v>223</v>
      </c>
      <c r="T181" s="8">
        <v>3.2</v>
      </c>
      <c r="U181" s="8">
        <v>3.3</v>
      </c>
      <c r="V181" s="17">
        <v>3.3</v>
      </c>
      <c r="AD181" s="1"/>
      <c r="AE181" s="3"/>
      <c r="AF181" s="2"/>
      <c r="AG181" s="3"/>
      <c r="AH181" s="3"/>
      <c r="AI181" s="3"/>
      <c r="AJ181" s="1"/>
      <c r="AK181" s="1"/>
    </row>
    <row r="182" spans="1:37" x14ac:dyDescent="0.3">
      <c r="A182" s="14">
        <v>439</v>
      </c>
      <c r="B182" s="14">
        <v>2</v>
      </c>
      <c r="C182" s="9" t="s">
        <v>0</v>
      </c>
      <c r="D182" s="9" t="s">
        <v>1457</v>
      </c>
      <c r="E182" s="9" t="s">
        <v>1521</v>
      </c>
      <c r="F182" s="9" t="s">
        <v>1522</v>
      </c>
      <c r="G182" s="9">
        <v>1</v>
      </c>
      <c r="H182" s="9" t="s">
        <v>10</v>
      </c>
      <c r="I182" s="9"/>
      <c r="J182" s="9"/>
      <c r="K182" s="9" t="b">
        <v>0</v>
      </c>
      <c r="L182" s="9"/>
      <c r="M182" s="9" t="b">
        <v>0</v>
      </c>
      <c r="N182" s="9" t="s">
        <v>1523</v>
      </c>
      <c r="O182" s="9" t="s">
        <v>3614</v>
      </c>
      <c r="P182" s="7">
        <v>1565</v>
      </c>
      <c r="Q182" s="7">
        <v>1364</v>
      </c>
      <c r="R182" s="7">
        <v>1237</v>
      </c>
      <c r="S182" s="7">
        <v>360</v>
      </c>
      <c r="T182" s="8">
        <v>3</v>
      </c>
      <c r="U182" s="8">
        <v>3.3</v>
      </c>
      <c r="V182" s="17">
        <v>3.3</v>
      </c>
      <c r="AD182" s="1"/>
      <c r="AE182" s="3"/>
      <c r="AF182" s="2"/>
      <c r="AG182" s="3"/>
      <c r="AH182" s="3"/>
      <c r="AI182" s="3"/>
      <c r="AJ182" s="1"/>
      <c r="AK182" s="1"/>
    </row>
    <row r="183" spans="1:37" x14ac:dyDescent="0.3">
      <c r="A183" s="14">
        <v>393</v>
      </c>
      <c r="B183" s="14">
        <v>4</v>
      </c>
      <c r="C183" s="9" t="s">
        <v>0</v>
      </c>
      <c r="D183" s="9" t="s">
        <v>1338</v>
      </c>
      <c r="E183" s="9" t="s">
        <v>1372</v>
      </c>
      <c r="F183" s="9" t="s">
        <v>1373</v>
      </c>
      <c r="G183" s="9">
        <v>1</v>
      </c>
      <c r="H183" s="9" t="s">
        <v>241</v>
      </c>
      <c r="I183" s="9" t="s">
        <v>51</v>
      </c>
      <c r="J183" s="9">
        <v>1</v>
      </c>
      <c r="K183" s="9" t="b">
        <v>0</v>
      </c>
      <c r="L183" s="9" t="s">
        <v>437</v>
      </c>
      <c r="M183" s="9" t="b">
        <v>0</v>
      </c>
      <c r="N183" s="9" t="s">
        <v>1374</v>
      </c>
      <c r="O183" s="9" t="s">
        <v>3569</v>
      </c>
      <c r="P183" s="7">
        <v>672</v>
      </c>
      <c r="Q183" s="7">
        <v>658</v>
      </c>
      <c r="R183" s="7">
        <v>482</v>
      </c>
      <c r="S183" s="7">
        <v>157</v>
      </c>
      <c r="T183" s="8">
        <v>3.4</v>
      </c>
      <c r="U183" s="8">
        <v>3.3</v>
      </c>
      <c r="V183" s="17">
        <v>3.3</v>
      </c>
      <c r="AD183" s="1"/>
      <c r="AE183" s="3"/>
      <c r="AF183" s="2"/>
      <c r="AG183" s="2"/>
      <c r="AH183" s="3"/>
      <c r="AI183" s="3"/>
      <c r="AJ183" s="1"/>
      <c r="AK183" s="1"/>
    </row>
    <row r="184" spans="1:37" x14ac:dyDescent="0.3">
      <c r="A184" s="14">
        <v>455</v>
      </c>
      <c r="B184" s="14">
        <v>2</v>
      </c>
      <c r="C184" s="9" t="s">
        <v>0</v>
      </c>
      <c r="D184" s="9" t="s">
        <v>1457</v>
      </c>
      <c r="E184" s="9" t="s">
        <v>1578</v>
      </c>
      <c r="F184" s="9" t="s">
        <v>1579</v>
      </c>
      <c r="G184" s="9">
        <v>1</v>
      </c>
      <c r="H184" s="9"/>
      <c r="I184" s="9" t="s">
        <v>757</v>
      </c>
      <c r="J184" s="9"/>
      <c r="K184" s="9" t="b">
        <v>0</v>
      </c>
      <c r="L184" s="9"/>
      <c r="M184" s="9" t="b">
        <v>0</v>
      </c>
      <c r="N184" s="9" t="s">
        <v>1580</v>
      </c>
      <c r="O184" s="9" t="s">
        <v>3630</v>
      </c>
      <c r="P184" s="7">
        <v>1364</v>
      </c>
      <c r="Q184" s="7">
        <v>1334</v>
      </c>
      <c r="R184" s="7">
        <v>1189</v>
      </c>
      <c r="S184" s="7">
        <v>315</v>
      </c>
      <c r="T184" s="8">
        <v>2.6</v>
      </c>
      <c r="U184" s="8">
        <v>3.3</v>
      </c>
      <c r="V184" s="17">
        <v>3.3</v>
      </c>
      <c r="AD184" s="1"/>
      <c r="AE184" s="3"/>
      <c r="AF184" s="2"/>
      <c r="AG184" s="2"/>
      <c r="AH184" s="3"/>
      <c r="AI184" s="3"/>
      <c r="AJ184" s="1"/>
      <c r="AK184" s="1"/>
    </row>
    <row r="185" spans="1:37" x14ac:dyDescent="0.3">
      <c r="A185" s="14">
        <v>215</v>
      </c>
      <c r="B185" s="14">
        <v>3</v>
      </c>
      <c r="C185" s="9" t="s">
        <v>0</v>
      </c>
      <c r="D185" s="9" t="s">
        <v>411</v>
      </c>
      <c r="E185" s="9" t="s">
        <v>795</v>
      </c>
      <c r="F185" s="9" t="s">
        <v>796</v>
      </c>
      <c r="G185" s="9">
        <v>1</v>
      </c>
      <c r="H185" s="9"/>
      <c r="I185" s="9" t="s">
        <v>114</v>
      </c>
      <c r="J185" s="9">
        <v>1</v>
      </c>
      <c r="K185" s="9" t="b">
        <v>0</v>
      </c>
      <c r="L185" s="9" t="s">
        <v>416</v>
      </c>
      <c r="M185" s="9" t="b">
        <v>0</v>
      </c>
      <c r="N185" s="9" t="s">
        <v>797</v>
      </c>
      <c r="O185" s="9" t="s">
        <v>3391</v>
      </c>
      <c r="P185" s="7">
        <v>919</v>
      </c>
      <c r="Q185" s="7">
        <v>879</v>
      </c>
      <c r="R185" s="7">
        <v>776</v>
      </c>
      <c r="S185" s="7">
        <v>213</v>
      </c>
      <c r="T185" s="8">
        <v>2.9</v>
      </c>
      <c r="U185" s="8">
        <v>3.3</v>
      </c>
      <c r="V185" s="17">
        <v>3.3</v>
      </c>
      <c r="AD185" s="1"/>
      <c r="AE185" s="3"/>
      <c r="AF185" s="2"/>
      <c r="AG185" s="3"/>
      <c r="AH185" s="3"/>
      <c r="AI185" s="3"/>
      <c r="AJ185" s="1"/>
      <c r="AK185" s="1"/>
    </row>
    <row r="186" spans="1:37" x14ac:dyDescent="0.3">
      <c r="A186" s="14">
        <v>220</v>
      </c>
      <c r="B186" s="14">
        <v>3</v>
      </c>
      <c r="C186" s="9" t="s">
        <v>0</v>
      </c>
      <c r="D186" s="9" t="s">
        <v>411</v>
      </c>
      <c r="E186" s="9" t="s">
        <v>810</v>
      </c>
      <c r="F186" s="9" t="s">
        <v>811</v>
      </c>
      <c r="G186" s="9">
        <v>1</v>
      </c>
      <c r="H186" s="9"/>
      <c r="I186" s="9" t="s">
        <v>738</v>
      </c>
      <c r="J186" s="9"/>
      <c r="K186" s="9" t="b">
        <v>0</v>
      </c>
      <c r="L186" s="9" t="s">
        <v>416</v>
      </c>
      <c r="M186" s="9" t="b">
        <v>0</v>
      </c>
      <c r="N186" s="9" t="s">
        <v>812</v>
      </c>
      <c r="O186" s="9" t="s">
        <v>3396</v>
      </c>
      <c r="P186" s="7">
        <v>1011</v>
      </c>
      <c r="Q186" s="7">
        <v>954</v>
      </c>
      <c r="R186" s="7">
        <v>848</v>
      </c>
      <c r="S186" s="7">
        <v>233</v>
      </c>
      <c r="T186" s="8">
        <v>3.1</v>
      </c>
      <c r="U186" s="8">
        <v>3.3</v>
      </c>
      <c r="V186" s="17">
        <v>3.3</v>
      </c>
      <c r="AD186" s="1"/>
      <c r="AE186" s="3"/>
      <c r="AF186" s="3"/>
      <c r="AG186" s="3"/>
      <c r="AH186" s="3"/>
      <c r="AI186" s="3"/>
      <c r="AJ186" s="1"/>
      <c r="AK186" s="1"/>
    </row>
    <row r="187" spans="1:37" x14ac:dyDescent="0.3">
      <c r="A187" s="14">
        <v>258</v>
      </c>
      <c r="B187" s="14">
        <v>3</v>
      </c>
      <c r="C187" s="9" t="s">
        <v>0</v>
      </c>
      <c r="D187" s="9" t="s">
        <v>411</v>
      </c>
      <c r="E187" s="9" t="s">
        <v>938</v>
      </c>
      <c r="F187" s="9" t="s">
        <v>939</v>
      </c>
      <c r="G187" s="9">
        <v>1</v>
      </c>
      <c r="H187" s="9"/>
      <c r="I187" s="9" t="s">
        <v>5</v>
      </c>
      <c r="J187" s="9"/>
      <c r="K187" s="9" t="b">
        <v>0</v>
      </c>
      <c r="L187" s="9" t="s">
        <v>286</v>
      </c>
      <c r="M187" s="9" t="b">
        <v>0</v>
      </c>
      <c r="N187" s="9" t="s">
        <v>940</v>
      </c>
      <c r="O187" s="9" t="s">
        <v>3434</v>
      </c>
      <c r="P187" s="7">
        <v>1127</v>
      </c>
      <c r="Q187" s="7">
        <v>1107</v>
      </c>
      <c r="R187" s="7">
        <v>989</v>
      </c>
      <c r="S187" s="7">
        <v>260</v>
      </c>
      <c r="T187" s="8">
        <v>3</v>
      </c>
      <c r="U187" s="8">
        <v>3.3</v>
      </c>
      <c r="V187" s="17">
        <v>3.3</v>
      </c>
      <c r="AD187" s="1"/>
      <c r="AE187" s="3"/>
      <c r="AF187" s="2"/>
      <c r="AG187" s="3"/>
      <c r="AH187" s="3"/>
      <c r="AI187" s="3"/>
      <c r="AJ187" s="1"/>
      <c r="AK187" s="1"/>
    </row>
    <row r="188" spans="1:37" x14ac:dyDescent="0.3">
      <c r="A188" s="14">
        <v>371</v>
      </c>
      <c r="B188" s="14">
        <v>1</v>
      </c>
      <c r="C188" s="9" t="s">
        <v>0</v>
      </c>
      <c r="D188" s="9" t="s">
        <v>1208</v>
      </c>
      <c r="E188" s="9" t="s">
        <v>1304</v>
      </c>
      <c r="F188" s="9" t="s">
        <v>1305</v>
      </c>
      <c r="G188" s="9">
        <v>1</v>
      </c>
      <c r="H188" s="9"/>
      <c r="I188" s="9" t="s">
        <v>5</v>
      </c>
      <c r="J188" s="9"/>
      <c r="K188" s="9" t="b">
        <v>0</v>
      </c>
      <c r="L188" s="9" t="s">
        <v>7</v>
      </c>
      <c r="M188" s="9" t="b">
        <v>0</v>
      </c>
      <c r="N188" s="9" t="s">
        <v>1306</v>
      </c>
      <c r="O188" s="9" t="s">
        <v>3547</v>
      </c>
      <c r="P188" s="7">
        <v>1522</v>
      </c>
      <c r="Q188" s="7">
        <v>1456</v>
      </c>
      <c r="R188" s="7">
        <v>1347</v>
      </c>
      <c r="S188" s="7">
        <v>354</v>
      </c>
      <c r="T188" s="8">
        <v>2.5</v>
      </c>
      <c r="U188" s="8">
        <v>3.3</v>
      </c>
      <c r="V188" s="17">
        <v>3.3</v>
      </c>
      <c r="AD188" s="1"/>
      <c r="AE188" s="3"/>
      <c r="AF188" s="2"/>
      <c r="AG188" s="2"/>
      <c r="AH188" s="3"/>
      <c r="AI188" s="3"/>
      <c r="AJ188" s="1"/>
      <c r="AK188" s="1"/>
    </row>
    <row r="189" spans="1:37" x14ac:dyDescent="0.3">
      <c r="A189" s="14">
        <v>331</v>
      </c>
      <c r="B189" s="14">
        <v>1</v>
      </c>
      <c r="C189" s="9" t="s">
        <v>0</v>
      </c>
      <c r="D189" s="9" t="s">
        <v>1077</v>
      </c>
      <c r="E189" s="9" t="s">
        <v>1173</v>
      </c>
      <c r="F189" s="9" t="s">
        <v>1174</v>
      </c>
      <c r="G189" s="9">
        <v>1</v>
      </c>
      <c r="H189" s="9" t="s">
        <v>1175</v>
      </c>
      <c r="I189" s="9"/>
      <c r="J189" s="9">
        <v>2</v>
      </c>
      <c r="K189" s="9" t="b">
        <v>0</v>
      </c>
      <c r="L189" s="9" t="s">
        <v>7</v>
      </c>
      <c r="M189" s="9" t="b">
        <v>0</v>
      </c>
      <c r="N189" s="9" t="s">
        <v>1176</v>
      </c>
      <c r="O189" s="9" t="s">
        <v>3507</v>
      </c>
      <c r="P189" s="7">
        <v>1344</v>
      </c>
      <c r="Q189" s="7">
        <v>1309</v>
      </c>
      <c r="R189" s="7">
        <v>859</v>
      </c>
      <c r="S189" s="7">
        <v>314</v>
      </c>
      <c r="T189" s="8">
        <v>3.3</v>
      </c>
      <c r="U189" s="8">
        <v>3.3</v>
      </c>
      <c r="V189" s="17">
        <v>3.3</v>
      </c>
      <c r="AD189" s="1"/>
      <c r="AE189" s="3"/>
      <c r="AF189" s="2"/>
      <c r="AG189" s="2"/>
      <c r="AH189" s="2"/>
      <c r="AI189" s="3"/>
      <c r="AJ189" s="1"/>
      <c r="AK189" s="1"/>
    </row>
    <row r="190" spans="1:37" x14ac:dyDescent="0.3">
      <c r="A190" s="14">
        <v>476</v>
      </c>
      <c r="B190" s="14">
        <v>2</v>
      </c>
      <c r="C190" s="9" t="s">
        <v>0</v>
      </c>
      <c r="D190" s="9" t="s">
        <v>1457</v>
      </c>
      <c r="E190" s="9" t="s">
        <v>1645</v>
      </c>
      <c r="F190" s="9" t="s">
        <v>1646</v>
      </c>
      <c r="G190" s="9">
        <v>1</v>
      </c>
      <c r="H190" s="9" t="s">
        <v>10</v>
      </c>
      <c r="I190" s="9" t="s">
        <v>1647</v>
      </c>
      <c r="J190" s="9">
        <v>1</v>
      </c>
      <c r="K190" s="9" t="b">
        <v>0</v>
      </c>
      <c r="L190" s="9" t="s">
        <v>1461</v>
      </c>
      <c r="M190" s="9" t="b">
        <v>0</v>
      </c>
      <c r="N190" s="9" t="s">
        <v>1648</v>
      </c>
      <c r="O190" s="9" t="s">
        <v>3651</v>
      </c>
      <c r="P190" s="7">
        <v>1465</v>
      </c>
      <c r="Q190" s="7">
        <v>1233</v>
      </c>
      <c r="R190" s="7">
        <v>948</v>
      </c>
      <c r="S190" s="7">
        <v>334</v>
      </c>
      <c r="T190" s="8">
        <v>3.9</v>
      </c>
      <c r="U190" s="8">
        <v>3.3</v>
      </c>
      <c r="V190" s="17">
        <v>3.3</v>
      </c>
      <c r="AD190" s="1"/>
      <c r="AE190" s="3"/>
      <c r="AF190" s="2"/>
      <c r="AG190" s="2"/>
      <c r="AH190" s="3"/>
      <c r="AI190" s="3"/>
      <c r="AJ190" s="1"/>
      <c r="AK190" s="1"/>
    </row>
    <row r="191" spans="1:37" x14ac:dyDescent="0.3">
      <c r="A191" s="14">
        <v>726</v>
      </c>
      <c r="B191" s="14">
        <v>3</v>
      </c>
      <c r="C191" s="9" t="s">
        <v>1659</v>
      </c>
      <c r="D191" s="9" t="s">
        <v>411</v>
      </c>
      <c r="E191" s="9" t="s">
        <v>2418</v>
      </c>
      <c r="F191" s="9" t="s">
        <v>2419</v>
      </c>
      <c r="G191" s="9">
        <v>1</v>
      </c>
      <c r="H191" s="9"/>
      <c r="I191" s="9"/>
      <c r="J191" s="9"/>
      <c r="K191" s="9" t="b">
        <v>0</v>
      </c>
      <c r="L191" s="9" t="s">
        <v>194</v>
      </c>
      <c r="M191" s="9" t="b">
        <v>0</v>
      </c>
      <c r="N191" s="9" t="s">
        <v>2420</v>
      </c>
      <c r="O191" s="9" t="s">
        <v>3901</v>
      </c>
      <c r="P191" s="7">
        <v>1390</v>
      </c>
      <c r="Q191" s="7">
        <v>1377</v>
      </c>
      <c r="R191" s="7">
        <v>1354</v>
      </c>
      <c r="S191" s="7">
        <v>438</v>
      </c>
      <c r="T191" s="8">
        <v>1.6</v>
      </c>
      <c r="U191" s="18">
        <v>4.5</v>
      </c>
      <c r="V191" s="26">
        <v>3.25</v>
      </c>
      <c r="W191" s="23" t="s">
        <v>4154</v>
      </c>
      <c r="AD191" s="1"/>
      <c r="AE191" s="3"/>
      <c r="AF191" s="2"/>
      <c r="AG191" s="2"/>
      <c r="AH191" s="2"/>
      <c r="AI191" s="3"/>
      <c r="AJ191" s="1"/>
      <c r="AK191" s="1"/>
    </row>
    <row r="192" spans="1:37" x14ac:dyDescent="0.3">
      <c r="A192" s="14">
        <v>888</v>
      </c>
      <c r="B192" s="14">
        <v>4</v>
      </c>
      <c r="C192" s="9" t="s">
        <v>1659</v>
      </c>
      <c r="D192" s="9" t="s">
        <v>1338</v>
      </c>
      <c r="E192" s="9" t="s">
        <v>2910</v>
      </c>
      <c r="F192" s="9" t="s">
        <v>2911</v>
      </c>
      <c r="G192" s="9">
        <v>4</v>
      </c>
      <c r="H192" s="9"/>
      <c r="I192" s="9"/>
      <c r="J192" s="9"/>
      <c r="K192" s="9" t="b">
        <v>0</v>
      </c>
      <c r="L192" s="9" t="s">
        <v>437</v>
      </c>
      <c r="M192" s="9" t="b">
        <v>0</v>
      </c>
      <c r="N192" s="9" t="s">
        <v>2912</v>
      </c>
      <c r="O192" s="9"/>
      <c r="P192" s="7">
        <v>244</v>
      </c>
      <c r="Q192" s="7">
        <v>234</v>
      </c>
      <c r="R192" s="7">
        <v>203</v>
      </c>
      <c r="S192" s="7">
        <v>74</v>
      </c>
      <c r="T192" s="8">
        <v>2.8</v>
      </c>
      <c r="U192" s="8">
        <v>4.3</v>
      </c>
      <c r="V192" s="26">
        <v>3.25</v>
      </c>
      <c r="W192" s="23" t="s">
        <v>4155</v>
      </c>
      <c r="AD192" s="1"/>
      <c r="AE192" s="3"/>
      <c r="AF192" s="2"/>
      <c r="AG192" s="2"/>
      <c r="AH192" s="3"/>
      <c r="AI192" s="3"/>
      <c r="AJ192" s="1"/>
      <c r="AK192" s="1"/>
    </row>
    <row r="193" spans="1:37" x14ac:dyDescent="0.3">
      <c r="A193" s="14">
        <v>227</v>
      </c>
      <c r="B193" s="14">
        <v>3</v>
      </c>
      <c r="C193" s="9" t="s">
        <v>0</v>
      </c>
      <c r="D193" s="9" t="s">
        <v>411</v>
      </c>
      <c r="E193" s="9" t="s">
        <v>833</v>
      </c>
      <c r="F193" s="9" t="s">
        <v>834</v>
      </c>
      <c r="G193" s="9">
        <v>1</v>
      </c>
      <c r="H193" s="9" t="s">
        <v>26</v>
      </c>
      <c r="I193" s="9"/>
      <c r="J193" s="9">
        <v>1</v>
      </c>
      <c r="K193" s="9" t="b">
        <v>0</v>
      </c>
      <c r="L193" s="9" t="s">
        <v>332</v>
      </c>
      <c r="M193" s="9" t="b">
        <v>0</v>
      </c>
      <c r="N193" s="9" t="s">
        <v>835</v>
      </c>
      <c r="O193" s="9" t="s">
        <v>3403</v>
      </c>
      <c r="P193" s="7">
        <v>52</v>
      </c>
      <c r="Q193" s="7">
        <v>49</v>
      </c>
      <c r="R193" s="7">
        <v>43</v>
      </c>
      <c r="S193" s="7">
        <v>22</v>
      </c>
      <c r="T193" s="8">
        <v>3.4</v>
      </c>
      <c r="U193" s="18">
        <v>6</v>
      </c>
      <c r="V193" s="26">
        <v>3.25</v>
      </c>
      <c r="W193" s="23" t="s">
        <v>4184</v>
      </c>
      <c r="AD193" s="1"/>
      <c r="AE193" s="3"/>
      <c r="AF193" s="2"/>
      <c r="AG193" s="2"/>
      <c r="AH193" s="3"/>
      <c r="AI193" s="3"/>
      <c r="AJ193" s="1"/>
      <c r="AK193" s="1"/>
    </row>
    <row r="194" spans="1:37" x14ac:dyDescent="0.3">
      <c r="A194" s="14">
        <v>651</v>
      </c>
      <c r="B194" s="14">
        <v>3</v>
      </c>
      <c r="C194" s="9" t="s">
        <v>1659</v>
      </c>
      <c r="D194" s="9" t="s">
        <v>411</v>
      </c>
      <c r="E194" s="9" t="s">
        <v>2187</v>
      </c>
      <c r="F194" s="9" t="s">
        <v>2188</v>
      </c>
      <c r="G194" s="9">
        <v>3</v>
      </c>
      <c r="H194" s="9"/>
      <c r="I194" s="9"/>
      <c r="J194" s="9"/>
      <c r="K194" s="9" t="b">
        <v>0</v>
      </c>
      <c r="L194" s="9" t="s">
        <v>497</v>
      </c>
      <c r="M194" s="9" t="b">
        <v>0</v>
      </c>
      <c r="N194" s="9" t="s">
        <v>2189</v>
      </c>
      <c r="O194" s="9" t="s">
        <v>3826</v>
      </c>
      <c r="P194" s="7">
        <v>879</v>
      </c>
      <c r="Q194" s="7">
        <v>818</v>
      </c>
      <c r="R194" s="7">
        <v>681</v>
      </c>
      <c r="S194" s="7">
        <v>195</v>
      </c>
      <c r="T194" s="8">
        <v>2.9</v>
      </c>
      <c r="U194" s="8">
        <v>3.2</v>
      </c>
      <c r="V194" s="17">
        <v>3.2</v>
      </c>
      <c r="AD194" s="1"/>
      <c r="AE194" s="3"/>
      <c r="AF194" s="2"/>
      <c r="AG194" s="2"/>
      <c r="AH194" s="2"/>
      <c r="AI194" s="3"/>
      <c r="AJ194" s="1"/>
      <c r="AK194" s="1"/>
    </row>
    <row r="195" spans="1:37" x14ac:dyDescent="0.3">
      <c r="A195" s="14">
        <v>658</v>
      </c>
      <c r="B195" s="14">
        <v>3</v>
      </c>
      <c r="C195" s="9" t="s">
        <v>1659</v>
      </c>
      <c r="D195" s="9" t="s">
        <v>411</v>
      </c>
      <c r="E195" s="9" t="s">
        <v>2209</v>
      </c>
      <c r="F195" s="9" t="s">
        <v>2210</v>
      </c>
      <c r="G195" s="9">
        <v>1</v>
      </c>
      <c r="H195" s="9"/>
      <c r="I195" s="9"/>
      <c r="J195" s="9"/>
      <c r="K195" s="9" t="b">
        <v>0</v>
      </c>
      <c r="L195" s="9" t="s">
        <v>531</v>
      </c>
      <c r="M195" s="9" t="b">
        <v>0</v>
      </c>
      <c r="N195" s="9" t="s">
        <v>2211</v>
      </c>
      <c r="O195" s="9" t="s">
        <v>3833</v>
      </c>
      <c r="P195" s="7">
        <v>1201</v>
      </c>
      <c r="Q195" s="7">
        <v>1047</v>
      </c>
      <c r="R195" s="7">
        <v>813</v>
      </c>
      <c r="S195" s="7">
        <v>270</v>
      </c>
      <c r="T195" s="8">
        <v>3.5</v>
      </c>
      <c r="U195" s="8">
        <v>3.2</v>
      </c>
      <c r="V195" s="17">
        <v>3.2</v>
      </c>
      <c r="AD195" s="1"/>
      <c r="AE195" s="3"/>
      <c r="AF195" s="2"/>
      <c r="AG195" s="2"/>
      <c r="AH195" s="2"/>
      <c r="AI195" s="3"/>
      <c r="AJ195" s="1"/>
      <c r="AK195" s="1"/>
    </row>
    <row r="196" spans="1:37" x14ac:dyDescent="0.3">
      <c r="A196" s="14">
        <v>661</v>
      </c>
      <c r="B196" s="14">
        <v>3</v>
      </c>
      <c r="C196" s="9" t="s">
        <v>1659</v>
      </c>
      <c r="D196" s="9" t="s">
        <v>411</v>
      </c>
      <c r="E196" s="9" t="s">
        <v>2218</v>
      </c>
      <c r="F196" s="9" t="s">
        <v>2219</v>
      </c>
      <c r="G196" s="9">
        <v>1</v>
      </c>
      <c r="H196" s="9"/>
      <c r="I196" s="9"/>
      <c r="J196" s="9"/>
      <c r="K196" s="9" t="b">
        <v>0</v>
      </c>
      <c r="L196" s="9" t="s">
        <v>416</v>
      </c>
      <c r="M196" s="9" t="b">
        <v>0</v>
      </c>
      <c r="N196" s="9" t="s">
        <v>2220</v>
      </c>
      <c r="O196" s="9" t="s">
        <v>3836</v>
      </c>
      <c r="P196" s="7">
        <v>918</v>
      </c>
      <c r="Q196" s="7">
        <v>865</v>
      </c>
      <c r="R196" s="7">
        <v>587</v>
      </c>
      <c r="S196" s="7">
        <v>206</v>
      </c>
      <c r="T196" s="8">
        <v>3.6</v>
      </c>
      <c r="U196" s="8">
        <v>3.2</v>
      </c>
      <c r="V196" s="17">
        <v>3.2</v>
      </c>
      <c r="AD196" s="1"/>
      <c r="AE196" s="3"/>
      <c r="AF196" s="2"/>
      <c r="AG196" s="2"/>
      <c r="AH196" s="3"/>
      <c r="AI196" s="3"/>
      <c r="AJ196" s="1"/>
      <c r="AK196" s="1"/>
    </row>
    <row r="197" spans="1:37" x14ac:dyDescent="0.3">
      <c r="A197" s="14">
        <v>568</v>
      </c>
      <c r="B197" s="14">
        <v>2</v>
      </c>
      <c r="C197" s="9" t="s">
        <v>1659</v>
      </c>
      <c r="D197" s="9" t="s">
        <v>180</v>
      </c>
      <c r="E197" s="9" t="s">
        <v>1926</v>
      </c>
      <c r="F197" s="9" t="s">
        <v>1927</v>
      </c>
      <c r="G197" s="9">
        <v>3</v>
      </c>
      <c r="H197" s="9"/>
      <c r="I197" s="9"/>
      <c r="J197" s="9"/>
      <c r="K197" s="9" t="b">
        <v>0</v>
      </c>
      <c r="L197" s="9" t="s">
        <v>238</v>
      </c>
      <c r="M197" s="9" t="b">
        <v>0</v>
      </c>
      <c r="N197" s="9" t="s">
        <v>1928</v>
      </c>
      <c r="O197" s="9" t="s">
        <v>3743</v>
      </c>
      <c r="P197" s="7">
        <v>1514</v>
      </c>
      <c r="Q197" s="7">
        <v>1458</v>
      </c>
      <c r="R197" s="7">
        <v>1412</v>
      </c>
      <c r="S197" s="7">
        <v>334</v>
      </c>
      <c r="T197" s="8">
        <v>2.2999999999999998</v>
      </c>
      <c r="U197" s="8">
        <v>3.2</v>
      </c>
      <c r="V197" s="17">
        <v>3.2</v>
      </c>
      <c r="AD197" s="1"/>
      <c r="AE197" s="3"/>
      <c r="AF197" s="2"/>
      <c r="AG197" s="3"/>
      <c r="AH197" s="3"/>
      <c r="AI197" s="3"/>
      <c r="AJ197" s="1"/>
      <c r="AK197" s="1"/>
    </row>
    <row r="198" spans="1:37" x14ac:dyDescent="0.3">
      <c r="A198" s="14">
        <v>573</v>
      </c>
      <c r="B198" s="14">
        <v>2</v>
      </c>
      <c r="C198" s="9" t="s">
        <v>1659</v>
      </c>
      <c r="D198" s="9" t="s">
        <v>180</v>
      </c>
      <c r="E198" s="9" t="s">
        <v>1941</v>
      </c>
      <c r="F198" s="9" t="s">
        <v>1942</v>
      </c>
      <c r="G198" s="9">
        <v>1</v>
      </c>
      <c r="H198" s="9"/>
      <c r="I198" s="9"/>
      <c r="J198" s="9"/>
      <c r="K198" s="9" t="b">
        <v>0</v>
      </c>
      <c r="L198" s="9" t="s">
        <v>238</v>
      </c>
      <c r="M198" s="9" t="b">
        <v>1</v>
      </c>
      <c r="N198" s="9" t="s">
        <v>1943</v>
      </c>
      <c r="O198" s="9" t="s">
        <v>3748</v>
      </c>
      <c r="P198" s="7">
        <v>1389</v>
      </c>
      <c r="Q198" s="7">
        <v>1336</v>
      </c>
      <c r="R198" s="7">
        <v>1045</v>
      </c>
      <c r="S198" s="7">
        <v>307</v>
      </c>
      <c r="T198" s="8">
        <v>3.2</v>
      </c>
      <c r="U198" s="8">
        <v>3.2</v>
      </c>
      <c r="V198" s="17">
        <v>3.2</v>
      </c>
      <c r="AD198" s="1"/>
      <c r="AE198" s="3"/>
      <c r="AF198" s="3"/>
      <c r="AG198" s="3"/>
      <c r="AH198" s="3"/>
      <c r="AI198" s="3"/>
      <c r="AJ198" s="1"/>
      <c r="AK198" s="1"/>
    </row>
    <row r="199" spans="1:37" x14ac:dyDescent="0.3">
      <c r="A199" s="14">
        <v>508</v>
      </c>
      <c r="B199" s="14">
        <v>1</v>
      </c>
      <c r="C199" s="9" t="s">
        <v>1659</v>
      </c>
      <c r="D199" s="9" t="s">
        <v>1</v>
      </c>
      <c r="E199" s="9" t="s">
        <v>1744</v>
      </c>
      <c r="F199" s="9" t="s">
        <v>1745</v>
      </c>
      <c r="G199" s="9">
        <v>4</v>
      </c>
      <c r="H199" s="9"/>
      <c r="I199" s="9"/>
      <c r="J199" s="9"/>
      <c r="K199" s="9" t="b">
        <v>0</v>
      </c>
      <c r="L199" s="9" t="s">
        <v>7</v>
      </c>
      <c r="M199" s="9" t="b">
        <v>0</v>
      </c>
      <c r="N199" s="9" t="s">
        <v>1746</v>
      </c>
      <c r="O199" s="9" t="s">
        <v>3683</v>
      </c>
      <c r="P199" s="7">
        <v>1560</v>
      </c>
      <c r="Q199" s="7">
        <v>1549</v>
      </c>
      <c r="R199" s="7">
        <v>1359</v>
      </c>
      <c r="S199" s="7">
        <v>353</v>
      </c>
      <c r="T199" s="8">
        <v>2</v>
      </c>
      <c r="U199" s="8">
        <v>3.2</v>
      </c>
      <c r="V199" s="17">
        <v>3.2</v>
      </c>
      <c r="AD199" s="1"/>
      <c r="AE199" s="3"/>
      <c r="AF199" s="2"/>
      <c r="AG199" s="2"/>
      <c r="AH199" s="3"/>
      <c r="AI199" s="3"/>
      <c r="AJ199" s="1"/>
      <c r="AK199" s="1"/>
    </row>
    <row r="200" spans="1:37" x14ac:dyDescent="0.3">
      <c r="A200" s="14">
        <v>846</v>
      </c>
      <c r="B200" s="14">
        <v>1</v>
      </c>
      <c r="C200" s="9" t="s">
        <v>1659</v>
      </c>
      <c r="D200" s="9" t="s">
        <v>1208</v>
      </c>
      <c r="E200" s="9" t="s">
        <v>2782</v>
      </c>
      <c r="F200" s="9" t="s">
        <v>2783</v>
      </c>
      <c r="G200" s="9">
        <v>3</v>
      </c>
      <c r="H200" s="9"/>
      <c r="I200" s="9"/>
      <c r="J200" s="9"/>
      <c r="K200" s="9" t="b">
        <v>0</v>
      </c>
      <c r="L200" s="9" t="s">
        <v>7</v>
      </c>
      <c r="M200" s="9" t="b">
        <v>1</v>
      </c>
      <c r="N200" s="9" t="s">
        <v>2784</v>
      </c>
      <c r="O200" s="9" t="s">
        <v>4021</v>
      </c>
      <c r="P200" s="7">
        <v>1514</v>
      </c>
      <c r="Q200" s="7">
        <v>1373</v>
      </c>
      <c r="R200" s="7">
        <v>1063</v>
      </c>
      <c r="S200" s="7">
        <v>337</v>
      </c>
      <c r="T200" s="8">
        <v>3.6</v>
      </c>
      <c r="U200" s="8">
        <v>3.2</v>
      </c>
      <c r="V200" s="17">
        <v>3.2</v>
      </c>
      <c r="AD200" s="1"/>
      <c r="AE200" s="3"/>
      <c r="AF200" s="2"/>
      <c r="AG200" s="2"/>
      <c r="AH200" s="3"/>
      <c r="AI200" s="3"/>
      <c r="AJ200" s="1"/>
      <c r="AK200" s="1"/>
    </row>
    <row r="201" spans="1:37" x14ac:dyDescent="0.3">
      <c r="A201" s="14">
        <v>692</v>
      </c>
      <c r="B201" s="14">
        <v>3</v>
      </c>
      <c r="C201" s="9" t="s">
        <v>1659</v>
      </c>
      <c r="D201" s="9" t="s">
        <v>411</v>
      </c>
      <c r="E201" s="9" t="s">
        <v>2315</v>
      </c>
      <c r="F201" s="9" t="s">
        <v>2316</v>
      </c>
      <c r="G201" s="9">
        <v>1</v>
      </c>
      <c r="H201" s="9"/>
      <c r="I201" s="9"/>
      <c r="J201" s="9"/>
      <c r="K201" s="9" t="b">
        <v>0</v>
      </c>
      <c r="L201" s="9" t="s">
        <v>777</v>
      </c>
      <c r="M201" s="9" t="b">
        <v>0</v>
      </c>
      <c r="N201" s="9" t="s">
        <v>2317</v>
      </c>
      <c r="O201" s="9" t="s">
        <v>3867</v>
      </c>
      <c r="P201" s="7">
        <v>1360</v>
      </c>
      <c r="Q201" s="7">
        <v>1272</v>
      </c>
      <c r="R201" s="7">
        <v>1147</v>
      </c>
      <c r="S201" s="7">
        <v>300</v>
      </c>
      <c r="T201" s="8">
        <v>2.5</v>
      </c>
      <c r="U201" s="8">
        <v>3.2</v>
      </c>
      <c r="V201" s="17">
        <v>3.2</v>
      </c>
      <c r="AD201" s="1"/>
      <c r="AE201" s="3"/>
      <c r="AF201" s="2"/>
      <c r="AG201" s="3"/>
      <c r="AH201" s="3"/>
      <c r="AI201" s="3"/>
      <c r="AJ201" s="1"/>
      <c r="AK201" s="1"/>
    </row>
    <row r="202" spans="1:37" x14ac:dyDescent="0.3">
      <c r="A202" s="14">
        <v>943</v>
      </c>
      <c r="B202" s="14">
        <v>2</v>
      </c>
      <c r="C202" s="9" t="s">
        <v>1659</v>
      </c>
      <c r="D202" s="9" t="s">
        <v>1457</v>
      </c>
      <c r="E202" s="9" t="s">
        <v>3076</v>
      </c>
      <c r="F202" s="9" t="s">
        <v>3077</v>
      </c>
      <c r="G202" s="9">
        <v>3</v>
      </c>
      <c r="H202" s="9"/>
      <c r="I202" s="9"/>
      <c r="J202" s="9"/>
      <c r="K202" s="9" t="b">
        <v>0</v>
      </c>
      <c r="L202" s="9" t="s">
        <v>309</v>
      </c>
      <c r="M202" s="9" t="b">
        <v>0</v>
      </c>
      <c r="N202" s="9" t="s">
        <v>3078</v>
      </c>
      <c r="O202" s="9" t="s">
        <v>4115</v>
      </c>
      <c r="P202" s="7">
        <v>1502</v>
      </c>
      <c r="Q202" s="7">
        <v>1456</v>
      </c>
      <c r="R202" s="7">
        <v>1376</v>
      </c>
      <c r="S202" s="7">
        <v>336</v>
      </c>
      <c r="T202" s="8">
        <v>2</v>
      </c>
      <c r="U202" s="8">
        <v>3.2</v>
      </c>
      <c r="V202" s="17">
        <v>3.2</v>
      </c>
      <c r="AD202" s="1"/>
      <c r="AE202" s="3"/>
      <c r="AF202" s="2"/>
      <c r="AG202" s="3"/>
      <c r="AH202" s="3"/>
      <c r="AI202" s="3"/>
      <c r="AJ202" s="1"/>
      <c r="AK202" s="1"/>
    </row>
    <row r="203" spans="1:37" x14ac:dyDescent="0.3">
      <c r="A203" s="14">
        <v>527</v>
      </c>
      <c r="B203" s="14">
        <v>1</v>
      </c>
      <c r="C203" s="9" t="s">
        <v>1659</v>
      </c>
      <c r="D203" s="9" t="s">
        <v>1</v>
      </c>
      <c r="E203" s="9" t="s">
        <v>1801</v>
      </c>
      <c r="F203" s="9" t="s">
        <v>1802</v>
      </c>
      <c r="G203" s="9">
        <v>1</v>
      </c>
      <c r="H203" s="9"/>
      <c r="I203" s="9"/>
      <c r="J203" s="9"/>
      <c r="K203" s="9" t="b">
        <v>0</v>
      </c>
      <c r="L203" s="9" t="s">
        <v>7</v>
      </c>
      <c r="M203" s="9" t="b">
        <v>0</v>
      </c>
      <c r="N203" s="9" t="s">
        <v>1803</v>
      </c>
      <c r="O203" s="9" t="s">
        <v>3702</v>
      </c>
      <c r="P203" s="7">
        <v>1505</v>
      </c>
      <c r="Q203" s="7">
        <v>1389</v>
      </c>
      <c r="R203" s="7">
        <v>1157</v>
      </c>
      <c r="S203" s="7">
        <v>338</v>
      </c>
      <c r="T203" s="8">
        <v>2.4</v>
      </c>
      <c r="U203" s="8">
        <v>3.2</v>
      </c>
      <c r="V203" s="17">
        <v>3.2</v>
      </c>
      <c r="AD203" s="1"/>
      <c r="AE203" s="3"/>
      <c r="AF203" s="2"/>
      <c r="AG203" s="3"/>
      <c r="AH203" s="3"/>
      <c r="AI203" s="3"/>
      <c r="AJ203" s="1"/>
      <c r="AK203" s="1"/>
    </row>
    <row r="204" spans="1:37" x14ac:dyDescent="0.3">
      <c r="A204" s="14">
        <v>952</v>
      </c>
      <c r="B204" s="14">
        <v>2</v>
      </c>
      <c r="C204" s="9" t="s">
        <v>1659</v>
      </c>
      <c r="D204" s="9" t="s">
        <v>1457</v>
      </c>
      <c r="E204" s="9" t="s">
        <v>3105</v>
      </c>
      <c r="F204" s="9" t="s">
        <v>3106</v>
      </c>
      <c r="G204" s="9">
        <v>1</v>
      </c>
      <c r="H204" s="9"/>
      <c r="I204" s="9"/>
      <c r="J204" s="9"/>
      <c r="K204" s="9" t="b">
        <v>0</v>
      </c>
      <c r="L204" s="9"/>
      <c r="M204" s="9" t="b">
        <v>0</v>
      </c>
      <c r="N204" s="9" t="s">
        <v>3107</v>
      </c>
      <c r="O204" s="9" t="s">
        <v>4124</v>
      </c>
      <c r="P204" s="7">
        <v>1321</v>
      </c>
      <c r="Q204" s="7">
        <v>1286</v>
      </c>
      <c r="R204" s="7">
        <v>1067</v>
      </c>
      <c r="S204" s="7">
        <v>293</v>
      </c>
      <c r="T204" s="8">
        <v>2.8</v>
      </c>
      <c r="U204" s="8">
        <v>3.2</v>
      </c>
      <c r="V204" s="17">
        <v>3.2</v>
      </c>
      <c r="AD204" s="1"/>
      <c r="AE204" s="3"/>
      <c r="AF204" s="2"/>
      <c r="AG204" s="2"/>
      <c r="AH204" s="3"/>
      <c r="AI204" s="3"/>
      <c r="AJ204" s="1"/>
      <c r="AK204" s="1"/>
    </row>
    <row r="205" spans="1:37" x14ac:dyDescent="0.3">
      <c r="A205" s="14">
        <v>906</v>
      </c>
      <c r="B205" s="14">
        <v>4</v>
      </c>
      <c r="C205" s="9" t="s">
        <v>1659</v>
      </c>
      <c r="D205" s="9" t="s">
        <v>1394</v>
      </c>
      <c r="E205" s="9" t="s">
        <v>2958</v>
      </c>
      <c r="F205" s="9" t="s">
        <v>2959</v>
      </c>
      <c r="G205" s="9">
        <v>1</v>
      </c>
      <c r="H205" s="9"/>
      <c r="I205" s="9"/>
      <c r="J205" s="9"/>
      <c r="K205" s="9" t="b">
        <v>0</v>
      </c>
      <c r="L205" s="9" t="s">
        <v>238</v>
      </c>
      <c r="M205" s="9" t="b">
        <v>0</v>
      </c>
      <c r="N205" s="9" t="s">
        <v>2960</v>
      </c>
      <c r="O205" s="9" t="s">
        <v>4078</v>
      </c>
      <c r="P205" s="7">
        <v>1182</v>
      </c>
      <c r="Q205" s="7">
        <v>1144</v>
      </c>
      <c r="R205" s="7">
        <v>917</v>
      </c>
      <c r="S205" s="7">
        <v>265</v>
      </c>
      <c r="T205" s="8">
        <v>3.5</v>
      </c>
      <c r="U205" s="8">
        <v>3.2</v>
      </c>
      <c r="V205" s="17">
        <v>3.2</v>
      </c>
      <c r="AD205" s="1"/>
      <c r="AE205" s="3"/>
      <c r="AF205" s="2"/>
      <c r="AG205" s="2"/>
      <c r="AH205" s="3"/>
      <c r="AI205" s="3"/>
      <c r="AJ205" s="1"/>
      <c r="AK205" s="1"/>
    </row>
    <row r="206" spans="1:37" x14ac:dyDescent="0.3">
      <c r="A206" s="14">
        <v>764</v>
      </c>
      <c r="B206" s="14">
        <v>3</v>
      </c>
      <c r="C206" s="9" t="s">
        <v>1659</v>
      </c>
      <c r="D206" s="9" t="s">
        <v>411</v>
      </c>
      <c r="E206" s="9" t="s">
        <v>2535</v>
      </c>
      <c r="F206" s="9" t="s">
        <v>2536</v>
      </c>
      <c r="G206" s="9">
        <v>4</v>
      </c>
      <c r="H206" s="9"/>
      <c r="I206" s="9"/>
      <c r="J206" s="9"/>
      <c r="K206" s="9" t="b">
        <v>0</v>
      </c>
      <c r="L206" s="9" t="s">
        <v>598</v>
      </c>
      <c r="M206" s="9" t="b">
        <v>1</v>
      </c>
      <c r="N206" s="9" t="s">
        <v>2537</v>
      </c>
      <c r="O206" s="9" t="s">
        <v>3939</v>
      </c>
      <c r="P206" s="7">
        <v>1216</v>
      </c>
      <c r="Q206" s="7">
        <v>1151</v>
      </c>
      <c r="R206" s="7">
        <v>919</v>
      </c>
      <c r="S206" s="7">
        <v>271</v>
      </c>
      <c r="T206" s="8">
        <v>3.6</v>
      </c>
      <c r="U206" s="8">
        <v>3.2</v>
      </c>
      <c r="V206" s="17">
        <v>3.2</v>
      </c>
      <c r="AD206" s="1"/>
      <c r="AE206" s="3"/>
      <c r="AF206" s="2"/>
      <c r="AG206" s="3"/>
      <c r="AH206" s="3"/>
      <c r="AI206" s="3"/>
      <c r="AJ206" s="1"/>
      <c r="AK206" s="1"/>
    </row>
    <row r="207" spans="1:37" x14ac:dyDescent="0.3">
      <c r="A207" s="14">
        <v>772</v>
      </c>
      <c r="B207" s="14">
        <v>3</v>
      </c>
      <c r="C207" s="9" t="s">
        <v>1659</v>
      </c>
      <c r="D207" s="9" t="s">
        <v>411</v>
      </c>
      <c r="E207" s="9" t="s">
        <v>2559</v>
      </c>
      <c r="F207" s="9" t="s">
        <v>2560</v>
      </c>
      <c r="G207" s="9">
        <v>1</v>
      </c>
      <c r="H207" s="9"/>
      <c r="I207" s="9"/>
      <c r="J207" s="9"/>
      <c r="K207" s="9" t="b">
        <v>0</v>
      </c>
      <c r="L207" s="9" t="s">
        <v>497</v>
      </c>
      <c r="M207" s="9" t="b">
        <v>0</v>
      </c>
      <c r="N207" s="9" t="s">
        <v>2561</v>
      </c>
      <c r="O207" s="9" t="s">
        <v>3947</v>
      </c>
      <c r="P207" s="7">
        <v>1383</v>
      </c>
      <c r="Q207" s="7">
        <v>1243</v>
      </c>
      <c r="R207" s="7">
        <v>1042</v>
      </c>
      <c r="S207" s="7">
        <v>305</v>
      </c>
      <c r="T207" s="8">
        <v>3.6</v>
      </c>
      <c r="U207" s="8">
        <v>3.2</v>
      </c>
      <c r="V207" s="17">
        <v>3.2</v>
      </c>
      <c r="AD207" s="1"/>
      <c r="AE207" s="3"/>
      <c r="AF207" s="2"/>
      <c r="AG207" s="3"/>
      <c r="AH207" s="3"/>
      <c r="AI207" s="3"/>
      <c r="AJ207" s="1"/>
      <c r="AK207" s="1"/>
    </row>
    <row r="208" spans="1:37" x14ac:dyDescent="0.3">
      <c r="A208" s="14">
        <v>544</v>
      </c>
      <c r="B208" s="14">
        <v>1</v>
      </c>
      <c r="C208" s="9" t="s">
        <v>1659</v>
      </c>
      <c r="D208" s="9" t="s">
        <v>1</v>
      </c>
      <c r="E208" s="9" t="s">
        <v>1851</v>
      </c>
      <c r="F208" s="9" t="s">
        <v>1852</v>
      </c>
      <c r="G208" s="9">
        <v>1</v>
      </c>
      <c r="H208" s="9"/>
      <c r="I208" s="9"/>
      <c r="J208" s="9"/>
      <c r="K208" s="9" t="b">
        <v>0</v>
      </c>
      <c r="L208" s="9" t="s">
        <v>7</v>
      </c>
      <c r="M208" s="9" t="b">
        <v>1</v>
      </c>
      <c r="N208" s="9" t="s">
        <v>1853</v>
      </c>
      <c r="O208" s="9" t="s">
        <v>3719</v>
      </c>
      <c r="P208" s="7">
        <v>1495</v>
      </c>
      <c r="Q208" s="7">
        <v>1462</v>
      </c>
      <c r="R208" s="7">
        <v>1330</v>
      </c>
      <c r="S208" s="7">
        <v>330</v>
      </c>
      <c r="T208" s="8">
        <v>2.8</v>
      </c>
      <c r="U208" s="8">
        <v>3.2</v>
      </c>
      <c r="V208" s="17">
        <v>3.2</v>
      </c>
      <c r="AD208" s="1"/>
      <c r="AE208" s="3"/>
      <c r="AF208" s="2"/>
      <c r="AG208" s="3"/>
      <c r="AH208" s="3"/>
      <c r="AI208" s="3"/>
      <c r="AJ208" s="1"/>
      <c r="AK208" s="1"/>
    </row>
    <row r="209" spans="1:37" x14ac:dyDescent="0.3">
      <c r="A209" s="14">
        <v>777</v>
      </c>
      <c r="B209" s="14">
        <v>3</v>
      </c>
      <c r="C209" s="9" t="s">
        <v>1659</v>
      </c>
      <c r="D209" s="9" t="s">
        <v>411</v>
      </c>
      <c r="E209" s="9" t="s">
        <v>2575</v>
      </c>
      <c r="F209" s="9" t="s">
        <v>2576</v>
      </c>
      <c r="G209" s="9">
        <v>1</v>
      </c>
      <c r="H209" s="9"/>
      <c r="I209" s="9"/>
      <c r="J209" s="9"/>
      <c r="K209" s="9" t="b">
        <v>0</v>
      </c>
      <c r="L209" s="9" t="s">
        <v>416</v>
      </c>
      <c r="M209" s="9" t="b">
        <v>0</v>
      </c>
      <c r="N209" s="9" t="s">
        <v>2577</v>
      </c>
      <c r="O209" s="9" t="s">
        <v>3952</v>
      </c>
      <c r="P209" s="7">
        <v>864</v>
      </c>
      <c r="Q209" s="7">
        <v>825</v>
      </c>
      <c r="R209" s="7">
        <v>622</v>
      </c>
      <c r="S209" s="7">
        <v>191</v>
      </c>
      <c r="T209" s="8">
        <v>3.2</v>
      </c>
      <c r="U209" s="8">
        <v>3.2</v>
      </c>
      <c r="V209" s="17">
        <v>3.2</v>
      </c>
      <c r="AD209" s="1"/>
      <c r="AE209" s="3"/>
      <c r="AF209" s="2"/>
      <c r="AG209" s="3"/>
      <c r="AH209" s="3"/>
      <c r="AI209" s="3"/>
      <c r="AJ209" s="1"/>
      <c r="AK209" s="1"/>
    </row>
    <row r="210" spans="1:37" x14ac:dyDescent="0.3">
      <c r="A210" s="14">
        <v>134</v>
      </c>
      <c r="B210" s="14">
        <v>3</v>
      </c>
      <c r="C210" s="9" t="s">
        <v>0</v>
      </c>
      <c r="D210" s="9" t="s">
        <v>411</v>
      </c>
      <c r="E210" s="9" t="s">
        <v>508</v>
      </c>
      <c r="F210" s="9" t="s">
        <v>509</v>
      </c>
      <c r="G210" s="9">
        <v>1</v>
      </c>
      <c r="H210" s="9" t="s">
        <v>423</v>
      </c>
      <c r="I210" s="9" t="s">
        <v>51</v>
      </c>
      <c r="J210" s="9">
        <v>1</v>
      </c>
      <c r="K210" s="9" t="b">
        <v>0</v>
      </c>
      <c r="L210" s="9" t="s">
        <v>416</v>
      </c>
      <c r="M210" s="9" t="b">
        <v>0</v>
      </c>
      <c r="N210" s="9" t="s">
        <v>510</v>
      </c>
      <c r="O210" s="9" t="s">
        <v>3310</v>
      </c>
      <c r="P210" s="7">
        <v>1066</v>
      </c>
      <c r="Q210" s="7">
        <v>966</v>
      </c>
      <c r="R210" s="7">
        <v>666</v>
      </c>
      <c r="S210" s="7">
        <v>236</v>
      </c>
      <c r="T210" s="8">
        <v>3.5</v>
      </c>
      <c r="U210" s="8">
        <v>3.2</v>
      </c>
      <c r="V210" s="17">
        <v>3.2</v>
      </c>
      <c r="AD210" s="1"/>
      <c r="AE210" s="3"/>
      <c r="AF210" s="2"/>
      <c r="AG210" s="3"/>
      <c r="AH210" s="3"/>
      <c r="AI210" s="3"/>
      <c r="AJ210" s="1"/>
      <c r="AK210" s="1"/>
    </row>
    <row r="211" spans="1:37" x14ac:dyDescent="0.3">
      <c r="A211" s="14">
        <v>152</v>
      </c>
      <c r="B211" s="14">
        <v>3</v>
      </c>
      <c r="C211" s="9" t="s">
        <v>0</v>
      </c>
      <c r="D211" s="9" t="s">
        <v>411</v>
      </c>
      <c r="E211" s="9" t="s">
        <v>578</v>
      </c>
      <c r="F211" s="9" t="s">
        <v>579</v>
      </c>
      <c r="G211" s="9">
        <v>1</v>
      </c>
      <c r="H211" s="9"/>
      <c r="I211" s="9" t="s">
        <v>114</v>
      </c>
      <c r="J211" s="9">
        <v>1</v>
      </c>
      <c r="K211" s="9" t="b">
        <v>0</v>
      </c>
      <c r="L211" s="9" t="s">
        <v>453</v>
      </c>
      <c r="M211" s="9" t="b">
        <v>0</v>
      </c>
      <c r="N211" s="9" t="s">
        <v>580</v>
      </c>
      <c r="O211" s="9" t="s">
        <v>3328</v>
      </c>
      <c r="P211" s="7">
        <v>1336</v>
      </c>
      <c r="Q211" s="7">
        <v>1304</v>
      </c>
      <c r="R211" s="7">
        <v>1117</v>
      </c>
      <c r="S211" s="7">
        <v>298</v>
      </c>
      <c r="T211" s="8">
        <v>2.9</v>
      </c>
      <c r="U211" s="8">
        <v>3.2</v>
      </c>
      <c r="V211" s="17">
        <v>3.2</v>
      </c>
      <c r="AD211" s="1"/>
      <c r="AE211" s="3"/>
      <c r="AF211" s="2"/>
      <c r="AG211" s="3"/>
      <c r="AH211" s="3"/>
      <c r="AI211" s="3"/>
      <c r="AJ211" s="1"/>
      <c r="AK211" s="1"/>
    </row>
    <row r="212" spans="1:37" x14ac:dyDescent="0.3">
      <c r="A212" s="14">
        <v>66</v>
      </c>
      <c r="B212" s="14">
        <v>2</v>
      </c>
      <c r="C212" s="9" t="s">
        <v>0</v>
      </c>
      <c r="D212" s="9" t="s">
        <v>180</v>
      </c>
      <c r="E212" s="9" t="s">
        <v>243</v>
      </c>
      <c r="F212" s="9" t="s">
        <v>244</v>
      </c>
      <c r="G212" s="9">
        <v>1</v>
      </c>
      <c r="H212" s="9" t="s">
        <v>26</v>
      </c>
      <c r="I212" s="9"/>
      <c r="J212" s="9"/>
      <c r="K212" s="9" t="b">
        <v>0</v>
      </c>
      <c r="L212" s="9"/>
      <c r="M212" s="9" t="b">
        <v>0</v>
      </c>
      <c r="N212" s="9" t="s">
        <v>245</v>
      </c>
      <c r="O212" s="9" t="s">
        <v>3242</v>
      </c>
      <c r="P212" s="7">
        <v>1589</v>
      </c>
      <c r="Q212" s="7">
        <v>1515</v>
      </c>
      <c r="R212" s="7">
        <v>1328</v>
      </c>
      <c r="S212" s="7">
        <v>356</v>
      </c>
      <c r="T212" s="8">
        <v>3.2</v>
      </c>
      <c r="U212" s="8">
        <v>3.2</v>
      </c>
      <c r="V212" s="17">
        <v>3.2</v>
      </c>
      <c r="AD212" s="1"/>
      <c r="AE212" s="3"/>
      <c r="AF212" s="3"/>
      <c r="AG212" s="3"/>
      <c r="AH212" s="3"/>
      <c r="AI212" s="3"/>
      <c r="AJ212" s="1"/>
      <c r="AK212" s="1"/>
    </row>
    <row r="213" spans="1:37" x14ac:dyDescent="0.3">
      <c r="A213" s="14">
        <v>18</v>
      </c>
      <c r="B213" s="14">
        <v>1</v>
      </c>
      <c r="C213" s="9" t="s">
        <v>0</v>
      </c>
      <c r="D213" s="9" t="s">
        <v>1</v>
      </c>
      <c r="E213" s="9" t="s">
        <v>65</v>
      </c>
      <c r="F213" s="9" t="s">
        <v>66</v>
      </c>
      <c r="G213" s="9">
        <v>1</v>
      </c>
      <c r="H213" s="9"/>
      <c r="I213" s="9" t="s">
        <v>67</v>
      </c>
      <c r="J213" s="9">
        <v>2</v>
      </c>
      <c r="K213" s="9" t="b">
        <v>0</v>
      </c>
      <c r="L213" s="9" t="s">
        <v>7</v>
      </c>
      <c r="M213" s="9" t="b">
        <v>0</v>
      </c>
      <c r="N213" s="9" t="s">
        <v>68</v>
      </c>
      <c r="O213" s="9" t="s">
        <v>3194</v>
      </c>
      <c r="P213" s="7">
        <v>1609</v>
      </c>
      <c r="Q213" s="7">
        <v>1517</v>
      </c>
      <c r="R213" s="7">
        <v>1200</v>
      </c>
      <c r="S213" s="7">
        <v>360</v>
      </c>
      <c r="T213" s="8">
        <v>3.6</v>
      </c>
      <c r="U213" s="8">
        <v>3.2</v>
      </c>
      <c r="V213" s="17">
        <v>3.2</v>
      </c>
      <c r="AD213" s="1"/>
      <c r="AE213" s="3"/>
      <c r="AF213" s="2"/>
      <c r="AG213" s="2"/>
      <c r="AH213" s="3"/>
      <c r="AI213" s="3"/>
      <c r="AJ213" s="1"/>
      <c r="AK213" s="1"/>
    </row>
    <row r="214" spans="1:37" x14ac:dyDescent="0.3">
      <c r="A214" s="14">
        <v>69</v>
      </c>
      <c r="B214" s="14">
        <v>2</v>
      </c>
      <c r="C214" s="9" t="s">
        <v>0</v>
      </c>
      <c r="D214" s="9" t="s">
        <v>180</v>
      </c>
      <c r="E214" s="9" t="s">
        <v>255</v>
      </c>
      <c r="F214" s="9" t="s">
        <v>256</v>
      </c>
      <c r="G214" s="9">
        <v>1</v>
      </c>
      <c r="H214" s="9"/>
      <c r="I214" s="9" t="s">
        <v>257</v>
      </c>
      <c r="J214" s="9"/>
      <c r="K214" s="9" t="b">
        <v>0</v>
      </c>
      <c r="L214" s="9" t="s">
        <v>194</v>
      </c>
      <c r="M214" s="9" t="b">
        <v>0</v>
      </c>
      <c r="N214" s="9" t="s">
        <v>258</v>
      </c>
      <c r="O214" s="9" t="s">
        <v>3245</v>
      </c>
      <c r="P214" s="7">
        <v>1338</v>
      </c>
      <c r="Q214" s="7">
        <v>1287</v>
      </c>
      <c r="R214" s="7">
        <v>1104</v>
      </c>
      <c r="S214" s="7">
        <v>299</v>
      </c>
      <c r="T214" s="8">
        <v>2.7</v>
      </c>
      <c r="U214" s="8">
        <v>3.2</v>
      </c>
      <c r="V214" s="17">
        <v>3.2</v>
      </c>
      <c r="AD214" s="1"/>
      <c r="AE214" s="3"/>
      <c r="AF214" s="2"/>
      <c r="AG214" s="2"/>
      <c r="AH214" s="3"/>
      <c r="AI214" s="3"/>
      <c r="AJ214" s="1"/>
      <c r="AK214" s="1"/>
    </row>
    <row r="215" spans="1:37" x14ac:dyDescent="0.3">
      <c r="A215" s="14">
        <v>88</v>
      </c>
      <c r="B215" s="14">
        <v>2</v>
      </c>
      <c r="C215" s="9" t="s">
        <v>0</v>
      </c>
      <c r="D215" s="9" t="s">
        <v>180</v>
      </c>
      <c r="E215" s="9" t="s">
        <v>333</v>
      </c>
      <c r="F215" s="9" t="s">
        <v>334</v>
      </c>
      <c r="G215" s="9">
        <v>1</v>
      </c>
      <c r="H215" s="9"/>
      <c r="I215" s="9"/>
      <c r="J215" s="9"/>
      <c r="K215" s="9" t="b">
        <v>0</v>
      </c>
      <c r="L215" s="9" t="s">
        <v>194</v>
      </c>
      <c r="M215" s="9" t="b">
        <v>0</v>
      </c>
      <c r="N215" s="9" t="s">
        <v>335</v>
      </c>
      <c r="O215" s="9" t="s">
        <v>3264</v>
      </c>
      <c r="P215" s="7">
        <v>1582</v>
      </c>
      <c r="Q215" s="7">
        <v>1392</v>
      </c>
      <c r="R215" s="7">
        <v>1218</v>
      </c>
      <c r="S215" s="7">
        <v>359</v>
      </c>
      <c r="T215" s="8">
        <v>3.7</v>
      </c>
      <c r="U215" s="8">
        <v>3.2</v>
      </c>
      <c r="V215" s="17">
        <v>3.2</v>
      </c>
      <c r="AD215" s="1"/>
      <c r="AE215" s="3"/>
      <c r="AF215" s="3"/>
      <c r="AG215" s="3"/>
      <c r="AH215" s="3"/>
      <c r="AI215" s="3"/>
      <c r="AJ215" s="1"/>
      <c r="AK215" s="1"/>
    </row>
    <row r="216" spans="1:37" x14ac:dyDescent="0.3">
      <c r="A216" s="14">
        <v>264</v>
      </c>
      <c r="B216" s="14">
        <v>3</v>
      </c>
      <c r="C216" s="9" t="s">
        <v>0</v>
      </c>
      <c r="D216" s="9" t="s">
        <v>411</v>
      </c>
      <c r="E216" s="9" t="s">
        <v>957</v>
      </c>
      <c r="F216" s="9" t="s">
        <v>958</v>
      </c>
      <c r="G216" s="9">
        <v>1</v>
      </c>
      <c r="H216" s="9" t="s">
        <v>10</v>
      </c>
      <c r="I216" s="9" t="s">
        <v>22</v>
      </c>
      <c r="J216" s="9"/>
      <c r="K216" s="9" t="b">
        <v>0</v>
      </c>
      <c r="L216" s="9" t="s">
        <v>425</v>
      </c>
      <c r="M216" s="9" t="b">
        <v>0</v>
      </c>
      <c r="N216" s="9" t="s">
        <v>959</v>
      </c>
      <c r="O216" s="9" t="s">
        <v>3440</v>
      </c>
      <c r="P216" s="7">
        <v>969</v>
      </c>
      <c r="Q216" s="7">
        <v>793</v>
      </c>
      <c r="R216" s="7">
        <v>712</v>
      </c>
      <c r="S216" s="7">
        <v>219</v>
      </c>
      <c r="T216" s="8">
        <v>3.5</v>
      </c>
      <c r="U216" s="8">
        <v>3.2</v>
      </c>
      <c r="V216" s="17">
        <v>3.2</v>
      </c>
      <c r="AD216" s="1"/>
      <c r="AE216" s="3"/>
      <c r="AF216" s="3"/>
      <c r="AG216" s="3"/>
      <c r="AH216" s="3"/>
      <c r="AI216" s="3"/>
      <c r="AJ216" s="1"/>
      <c r="AK216" s="1"/>
    </row>
    <row r="217" spans="1:37" x14ac:dyDescent="0.3">
      <c r="A217" s="14">
        <v>42</v>
      </c>
      <c r="B217" s="14">
        <v>1</v>
      </c>
      <c r="C217" s="9" t="s">
        <v>0</v>
      </c>
      <c r="D217" s="9" t="s">
        <v>1</v>
      </c>
      <c r="E217" s="9" t="s">
        <v>150</v>
      </c>
      <c r="F217" s="9" t="s">
        <v>151</v>
      </c>
      <c r="G217" s="9">
        <v>1</v>
      </c>
      <c r="H217" s="9"/>
      <c r="I217" s="9" t="s">
        <v>51</v>
      </c>
      <c r="J217" s="9">
        <v>1</v>
      </c>
      <c r="K217" s="9" t="b">
        <v>0</v>
      </c>
      <c r="L217" s="9" t="s">
        <v>7</v>
      </c>
      <c r="M217" s="9" t="b">
        <v>0</v>
      </c>
      <c r="N217" s="9" t="s">
        <v>152</v>
      </c>
      <c r="O217" s="9" t="s">
        <v>3218</v>
      </c>
      <c r="P217" s="7">
        <v>1403</v>
      </c>
      <c r="Q217" s="7">
        <v>1333</v>
      </c>
      <c r="R217" s="7">
        <v>1087</v>
      </c>
      <c r="S217" s="7">
        <v>319</v>
      </c>
      <c r="T217" s="8">
        <v>3.8</v>
      </c>
      <c r="U217" s="8">
        <v>3.2</v>
      </c>
      <c r="V217" s="17">
        <v>3.2</v>
      </c>
      <c r="AD217" s="1"/>
      <c r="AE217" s="3"/>
      <c r="AF217" s="3"/>
      <c r="AG217" s="3"/>
      <c r="AH217" s="3"/>
      <c r="AI217" s="3"/>
      <c r="AJ217" s="1"/>
      <c r="AK217" s="1"/>
    </row>
    <row r="218" spans="1:37" x14ac:dyDescent="0.3">
      <c r="A218" s="14">
        <v>289</v>
      </c>
      <c r="B218" s="14">
        <v>3</v>
      </c>
      <c r="C218" s="9" t="s">
        <v>0</v>
      </c>
      <c r="D218" s="9" t="s">
        <v>411</v>
      </c>
      <c r="E218" s="9" t="s">
        <v>1035</v>
      </c>
      <c r="F218" s="9" t="s">
        <v>1036</v>
      </c>
      <c r="G218" s="9">
        <v>1</v>
      </c>
      <c r="H218" s="9"/>
      <c r="I218" s="9" t="s">
        <v>114</v>
      </c>
      <c r="J218" s="9">
        <v>1</v>
      </c>
      <c r="K218" s="9" t="b">
        <v>0</v>
      </c>
      <c r="L218" s="9" t="s">
        <v>185</v>
      </c>
      <c r="M218" s="9" t="b">
        <v>0</v>
      </c>
      <c r="N218" s="9" t="s">
        <v>1037</v>
      </c>
      <c r="O218" s="9" t="s">
        <v>3465</v>
      </c>
      <c r="P218" s="7">
        <v>1281</v>
      </c>
      <c r="Q218" s="7">
        <v>1169</v>
      </c>
      <c r="R218" s="7">
        <v>973</v>
      </c>
      <c r="S218" s="7">
        <v>284</v>
      </c>
      <c r="T218" s="8">
        <v>3.4</v>
      </c>
      <c r="U218" s="8">
        <v>3.2</v>
      </c>
      <c r="V218" s="17">
        <v>3.2</v>
      </c>
      <c r="AD218" s="1"/>
      <c r="AE218" s="3"/>
      <c r="AF218" s="3"/>
      <c r="AG218" s="3"/>
      <c r="AH218" s="3"/>
      <c r="AI218" s="3"/>
      <c r="AJ218" s="1"/>
      <c r="AK218" s="1"/>
    </row>
    <row r="219" spans="1:37" x14ac:dyDescent="0.3">
      <c r="A219" s="14">
        <v>50</v>
      </c>
      <c r="B219" s="14">
        <v>1</v>
      </c>
      <c r="C219" s="9" t="s">
        <v>0</v>
      </c>
      <c r="D219" s="9" t="s">
        <v>1</v>
      </c>
      <c r="E219" s="9" t="s">
        <v>177</v>
      </c>
      <c r="F219" s="9" t="s">
        <v>178</v>
      </c>
      <c r="G219" s="9">
        <v>1</v>
      </c>
      <c r="H219" s="9" t="s">
        <v>26</v>
      </c>
      <c r="I219" s="9" t="s">
        <v>22</v>
      </c>
      <c r="J219" s="9">
        <v>1</v>
      </c>
      <c r="K219" s="9" t="b">
        <v>0</v>
      </c>
      <c r="L219" s="9" t="s">
        <v>7</v>
      </c>
      <c r="M219" s="9" t="b">
        <v>0</v>
      </c>
      <c r="N219" s="9" t="s">
        <v>179</v>
      </c>
      <c r="O219" s="9" t="s">
        <v>3226</v>
      </c>
      <c r="P219" s="7">
        <v>1582</v>
      </c>
      <c r="Q219" s="7">
        <v>1480</v>
      </c>
      <c r="R219" s="7">
        <v>1233</v>
      </c>
      <c r="S219" s="7">
        <v>355</v>
      </c>
      <c r="T219" s="8">
        <v>3.1</v>
      </c>
      <c r="U219" s="8">
        <v>3.2</v>
      </c>
      <c r="V219" s="17">
        <v>3.2</v>
      </c>
      <c r="AD219" s="1"/>
      <c r="AE219" s="3"/>
      <c r="AF219" s="3"/>
      <c r="AG219" s="3"/>
      <c r="AH219" s="3"/>
      <c r="AI219" s="3"/>
      <c r="AJ219" s="1"/>
      <c r="AK219" s="1"/>
    </row>
    <row r="220" spans="1:37" x14ac:dyDescent="0.3">
      <c r="A220" s="14">
        <v>914</v>
      </c>
      <c r="B220" s="14">
        <v>2</v>
      </c>
      <c r="C220" s="9" t="s">
        <v>1659</v>
      </c>
      <c r="D220" s="9" t="s">
        <v>1457</v>
      </c>
      <c r="E220" s="9" t="s">
        <v>2982</v>
      </c>
      <c r="F220" s="9" t="s">
        <v>2983</v>
      </c>
      <c r="G220" s="9">
        <v>1</v>
      </c>
      <c r="H220" s="9"/>
      <c r="I220" s="9"/>
      <c r="J220" s="9"/>
      <c r="K220" s="9" t="b">
        <v>0</v>
      </c>
      <c r="L220" s="9" t="s">
        <v>2985</v>
      </c>
      <c r="M220" s="9" t="b">
        <v>0</v>
      </c>
      <c r="N220" s="9" t="s">
        <v>2984</v>
      </c>
      <c r="O220" s="9" t="s">
        <v>4086</v>
      </c>
      <c r="P220" s="7">
        <v>1466</v>
      </c>
      <c r="Q220" s="7">
        <v>1425</v>
      </c>
      <c r="R220" s="7">
        <v>1288</v>
      </c>
      <c r="S220" s="7">
        <v>318</v>
      </c>
      <c r="T220" s="8">
        <v>2.4</v>
      </c>
      <c r="U220" s="8">
        <v>3.1</v>
      </c>
      <c r="V220" s="17">
        <v>3.1</v>
      </c>
      <c r="AD220" s="1"/>
      <c r="AE220" s="3"/>
      <c r="AF220" s="3"/>
      <c r="AG220" s="3"/>
      <c r="AH220" s="3"/>
      <c r="AI220" s="3"/>
      <c r="AJ220" s="1"/>
      <c r="AK220" s="1"/>
    </row>
    <row r="221" spans="1:37" x14ac:dyDescent="0.3">
      <c r="A221" s="14">
        <v>558</v>
      </c>
      <c r="B221" s="14">
        <v>2</v>
      </c>
      <c r="C221" s="9" t="s">
        <v>1659</v>
      </c>
      <c r="D221" s="9" t="s">
        <v>180</v>
      </c>
      <c r="E221" s="9" t="s">
        <v>1894</v>
      </c>
      <c r="F221" s="9" t="s">
        <v>1895</v>
      </c>
      <c r="G221" s="9">
        <v>4</v>
      </c>
      <c r="H221" s="9"/>
      <c r="I221" s="9"/>
      <c r="J221" s="9"/>
      <c r="K221" s="9" t="b">
        <v>0</v>
      </c>
      <c r="L221" s="9" t="s">
        <v>1897</v>
      </c>
      <c r="M221" s="9" t="b">
        <v>0</v>
      </c>
      <c r="N221" s="9" t="s">
        <v>1896</v>
      </c>
      <c r="O221" s="9" t="s">
        <v>3733</v>
      </c>
      <c r="P221" s="7">
        <v>1278</v>
      </c>
      <c r="Q221" s="7">
        <v>1231</v>
      </c>
      <c r="R221" s="7">
        <v>1059</v>
      </c>
      <c r="S221" s="7">
        <v>275</v>
      </c>
      <c r="T221" s="8">
        <v>3.2</v>
      </c>
      <c r="U221" s="8">
        <v>3.1</v>
      </c>
      <c r="V221" s="17">
        <v>3.1</v>
      </c>
      <c r="AD221" s="1"/>
      <c r="AE221" s="3"/>
      <c r="AF221" s="2"/>
      <c r="AG221" s="3"/>
      <c r="AH221" s="3"/>
      <c r="AI221" s="3"/>
      <c r="AJ221" s="1"/>
      <c r="AK221" s="1"/>
    </row>
    <row r="222" spans="1:37" x14ac:dyDescent="0.3">
      <c r="A222" s="14">
        <v>839</v>
      </c>
      <c r="B222" s="14">
        <v>1</v>
      </c>
      <c r="C222" s="9" t="s">
        <v>1659</v>
      </c>
      <c r="D222" s="9" t="s">
        <v>1208</v>
      </c>
      <c r="E222" s="9" t="s">
        <v>2761</v>
      </c>
      <c r="F222" s="9" t="s">
        <v>2762</v>
      </c>
      <c r="G222" s="9">
        <v>3</v>
      </c>
      <c r="H222" s="9"/>
      <c r="I222" s="9"/>
      <c r="J222" s="9"/>
      <c r="K222" s="9" t="b">
        <v>0</v>
      </c>
      <c r="L222" s="9" t="s">
        <v>7</v>
      </c>
      <c r="M222" s="9" t="b">
        <v>1</v>
      </c>
      <c r="N222" s="9" t="s">
        <v>2763</v>
      </c>
      <c r="O222" s="9" t="s">
        <v>4014</v>
      </c>
      <c r="P222" s="7">
        <v>1351</v>
      </c>
      <c r="Q222" s="7">
        <v>1287</v>
      </c>
      <c r="R222" s="7">
        <v>923</v>
      </c>
      <c r="S222" s="7">
        <v>293</v>
      </c>
      <c r="T222" s="8">
        <v>2.6</v>
      </c>
      <c r="U222" s="8">
        <v>3.1</v>
      </c>
      <c r="V222" s="17">
        <v>3.1</v>
      </c>
      <c r="AD222" s="1"/>
      <c r="AE222" s="3"/>
      <c r="AF222" s="2"/>
      <c r="AG222" s="2"/>
      <c r="AH222" s="3"/>
      <c r="AI222" s="3"/>
      <c r="AJ222" s="1"/>
      <c r="AK222" s="1"/>
    </row>
    <row r="223" spans="1:37" x14ac:dyDescent="0.3">
      <c r="A223" s="14">
        <v>562</v>
      </c>
      <c r="B223" s="14">
        <v>2</v>
      </c>
      <c r="C223" s="9" t="s">
        <v>1659</v>
      </c>
      <c r="D223" s="9" t="s">
        <v>180</v>
      </c>
      <c r="E223" s="9" t="s">
        <v>1907</v>
      </c>
      <c r="F223" s="9" t="s">
        <v>1908</v>
      </c>
      <c r="G223" s="9">
        <v>1</v>
      </c>
      <c r="H223" s="9"/>
      <c r="I223" s="9"/>
      <c r="J223" s="9"/>
      <c r="K223" s="9" t="b">
        <v>0</v>
      </c>
      <c r="L223" s="9" t="s">
        <v>194</v>
      </c>
      <c r="M223" s="9" t="b">
        <v>0</v>
      </c>
      <c r="N223" s="9" t="s">
        <v>1909</v>
      </c>
      <c r="O223" s="9" t="s">
        <v>3737</v>
      </c>
      <c r="P223" s="7">
        <v>1468</v>
      </c>
      <c r="Q223" s="7">
        <v>1441</v>
      </c>
      <c r="R223" s="7">
        <v>1118</v>
      </c>
      <c r="S223" s="7">
        <v>319</v>
      </c>
      <c r="T223" s="8">
        <v>2</v>
      </c>
      <c r="U223" s="8">
        <v>3.1</v>
      </c>
      <c r="V223" s="17">
        <v>3.1</v>
      </c>
      <c r="AD223" s="1"/>
      <c r="AE223" s="3"/>
      <c r="AF223" s="2"/>
      <c r="AG223" s="2"/>
      <c r="AH223" s="3"/>
      <c r="AI223" s="3"/>
      <c r="AJ223" s="1"/>
      <c r="AK223" s="1"/>
    </row>
    <row r="224" spans="1:37" x14ac:dyDescent="0.3">
      <c r="A224" s="14">
        <v>507</v>
      </c>
      <c r="B224" s="14">
        <v>1</v>
      </c>
      <c r="C224" s="9" t="s">
        <v>1659</v>
      </c>
      <c r="D224" s="9" t="s">
        <v>1</v>
      </c>
      <c r="E224" s="9" t="s">
        <v>1741</v>
      </c>
      <c r="F224" s="9" t="s">
        <v>1742</v>
      </c>
      <c r="G224" s="9">
        <v>3</v>
      </c>
      <c r="H224" s="9"/>
      <c r="I224" s="9"/>
      <c r="J224" s="9"/>
      <c r="K224" s="9" t="b">
        <v>0</v>
      </c>
      <c r="L224" s="9" t="s">
        <v>7</v>
      </c>
      <c r="M224" s="9" t="b">
        <v>0</v>
      </c>
      <c r="N224" s="9" t="s">
        <v>1743</v>
      </c>
      <c r="O224" s="9" t="s">
        <v>3682</v>
      </c>
      <c r="P224" s="7">
        <v>1340</v>
      </c>
      <c r="Q224" s="7">
        <v>1251</v>
      </c>
      <c r="R224" s="7">
        <v>967</v>
      </c>
      <c r="S224" s="7">
        <v>287</v>
      </c>
      <c r="T224" s="8">
        <v>3.6</v>
      </c>
      <c r="U224" s="8">
        <v>3.1</v>
      </c>
      <c r="V224" s="17">
        <v>3.1</v>
      </c>
      <c r="AD224" s="1"/>
      <c r="AE224" s="3"/>
      <c r="AF224" s="2"/>
      <c r="AG224" s="2"/>
      <c r="AH224" s="3"/>
      <c r="AI224" s="3"/>
      <c r="AJ224" s="1"/>
      <c r="AK224" s="1"/>
    </row>
    <row r="225" spans="1:37" x14ac:dyDescent="0.3">
      <c r="A225" s="14">
        <v>510</v>
      </c>
      <c r="B225" s="14">
        <v>1</v>
      </c>
      <c r="C225" s="9" t="s">
        <v>1659</v>
      </c>
      <c r="D225" s="9" t="s">
        <v>1</v>
      </c>
      <c r="E225" s="9" t="s">
        <v>1750</v>
      </c>
      <c r="F225" s="9" t="s">
        <v>1751</v>
      </c>
      <c r="G225" s="9">
        <v>4</v>
      </c>
      <c r="H225" s="9"/>
      <c r="I225" s="9"/>
      <c r="J225" s="9"/>
      <c r="K225" s="9" t="b">
        <v>0</v>
      </c>
      <c r="L225" s="9" t="s">
        <v>7</v>
      </c>
      <c r="M225" s="9" t="b">
        <v>0</v>
      </c>
      <c r="N225" s="9" t="s">
        <v>1752</v>
      </c>
      <c r="O225" s="9" t="s">
        <v>3685</v>
      </c>
      <c r="P225" s="7">
        <v>1497</v>
      </c>
      <c r="Q225" s="7">
        <v>1374</v>
      </c>
      <c r="R225" s="7">
        <v>1214</v>
      </c>
      <c r="S225" s="7">
        <v>329</v>
      </c>
      <c r="T225" s="8">
        <v>3.4</v>
      </c>
      <c r="U225" s="8">
        <v>3.1</v>
      </c>
      <c r="V225" s="17">
        <v>3.1</v>
      </c>
      <c r="AD225" s="1"/>
      <c r="AE225" s="3"/>
      <c r="AF225" s="2"/>
      <c r="AG225" s="3"/>
      <c r="AH225" s="3"/>
      <c r="AI225" s="3"/>
      <c r="AJ225" s="1"/>
      <c r="AK225" s="1"/>
    </row>
    <row r="226" spans="1:37" x14ac:dyDescent="0.3">
      <c r="A226" s="14">
        <v>733</v>
      </c>
      <c r="B226" s="14">
        <v>3</v>
      </c>
      <c r="C226" s="9" t="s">
        <v>1659</v>
      </c>
      <c r="D226" s="9" t="s">
        <v>411</v>
      </c>
      <c r="E226" s="9" t="s">
        <v>2439</v>
      </c>
      <c r="F226" s="9" t="s">
        <v>2440</v>
      </c>
      <c r="G226" s="9">
        <v>3</v>
      </c>
      <c r="H226" s="9"/>
      <c r="I226" s="9"/>
      <c r="J226" s="9"/>
      <c r="K226" s="9" t="b">
        <v>0</v>
      </c>
      <c r="L226" s="9" t="s">
        <v>777</v>
      </c>
      <c r="M226" s="9" t="b">
        <v>1</v>
      </c>
      <c r="N226" s="9" t="s">
        <v>2441</v>
      </c>
      <c r="O226" s="9" t="s">
        <v>3908</v>
      </c>
      <c r="P226" s="7">
        <v>964</v>
      </c>
      <c r="Q226" s="7">
        <v>889</v>
      </c>
      <c r="R226" s="7">
        <v>769</v>
      </c>
      <c r="S226" s="7">
        <v>209</v>
      </c>
      <c r="T226" s="8">
        <v>2.9</v>
      </c>
      <c r="U226" s="8">
        <v>3.1</v>
      </c>
      <c r="V226" s="17">
        <v>3.1</v>
      </c>
      <c r="AD226" s="1"/>
      <c r="AE226" s="3"/>
      <c r="AF226" s="2"/>
      <c r="AG226" s="2"/>
      <c r="AH226" s="2"/>
      <c r="AI226" s="3"/>
      <c r="AJ226" s="1"/>
      <c r="AK226" s="1"/>
    </row>
    <row r="227" spans="1:37" x14ac:dyDescent="0.3">
      <c r="A227" s="14">
        <v>531</v>
      </c>
      <c r="B227" s="14">
        <v>1</v>
      </c>
      <c r="C227" s="9" t="s">
        <v>1659</v>
      </c>
      <c r="D227" s="9" t="s">
        <v>1</v>
      </c>
      <c r="E227" s="9" t="s">
        <v>1813</v>
      </c>
      <c r="F227" s="9" t="s">
        <v>1814</v>
      </c>
      <c r="G227" s="9">
        <v>3</v>
      </c>
      <c r="H227" s="9"/>
      <c r="I227" s="9"/>
      <c r="J227" s="9"/>
      <c r="K227" s="9" t="b">
        <v>0</v>
      </c>
      <c r="L227" s="9" t="s">
        <v>7</v>
      </c>
      <c r="M227" s="9" t="b">
        <v>0</v>
      </c>
      <c r="N227" s="9" t="s">
        <v>1815</v>
      </c>
      <c r="O227" s="9" t="s">
        <v>3706</v>
      </c>
      <c r="P227" s="7">
        <v>1489</v>
      </c>
      <c r="Q227" s="7">
        <v>1439</v>
      </c>
      <c r="R227" s="7">
        <v>1228</v>
      </c>
      <c r="S227" s="7">
        <v>328</v>
      </c>
      <c r="T227" s="8">
        <v>2.8</v>
      </c>
      <c r="U227" s="8">
        <v>3.1</v>
      </c>
      <c r="V227" s="17">
        <v>3.1</v>
      </c>
      <c r="AD227" s="1"/>
      <c r="AE227" s="3"/>
      <c r="AF227" s="2"/>
      <c r="AG227" s="2"/>
      <c r="AH227" s="2"/>
      <c r="AI227" s="3"/>
      <c r="AJ227" s="1"/>
      <c r="AK227" s="1"/>
    </row>
    <row r="228" spans="1:37" x14ac:dyDescent="0.3">
      <c r="A228" s="14">
        <v>775</v>
      </c>
      <c r="B228" s="14">
        <v>3</v>
      </c>
      <c r="C228" s="9" t="s">
        <v>1659</v>
      </c>
      <c r="D228" s="9" t="s">
        <v>411</v>
      </c>
      <c r="E228" s="9" t="s">
        <v>2569</v>
      </c>
      <c r="F228" s="9" t="s">
        <v>2570</v>
      </c>
      <c r="G228" s="9">
        <v>1</v>
      </c>
      <c r="H228" s="9"/>
      <c r="I228" s="9"/>
      <c r="J228" s="9"/>
      <c r="K228" s="9" t="b">
        <v>0</v>
      </c>
      <c r="L228" s="9" t="s">
        <v>309</v>
      </c>
      <c r="M228" s="9" t="b">
        <v>0</v>
      </c>
      <c r="N228" s="9" t="s">
        <v>2571</v>
      </c>
      <c r="O228" s="9" t="s">
        <v>3950</v>
      </c>
      <c r="P228" s="7">
        <v>1301</v>
      </c>
      <c r="Q228" s="7">
        <v>1247</v>
      </c>
      <c r="R228" s="7">
        <v>1063</v>
      </c>
      <c r="S228" s="7">
        <v>281</v>
      </c>
      <c r="T228" s="8">
        <v>2.8</v>
      </c>
      <c r="U228" s="8">
        <v>3.1</v>
      </c>
      <c r="V228" s="17">
        <v>3.1</v>
      </c>
      <c r="AD228" s="1"/>
      <c r="AE228" s="3"/>
      <c r="AF228" s="2"/>
      <c r="AG228" s="2"/>
      <c r="AH228" s="3"/>
      <c r="AI228" s="3"/>
      <c r="AJ228" s="1"/>
      <c r="AK228" s="1"/>
    </row>
    <row r="229" spans="1:37" x14ac:dyDescent="0.3">
      <c r="A229" s="14">
        <v>604</v>
      </c>
      <c r="B229" s="14">
        <v>2</v>
      </c>
      <c r="C229" s="9" t="s">
        <v>1659</v>
      </c>
      <c r="D229" s="9" t="s">
        <v>180</v>
      </c>
      <c r="E229" s="9" t="s">
        <v>2040</v>
      </c>
      <c r="F229" s="9" t="s">
        <v>2041</v>
      </c>
      <c r="G229" s="9">
        <v>4</v>
      </c>
      <c r="H229" s="9"/>
      <c r="I229" s="9"/>
      <c r="J229" s="9"/>
      <c r="K229" s="9" t="b">
        <v>0</v>
      </c>
      <c r="L229" s="9" t="s">
        <v>420</v>
      </c>
      <c r="M229" s="9" t="b">
        <v>0</v>
      </c>
      <c r="N229" s="9" t="s">
        <v>2042</v>
      </c>
      <c r="O229" s="9" t="s">
        <v>3779</v>
      </c>
      <c r="P229" s="7">
        <v>1274</v>
      </c>
      <c r="Q229" s="7">
        <v>1134</v>
      </c>
      <c r="R229" s="7">
        <v>951</v>
      </c>
      <c r="S229" s="7">
        <v>274</v>
      </c>
      <c r="T229" s="8">
        <v>3.8</v>
      </c>
      <c r="U229" s="8">
        <v>3.1</v>
      </c>
      <c r="V229" s="17">
        <v>3.1</v>
      </c>
      <c r="AD229" s="1"/>
      <c r="AE229" s="3"/>
      <c r="AF229" s="3"/>
      <c r="AG229" s="3"/>
      <c r="AH229" s="3"/>
      <c r="AI229" s="3"/>
      <c r="AJ229" s="1"/>
      <c r="AK229" s="1"/>
    </row>
    <row r="230" spans="1:37" x14ac:dyDescent="0.3">
      <c r="A230" s="14">
        <v>117</v>
      </c>
      <c r="B230" s="14">
        <v>3</v>
      </c>
      <c r="C230" s="9" t="s">
        <v>0</v>
      </c>
      <c r="D230" s="9" t="s">
        <v>411</v>
      </c>
      <c r="E230" s="9" t="s">
        <v>445</v>
      </c>
      <c r="F230" s="9" t="s">
        <v>446</v>
      </c>
      <c r="G230" s="9">
        <v>1</v>
      </c>
      <c r="H230" s="9" t="s">
        <v>26</v>
      </c>
      <c r="I230" s="9" t="s">
        <v>22</v>
      </c>
      <c r="J230" s="9">
        <v>1</v>
      </c>
      <c r="K230" s="9" t="b">
        <v>0</v>
      </c>
      <c r="L230" s="9" t="s">
        <v>448</v>
      </c>
      <c r="M230" s="9" t="b">
        <v>0</v>
      </c>
      <c r="N230" s="9" t="s">
        <v>447</v>
      </c>
      <c r="O230" s="9" t="s">
        <v>3293</v>
      </c>
      <c r="P230" s="7">
        <v>1183</v>
      </c>
      <c r="Q230" s="7">
        <v>1124</v>
      </c>
      <c r="R230" s="7">
        <v>877</v>
      </c>
      <c r="S230" s="7">
        <v>260</v>
      </c>
      <c r="T230" s="8">
        <v>4</v>
      </c>
      <c r="U230" s="8">
        <v>3.1</v>
      </c>
      <c r="V230" s="17">
        <v>3.1</v>
      </c>
      <c r="AD230" s="1"/>
      <c r="AE230" s="3"/>
      <c r="AF230" s="2"/>
      <c r="AG230" s="3"/>
      <c r="AH230" s="3"/>
      <c r="AI230" s="3"/>
      <c r="AJ230" s="1"/>
      <c r="AK230" s="1"/>
    </row>
    <row r="231" spans="1:37" x14ac:dyDescent="0.3">
      <c r="A231" s="14">
        <v>426</v>
      </c>
      <c r="B231" s="14">
        <v>2</v>
      </c>
      <c r="C231" s="9" t="s">
        <v>0</v>
      </c>
      <c r="D231" s="9" t="s">
        <v>1457</v>
      </c>
      <c r="E231" s="9" t="s">
        <v>1479</v>
      </c>
      <c r="F231" s="9" t="s">
        <v>1480</v>
      </c>
      <c r="G231" s="9">
        <v>1</v>
      </c>
      <c r="H231" s="9"/>
      <c r="I231" s="9" t="s">
        <v>320</v>
      </c>
      <c r="J231" s="9">
        <v>2</v>
      </c>
      <c r="K231" s="9" t="b">
        <v>0</v>
      </c>
      <c r="L231" s="9" t="s">
        <v>1482</v>
      </c>
      <c r="M231" s="9" t="b">
        <v>0</v>
      </c>
      <c r="N231" s="9" t="s">
        <v>1481</v>
      </c>
      <c r="O231" s="9" t="s">
        <v>3601</v>
      </c>
      <c r="P231" s="7">
        <v>1510</v>
      </c>
      <c r="Q231" s="7">
        <v>1368</v>
      </c>
      <c r="R231" s="7">
        <v>1093</v>
      </c>
      <c r="S231" s="7">
        <v>323</v>
      </c>
      <c r="T231" s="8">
        <v>3.4</v>
      </c>
      <c r="U231" s="8">
        <v>3.1</v>
      </c>
      <c r="V231" s="17">
        <v>3.1</v>
      </c>
      <c r="AD231" s="1"/>
      <c r="AE231" s="3"/>
      <c r="AF231" s="2"/>
      <c r="AG231" s="2"/>
      <c r="AH231" s="2"/>
      <c r="AI231" s="3"/>
      <c r="AJ231" s="1"/>
      <c r="AK231" s="1"/>
    </row>
    <row r="232" spans="1:37" x14ac:dyDescent="0.3">
      <c r="A232" s="14">
        <v>133</v>
      </c>
      <c r="B232" s="14">
        <v>3</v>
      </c>
      <c r="C232" s="9" t="s">
        <v>0</v>
      </c>
      <c r="D232" s="9" t="s">
        <v>411</v>
      </c>
      <c r="E232" s="9" t="s">
        <v>504</v>
      </c>
      <c r="F232" s="9" t="s">
        <v>505</v>
      </c>
      <c r="G232" s="9">
        <v>1</v>
      </c>
      <c r="H232" s="9" t="s">
        <v>506</v>
      </c>
      <c r="I232" s="9"/>
      <c r="J232" s="9">
        <v>1</v>
      </c>
      <c r="K232" s="9" t="b">
        <v>0</v>
      </c>
      <c r="L232" s="9" t="s">
        <v>497</v>
      </c>
      <c r="M232" s="9" t="b">
        <v>0</v>
      </c>
      <c r="N232" s="9" t="s">
        <v>507</v>
      </c>
      <c r="O232" s="9" t="s">
        <v>3309</v>
      </c>
      <c r="P232" s="7">
        <v>1342</v>
      </c>
      <c r="Q232" s="7">
        <v>1240</v>
      </c>
      <c r="R232" s="7">
        <v>938</v>
      </c>
      <c r="S232" s="7">
        <v>294</v>
      </c>
      <c r="T232" s="8">
        <v>3.6</v>
      </c>
      <c r="U232" s="8">
        <v>3.1</v>
      </c>
      <c r="V232" s="17">
        <v>3.1</v>
      </c>
      <c r="AD232" s="1"/>
      <c r="AE232" s="3"/>
      <c r="AF232" s="3"/>
      <c r="AG232" s="3"/>
      <c r="AH232" s="3"/>
      <c r="AI232" s="3"/>
      <c r="AJ232" s="1"/>
      <c r="AK232" s="1"/>
    </row>
    <row r="233" spans="1:37" x14ac:dyDescent="0.3">
      <c r="A233" s="14">
        <v>402</v>
      </c>
      <c r="B233" s="14">
        <v>4</v>
      </c>
      <c r="C233" s="9" t="s">
        <v>0</v>
      </c>
      <c r="D233" s="9" t="s">
        <v>1394</v>
      </c>
      <c r="E233" s="9" t="s">
        <v>1402</v>
      </c>
      <c r="F233" s="9" t="s">
        <v>1403</v>
      </c>
      <c r="G233" s="9">
        <v>1</v>
      </c>
      <c r="H233" s="9"/>
      <c r="I233" s="9" t="s">
        <v>22</v>
      </c>
      <c r="J233" s="9"/>
      <c r="K233" s="9" t="b">
        <v>0</v>
      </c>
      <c r="L233" s="9"/>
      <c r="M233" s="9" t="b">
        <v>1</v>
      </c>
      <c r="N233" s="9" t="s">
        <v>1404</v>
      </c>
      <c r="O233" s="9" t="s">
        <v>3578</v>
      </c>
      <c r="P233" s="7">
        <v>135</v>
      </c>
      <c r="Q233" s="7">
        <v>111</v>
      </c>
      <c r="R233" s="7">
        <v>87</v>
      </c>
      <c r="S233" s="7">
        <v>29</v>
      </c>
      <c r="T233" s="8">
        <v>4.0999999999999996</v>
      </c>
      <c r="U233" s="8">
        <v>3.1</v>
      </c>
      <c r="V233" s="17">
        <v>3.1</v>
      </c>
      <c r="AD233" s="1"/>
      <c r="AE233" s="3"/>
      <c r="AF233" s="3"/>
      <c r="AG233" s="3"/>
      <c r="AH233" s="3"/>
      <c r="AI233" s="3"/>
      <c r="AJ233" s="1"/>
      <c r="AK233" s="1"/>
    </row>
    <row r="234" spans="1:37" x14ac:dyDescent="0.3">
      <c r="A234" s="14">
        <v>137</v>
      </c>
      <c r="B234" s="14">
        <v>3</v>
      </c>
      <c r="C234" s="9" t="s">
        <v>0</v>
      </c>
      <c r="D234" s="9" t="s">
        <v>411</v>
      </c>
      <c r="E234" s="9" t="s">
        <v>518</v>
      </c>
      <c r="F234" s="9" t="s">
        <v>519</v>
      </c>
      <c r="G234" s="9">
        <v>1</v>
      </c>
      <c r="H234" s="9" t="s">
        <v>520</v>
      </c>
      <c r="I234" s="9" t="s">
        <v>46</v>
      </c>
      <c r="J234" s="9">
        <v>1</v>
      </c>
      <c r="K234" s="9" t="b">
        <v>0</v>
      </c>
      <c r="L234" s="9" t="s">
        <v>194</v>
      </c>
      <c r="M234" s="9" t="b">
        <v>0</v>
      </c>
      <c r="N234" s="9" t="s">
        <v>521</v>
      </c>
      <c r="O234" s="9" t="s">
        <v>3313</v>
      </c>
      <c r="P234" s="7">
        <v>1219</v>
      </c>
      <c r="Q234" s="7">
        <v>1178</v>
      </c>
      <c r="R234" s="7">
        <v>785</v>
      </c>
      <c r="S234" s="7">
        <v>261</v>
      </c>
      <c r="T234" s="8">
        <v>2.9</v>
      </c>
      <c r="U234" s="8">
        <v>3.1</v>
      </c>
      <c r="V234" s="17">
        <v>3.1</v>
      </c>
      <c r="AD234" s="1"/>
      <c r="AE234" s="3"/>
      <c r="AF234" s="2"/>
      <c r="AG234" s="3"/>
      <c r="AH234" s="3"/>
      <c r="AI234" s="3"/>
      <c r="AJ234" s="1"/>
      <c r="AK234" s="1"/>
    </row>
    <row r="235" spans="1:37" x14ac:dyDescent="0.3">
      <c r="A235" s="14">
        <v>138</v>
      </c>
      <c r="B235" s="14">
        <v>3</v>
      </c>
      <c r="C235" s="9" t="s">
        <v>0</v>
      </c>
      <c r="D235" s="9" t="s">
        <v>411</v>
      </c>
      <c r="E235" s="9" t="s">
        <v>522</v>
      </c>
      <c r="F235" s="9" t="s">
        <v>523</v>
      </c>
      <c r="G235" s="9">
        <v>1</v>
      </c>
      <c r="H235" s="9" t="s">
        <v>26</v>
      </c>
      <c r="I235" s="9" t="s">
        <v>524</v>
      </c>
      <c r="J235" s="9">
        <v>1</v>
      </c>
      <c r="K235" s="9" t="b">
        <v>0</v>
      </c>
      <c r="L235" s="9" t="s">
        <v>526</v>
      </c>
      <c r="M235" s="9" t="b">
        <v>1</v>
      </c>
      <c r="N235" s="9" t="s">
        <v>525</v>
      </c>
      <c r="O235" s="9" t="s">
        <v>3314</v>
      </c>
      <c r="P235" s="7">
        <v>956</v>
      </c>
      <c r="Q235" s="7">
        <v>905</v>
      </c>
      <c r="R235" s="7">
        <v>634</v>
      </c>
      <c r="S235" s="7">
        <v>206</v>
      </c>
      <c r="T235" s="8">
        <v>3.5</v>
      </c>
      <c r="U235" s="8">
        <v>3.1</v>
      </c>
      <c r="V235" s="17">
        <v>3.1</v>
      </c>
      <c r="AD235" s="1"/>
      <c r="AE235" s="3"/>
      <c r="AF235" s="2"/>
      <c r="AG235" s="3"/>
      <c r="AH235" s="3"/>
      <c r="AI235" s="3"/>
      <c r="AJ235" s="1"/>
      <c r="AK235" s="1"/>
    </row>
    <row r="236" spans="1:37" x14ac:dyDescent="0.3">
      <c r="A236" s="14">
        <v>307</v>
      </c>
      <c r="B236" s="14">
        <v>1</v>
      </c>
      <c r="C236" s="9" t="s">
        <v>0</v>
      </c>
      <c r="D236" s="9" t="s">
        <v>1077</v>
      </c>
      <c r="E236" s="9" t="s">
        <v>1094</v>
      </c>
      <c r="F236" s="9" t="s">
        <v>1095</v>
      </c>
      <c r="G236" s="9">
        <v>1</v>
      </c>
      <c r="H236" s="9"/>
      <c r="I236" s="9" t="s">
        <v>1024</v>
      </c>
      <c r="J236" s="9">
        <v>1</v>
      </c>
      <c r="K236" s="9" t="b">
        <v>0</v>
      </c>
      <c r="L236" s="9" t="s">
        <v>7</v>
      </c>
      <c r="M236" s="9" t="b">
        <v>1</v>
      </c>
      <c r="N236" s="9" t="s">
        <v>1096</v>
      </c>
      <c r="O236" s="9" t="s">
        <v>3483</v>
      </c>
      <c r="P236" s="7">
        <v>1370</v>
      </c>
      <c r="Q236" s="7">
        <v>1325</v>
      </c>
      <c r="R236" s="7">
        <v>952</v>
      </c>
      <c r="S236" s="7">
        <v>301</v>
      </c>
      <c r="T236" s="8">
        <v>3.6</v>
      </c>
      <c r="U236" s="8">
        <v>3.1</v>
      </c>
      <c r="V236" s="17">
        <v>3.1</v>
      </c>
      <c r="AD236" s="1"/>
      <c r="AE236" s="3"/>
      <c r="AF236" s="2"/>
      <c r="AG236" s="2"/>
      <c r="AH236" s="2"/>
      <c r="AI236" s="3"/>
      <c r="AJ236" s="1"/>
      <c r="AK236" s="1"/>
    </row>
    <row r="237" spans="1:37" x14ac:dyDescent="0.3">
      <c r="A237" s="14">
        <v>15</v>
      </c>
      <c r="B237" s="14">
        <v>1</v>
      </c>
      <c r="C237" s="9" t="s">
        <v>0</v>
      </c>
      <c r="D237" s="9" t="s">
        <v>1</v>
      </c>
      <c r="E237" s="9" t="s">
        <v>56</v>
      </c>
      <c r="F237" s="9" t="s">
        <v>57</v>
      </c>
      <c r="G237" s="9">
        <v>1</v>
      </c>
      <c r="H237" s="9"/>
      <c r="I237" s="9" t="s">
        <v>5</v>
      </c>
      <c r="J237" s="9"/>
      <c r="K237" s="9" t="b">
        <v>0</v>
      </c>
      <c r="L237" s="9" t="s">
        <v>7</v>
      </c>
      <c r="M237" s="9" t="b">
        <v>0</v>
      </c>
      <c r="N237" s="9" t="s">
        <v>58</v>
      </c>
      <c r="O237" s="9" t="s">
        <v>3191</v>
      </c>
      <c r="P237" s="7">
        <v>1640</v>
      </c>
      <c r="Q237" s="7">
        <v>1509</v>
      </c>
      <c r="R237" s="7">
        <v>1162</v>
      </c>
      <c r="S237" s="7">
        <v>354</v>
      </c>
      <c r="T237" s="8">
        <v>2.4</v>
      </c>
      <c r="U237" s="8">
        <v>3.1</v>
      </c>
      <c r="V237" s="17">
        <v>3.1</v>
      </c>
      <c r="AD237" s="1"/>
      <c r="AE237" s="3"/>
      <c r="AF237" s="2"/>
      <c r="AG237" s="3"/>
      <c r="AH237" s="3"/>
      <c r="AI237" s="3"/>
      <c r="AJ237" s="1"/>
      <c r="AK237" s="1"/>
    </row>
    <row r="238" spans="1:37" x14ac:dyDescent="0.3">
      <c r="A238" s="14">
        <v>16</v>
      </c>
      <c r="B238" s="14">
        <v>1</v>
      </c>
      <c r="C238" s="9" t="s">
        <v>0</v>
      </c>
      <c r="D238" s="9" t="s">
        <v>1</v>
      </c>
      <c r="E238" s="9" t="s">
        <v>59</v>
      </c>
      <c r="F238" s="9" t="s">
        <v>60</v>
      </c>
      <c r="G238" s="9">
        <v>1</v>
      </c>
      <c r="H238" s="9"/>
      <c r="I238" s="9" t="s">
        <v>22</v>
      </c>
      <c r="J238" s="9"/>
      <c r="K238" s="9" t="b">
        <v>0</v>
      </c>
      <c r="L238" s="9" t="s">
        <v>7</v>
      </c>
      <c r="M238" s="9" t="b">
        <v>1</v>
      </c>
      <c r="N238" s="9" t="s">
        <v>61</v>
      </c>
      <c r="O238" s="9" t="s">
        <v>3192</v>
      </c>
      <c r="P238" s="7">
        <v>1552</v>
      </c>
      <c r="Q238" s="7">
        <v>1456</v>
      </c>
      <c r="R238" s="7">
        <v>1107</v>
      </c>
      <c r="S238" s="7">
        <v>333</v>
      </c>
      <c r="T238" s="8">
        <v>3.8</v>
      </c>
      <c r="U238" s="8">
        <v>3.1</v>
      </c>
      <c r="V238" s="17">
        <v>3.1</v>
      </c>
      <c r="AD238" s="1"/>
      <c r="AE238" s="3"/>
      <c r="AF238" s="2"/>
      <c r="AG238" s="3"/>
      <c r="AH238" s="3"/>
      <c r="AI238" s="3"/>
      <c r="AJ238" s="1"/>
      <c r="AK238" s="1"/>
    </row>
    <row r="239" spans="1:37" x14ac:dyDescent="0.3">
      <c r="A239" s="14">
        <v>148</v>
      </c>
      <c r="B239" s="14">
        <v>3</v>
      </c>
      <c r="C239" s="9" t="s">
        <v>0</v>
      </c>
      <c r="D239" s="9" t="s">
        <v>411</v>
      </c>
      <c r="E239" s="9" t="s">
        <v>562</v>
      </c>
      <c r="F239" s="9" t="s">
        <v>563</v>
      </c>
      <c r="G239" s="9">
        <v>1</v>
      </c>
      <c r="H239" s="9"/>
      <c r="I239" s="9" t="s">
        <v>564</v>
      </c>
      <c r="J239" s="9"/>
      <c r="K239" s="9" t="b">
        <v>0</v>
      </c>
      <c r="L239" s="9" t="s">
        <v>420</v>
      </c>
      <c r="M239" s="9" t="b">
        <v>1</v>
      </c>
      <c r="N239" s="9" t="s">
        <v>565</v>
      </c>
      <c r="O239" s="9" t="s">
        <v>3324</v>
      </c>
      <c r="P239" s="7">
        <v>1323</v>
      </c>
      <c r="Q239" s="7">
        <v>1192</v>
      </c>
      <c r="R239" s="7">
        <v>845</v>
      </c>
      <c r="S239" s="7">
        <v>283</v>
      </c>
      <c r="T239" s="8">
        <v>3.4</v>
      </c>
      <c r="U239" s="8">
        <v>3.1</v>
      </c>
      <c r="V239" s="17">
        <v>3.1</v>
      </c>
      <c r="AD239" s="1"/>
      <c r="AE239" s="3"/>
      <c r="AF239" s="2"/>
      <c r="AG239" s="2"/>
      <c r="AH239" s="2"/>
      <c r="AI239" s="3"/>
      <c r="AJ239" s="1"/>
      <c r="AK239" s="1"/>
    </row>
    <row r="240" spans="1:37" x14ac:dyDescent="0.3">
      <c r="A240" s="14">
        <v>354</v>
      </c>
      <c r="B240" s="14">
        <v>1</v>
      </c>
      <c r="C240" s="9" t="s">
        <v>0</v>
      </c>
      <c r="D240" s="9" t="s">
        <v>1208</v>
      </c>
      <c r="E240" s="9" t="s">
        <v>1251</v>
      </c>
      <c r="F240" s="9" t="s">
        <v>1252</v>
      </c>
      <c r="G240" s="9">
        <v>1</v>
      </c>
      <c r="H240" s="9"/>
      <c r="I240" s="9"/>
      <c r="J240" s="9"/>
      <c r="K240" s="9" t="b">
        <v>1</v>
      </c>
      <c r="L240" s="9" t="s">
        <v>7</v>
      </c>
      <c r="M240" s="9" t="b">
        <v>0</v>
      </c>
      <c r="N240" s="9" t="s">
        <v>1253</v>
      </c>
      <c r="O240" s="9" t="s">
        <v>3530</v>
      </c>
      <c r="P240" s="7">
        <v>1590</v>
      </c>
      <c r="Q240" s="7">
        <v>1318</v>
      </c>
      <c r="R240" s="7">
        <v>1205</v>
      </c>
      <c r="S240" s="7">
        <v>345</v>
      </c>
      <c r="T240" s="8">
        <v>4.4000000000000004</v>
      </c>
      <c r="U240" s="8">
        <v>3.1</v>
      </c>
      <c r="V240" s="17">
        <v>3.1</v>
      </c>
      <c r="AD240" s="1"/>
      <c r="AE240" s="3"/>
      <c r="AF240" s="3"/>
      <c r="AG240" s="3"/>
      <c r="AH240" s="3"/>
      <c r="AI240" s="3"/>
      <c r="AJ240" s="1"/>
      <c r="AK240" s="1"/>
    </row>
    <row r="241" spans="1:37" x14ac:dyDescent="0.3">
      <c r="A241" s="14">
        <v>21</v>
      </c>
      <c r="B241" s="14">
        <v>1</v>
      </c>
      <c r="C241" s="9" t="s">
        <v>0</v>
      </c>
      <c r="D241" s="9" t="s">
        <v>1</v>
      </c>
      <c r="E241" s="9" t="s">
        <v>75</v>
      </c>
      <c r="F241" s="9" t="s">
        <v>76</v>
      </c>
      <c r="G241" s="9">
        <v>1</v>
      </c>
      <c r="H241" s="9"/>
      <c r="I241" s="9" t="s">
        <v>77</v>
      </c>
      <c r="J241" s="9"/>
      <c r="K241" s="9" t="b">
        <v>1</v>
      </c>
      <c r="L241" s="9" t="s">
        <v>7</v>
      </c>
      <c r="M241" s="9" t="b">
        <v>0</v>
      </c>
      <c r="N241" s="9" t="s">
        <v>78</v>
      </c>
      <c r="O241" s="9" t="s">
        <v>3197</v>
      </c>
      <c r="P241" s="7">
        <v>1421</v>
      </c>
      <c r="Q241" s="7">
        <v>1254</v>
      </c>
      <c r="R241" s="7">
        <v>1119</v>
      </c>
      <c r="S241" s="7">
        <v>308</v>
      </c>
      <c r="T241" s="8">
        <v>4.4000000000000004</v>
      </c>
      <c r="U241" s="8">
        <v>3.1</v>
      </c>
      <c r="V241" s="17">
        <v>3.1</v>
      </c>
      <c r="AD241" s="1"/>
      <c r="AE241" s="3"/>
      <c r="AF241" s="2"/>
      <c r="AG241" s="3"/>
      <c r="AH241" s="3"/>
      <c r="AI241" s="3"/>
      <c r="AJ241" s="1"/>
      <c r="AK241" s="1"/>
    </row>
    <row r="242" spans="1:37" x14ac:dyDescent="0.3">
      <c r="A242" s="14">
        <v>449</v>
      </c>
      <c r="B242" s="14">
        <v>2</v>
      </c>
      <c r="C242" s="9" t="s">
        <v>0</v>
      </c>
      <c r="D242" s="9" t="s">
        <v>1457</v>
      </c>
      <c r="E242" s="9" t="s">
        <v>1557</v>
      </c>
      <c r="F242" s="9" t="s">
        <v>1558</v>
      </c>
      <c r="G242" s="9">
        <v>1</v>
      </c>
      <c r="H242" s="9" t="s">
        <v>26</v>
      </c>
      <c r="I242" s="9" t="s">
        <v>110</v>
      </c>
      <c r="J242" s="9">
        <v>1</v>
      </c>
      <c r="K242" s="9" t="b">
        <v>0</v>
      </c>
      <c r="L242" s="9" t="s">
        <v>1560</v>
      </c>
      <c r="M242" s="9" t="b">
        <v>0</v>
      </c>
      <c r="N242" s="9" t="s">
        <v>1559</v>
      </c>
      <c r="O242" s="9" t="s">
        <v>3624</v>
      </c>
      <c r="P242" s="7">
        <v>1421</v>
      </c>
      <c r="Q242" s="7">
        <v>1235</v>
      </c>
      <c r="R242" s="7">
        <v>857</v>
      </c>
      <c r="S242" s="7">
        <v>306</v>
      </c>
      <c r="T242" s="8">
        <v>4.5</v>
      </c>
      <c r="U242" s="8">
        <v>3.1</v>
      </c>
      <c r="V242" s="17">
        <v>3.1</v>
      </c>
      <c r="AD242" s="1"/>
      <c r="AE242" s="3"/>
      <c r="AF242" s="2"/>
      <c r="AG242" s="2"/>
      <c r="AH242" s="2"/>
      <c r="AI242" s="3"/>
      <c r="AJ242" s="1"/>
      <c r="AK242" s="1"/>
    </row>
    <row r="243" spans="1:37" x14ac:dyDescent="0.3">
      <c r="A243" s="14">
        <v>73</v>
      </c>
      <c r="B243" s="14">
        <v>2</v>
      </c>
      <c r="C243" s="9" t="s">
        <v>0</v>
      </c>
      <c r="D243" s="9" t="s">
        <v>180</v>
      </c>
      <c r="E243" s="9" t="s">
        <v>271</v>
      </c>
      <c r="F243" s="9" t="s">
        <v>272</v>
      </c>
      <c r="G243" s="9">
        <v>1</v>
      </c>
      <c r="H243" s="9" t="s">
        <v>273</v>
      </c>
      <c r="I243" s="9"/>
      <c r="J243" s="9">
        <v>1</v>
      </c>
      <c r="K243" s="9" t="b">
        <v>0</v>
      </c>
      <c r="L243" s="9" t="s">
        <v>275</v>
      </c>
      <c r="M243" s="9" t="b">
        <v>0</v>
      </c>
      <c r="N243" s="9" t="s">
        <v>274</v>
      </c>
      <c r="O243" s="9" t="s">
        <v>3249</v>
      </c>
      <c r="P243" s="7">
        <v>1405</v>
      </c>
      <c r="Q243" s="7">
        <v>1340</v>
      </c>
      <c r="R243" s="7">
        <v>1041</v>
      </c>
      <c r="S243" s="7">
        <v>300</v>
      </c>
      <c r="T243" s="8">
        <v>3.3</v>
      </c>
      <c r="U243" s="8">
        <v>3.1</v>
      </c>
      <c r="V243" s="17">
        <v>3.1</v>
      </c>
      <c r="AD243" s="1"/>
      <c r="AE243" s="3"/>
      <c r="AF243" s="2"/>
      <c r="AG243" s="2"/>
      <c r="AH243" s="3"/>
      <c r="AI243" s="3"/>
      <c r="AJ243" s="1"/>
      <c r="AK243" s="1"/>
    </row>
    <row r="244" spans="1:37" x14ac:dyDescent="0.3">
      <c r="A244" s="14">
        <v>363</v>
      </c>
      <c r="B244" s="14">
        <v>1</v>
      </c>
      <c r="C244" s="9" t="s">
        <v>0</v>
      </c>
      <c r="D244" s="9" t="s">
        <v>1208</v>
      </c>
      <c r="E244" s="9" t="s">
        <v>1277</v>
      </c>
      <c r="F244" s="9" t="s">
        <v>1278</v>
      </c>
      <c r="G244" s="9">
        <v>1</v>
      </c>
      <c r="H244" s="9"/>
      <c r="I244" s="9" t="s">
        <v>312</v>
      </c>
      <c r="J244" s="9"/>
      <c r="K244" s="9" t="b">
        <v>0</v>
      </c>
      <c r="L244" s="9" t="s">
        <v>7</v>
      </c>
      <c r="M244" s="9" t="b">
        <v>0</v>
      </c>
      <c r="N244" s="9" t="s">
        <v>1279</v>
      </c>
      <c r="O244" s="9" t="s">
        <v>3539</v>
      </c>
      <c r="P244" s="7">
        <v>1386</v>
      </c>
      <c r="Q244" s="7">
        <v>1347</v>
      </c>
      <c r="R244" s="7">
        <v>1166</v>
      </c>
      <c r="S244" s="7">
        <v>299</v>
      </c>
      <c r="T244" s="8">
        <v>2.5</v>
      </c>
      <c r="U244" s="8">
        <v>3.1</v>
      </c>
      <c r="V244" s="17">
        <v>3.1</v>
      </c>
      <c r="AD244" s="1"/>
      <c r="AE244" s="3"/>
      <c r="AF244" s="2"/>
      <c r="AG244" s="2"/>
      <c r="AH244" s="2"/>
      <c r="AI244" s="3"/>
      <c r="AJ244" s="1"/>
      <c r="AK244" s="1"/>
    </row>
    <row r="245" spans="1:37" x14ac:dyDescent="0.3">
      <c r="A245" s="14">
        <v>228</v>
      </c>
      <c r="B245" s="14">
        <v>3</v>
      </c>
      <c r="C245" s="9" t="s">
        <v>0</v>
      </c>
      <c r="D245" s="9" t="s">
        <v>411</v>
      </c>
      <c r="E245" s="9" t="s">
        <v>836</v>
      </c>
      <c r="F245" s="9" t="s">
        <v>837</v>
      </c>
      <c r="G245" s="9">
        <v>1</v>
      </c>
      <c r="H245" s="9" t="s">
        <v>26</v>
      </c>
      <c r="I245" s="9"/>
      <c r="J245" s="9"/>
      <c r="K245" s="9" t="b">
        <v>0</v>
      </c>
      <c r="L245" s="9" t="s">
        <v>194</v>
      </c>
      <c r="M245" s="9" t="b">
        <v>0</v>
      </c>
      <c r="N245" s="9" t="s">
        <v>838</v>
      </c>
      <c r="O245" s="9" t="s">
        <v>3404</v>
      </c>
      <c r="P245" s="7">
        <v>1286</v>
      </c>
      <c r="Q245" s="7">
        <v>1163</v>
      </c>
      <c r="R245" s="7">
        <v>980</v>
      </c>
      <c r="S245" s="7">
        <v>279</v>
      </c>
      <c r="T245" s="8">
        <v>3.4</v>
      </c>
      <c r="U245" s="8">
        <v>3.1</v>
      </c>
      <c r="V245" s="17">
        <v>3.1</v>
      </c>
      <c r="AD245" s="1"/>
      <c r="AE245" s="3"/>
      <c r="AF245" s="2"/>
      <c r="AG245" s="3"/>
      <c r="AH245" s="3"/>
      <c r="AI245" s="3"/>
      <c r="AJ245" s="1"/>
      <c r="AK245" s="1"/>
    </row>
    <row r="246" spans="1:37" x14ac:dyDescent="0.3">
      <c r="A246" s="14">
        <v>238</v>
      </c>
      <c r="B246" s="14">
        <v>3</v>
      </c>
      <c r="C246" s="9" t="s">
        <v>0</v>
      </c>
      <c r="D246" s="9" t="s">
        <v>411</v>
      </c>
      <c r="E246" s="9" t="s">
        <v>869</v>
      </c>
      <c r="F246" s="9" t="s">
        <v>870</v>
      </c>
      <c r="G246" s="9">
        <v>1</v>
      </c>
      <c r="H246" s="9"/>
      <c r="I246" s="9" t="s">
        <v>46</v>
      </c>
      <c r="J246" s="9"/>
      <c r="K246" s="9" t="b">
        <v>0</v>
      </c>
      <c r="L246" s="9" t="s">
        <v>194</v>
      </c>
      <c r="M246" s="9" t="b">
        <v>0</v>
      </c>
      <c r="N246" s="9" t="s">
        <v>871</v>
      </c>
      <c r="O246" s="9" t="s">
        <v>3414</v>
      </c>
      <c r="P246" s="7">
        <v>1166</v>
      </c>
      <c r="Q246" s="7">
        <v>1002</v>
      </c>
      <c r="R246" s="7">
        <v>686</v>
      </c>
      <c r="S246" s="7">
        <v>251</v>
      </c>
      <c r="T246" s="8">
        <v>3.4</v>
      </c>
      <c r="U246" s="8">
        <v>3.1</v>
      </c>
      <c r="V246" s="17">
        <v>3.1</v>
      </c>
      <c r="AD246" s="1"/>
      <c r="AE246" s="3"/>
      <c r="AF246" s="2"/>
      <c r="AG246" s="2"/>
      <c r="AH246" s="2"/>
      <c r="AI246" s="3"/>
      <c r="AJ246" s="1"/>
      <c r="AK246" s="1"/>
    </row>
    <row r="247" spans="1:37" x14ac:dyDescent="0.3">
      <c r="A247" s="14">
        <v>36</v>
      </c>
      <c r="B247" s="14">
        <v>1</v>
      </c>
      <c r="C247" s="9" t="s">
        <v>0</v>
      </c>
      <c r="D247" s="9" t="s">
        <v>1</v>
      </c>
      <c r="E247" s="9" t="s">
        <v>131</v>
      </c>
      <c r="F247" s="9" t="s">
        <v>132</v>
      </c>
      <c r="G247" s="9">
        <v>1</v>
      </c>
      <c r="H247" s="9"/>
      <c r="I247" s="9" t="s">
        <v>118</v>
      </c>
      <c r="J247" s="9"/>
      <c r="K247" s="9" t="b">
        <v>0</v>
      </c>
      <c r="L247" s="9" t="s">
        <v>7</v>
      </c>
      <c r="M247" s="9" t="b">
        <v>0</v>
      </c>
      <c r="N247" s="9" t="s">
        <v>133</v>
      </c>
      <c r="O247" s="9" t="s">
        <v>3212</v>
      </c>
      <c r="P247" s="7">
        <v>1424</v>
      </c>
      <c r="Q247" s="7">
        <v>1307</v>
      </c>
      <c r="R247" s="7">
        <v>1100</v>
      </c>
      <c r="S247" s="7">
        <v>312</v>
      </c>
      <c r="T247" s="8">
        <v>3.3</v>
      </c>
      <c r="U247" s="8">
        <v>3.1</v>
      </c>
      <c r="V247" s="17">
        <v>3.1</v>
      </c>
      <c r="AD247" s="1"/>
      <c r="AE247" s="3"/>
      <c r="AF247" s="2"/>
      <c r="AG247" s="3"/>
      <c r="AH247" s="3"/>
      <c r="AI247" s="3"/>
      <c r="AJ247" s="1"/>
      <c r="AK247" s="1"/>
    </row>
    <row r="248" spans="1:37" x14ac:dyDescent="0.3">
      <c r="A248" s="14">
        <v>263</v>
      </c>
      <c r="B248" s="14">
        <v>3</v>
      </c>
      <c r="C248" s="9" t="s">
        <v>0</v>
      </c>
      <c r="D248" s="9" t="s">
        <v>411</v>
      </c>
      <c r="E248" s="9" t="s">
        <v>954</v>
      </c>
      <c r="F248" s="9" t="s">
        <v>955</v>
      </c>
      <c r="G248" s="9">
        <v>1</v>
      </c>
      <c r="H248" s="9"/>
      <c r="I248" s="9" t="s">
        <v>5</v>
      </c>
      <c r="J248" s="9"/>
      <c r="K248" s="9" t="b">
        <v>0</v>
      </c>
      <c r="L248" s="9" t="s">
        <v>437</v>
      </c>
      <c r="M248" s="9" t="b">
        <v>0</v>
      </c>
      <c r="N248" s="9" t="s">
        <v>956</v>
      </c>
      <c r="O248" s="9" t="s">
        <v>3439</v>
      </c>
      <c r="P248" s="7">
        <v>1005</v>
      </c>
      <c r="Q248" s="7">
        <v>969</v>
      </c>
      <c r="R248" s="7">
        <v>771</v>
      </c>
      <c r="S248" s="7">
        <v>216</v>
      </c>
      <c r="T248" s="8">
        <v>3.3</v>
      </c>
      <c r="U248" s="8">
        <v>3.1</v>
      </c>
      <c r="V248" s="17">
        <v>3.1</v>
      </c>
      <c r="AD248" s="1"/>
      <c r="AE248" s="3"/>
      <c r="AF248" s="2"/>
      <c r="AG248" s="3"/>
      <c r="AH248" s="3"/>
      <c r="AI248" s="3"/>
      <c r="AJ248" s="1"/>
      <c r="AK248" s="1"/>
    </row>
    <row r="249" spans="1:37" x14ac:dyDescent="0.3">
      <c r="A249" s="14">
        <v>373</v>
      </c>
      <c r="B249" s="14">
        <v>1</v>
      </c>
      <c r="C249" s="9" t="s">
        <v>0</v>
      </c>
      <c r="D249" s="9" t="s">
        <v>1208</v>
      </c>
      <c r="E249" s="9" t="s">
        <v>1311</v>
      </c>
      <c r="F249" s="9" t="s">
        <v>1312</v>
      </c>
      <c r="G249" s="9">
        <v>1</v>
      </c>
      <c r="H249" s="9" t="s">
        <v>456</v>
      </c>
      <c r="I249" s="9" t="s">
        <v>22</v>
      </c>
      <c r="J249" s="9">
        <v>1</v>
      </c>
      <c r="K249" s="9" t="b">
        <v>0</v>
      </c>
      <c r="L249" s="9" t="s">
        <v>7</v>
      </c>
      <c r="M249" s="9" t="b">
        <v>0</v>
      </c>
      <c r="N249" s="9" t="s">
        <v>1313</v>
      </c>
      <c r="O249" s="9" t="s">
        <v>3549</v>
      </c>
      <c r="P249" s="7">
        <v>1429</v>
      </c>
      <c r="Q249" s="7">
        <v>1405</v>
      </c>
      <c r="R249" s="7">
        <v>1032</v>
      </c>
      <c r="S249" s="7">
        <v>311</v>
      </c>
      <c r="T249" s="8">
        <v>2.2999999999999998</v>
      </c>
      <c r="U249" s="8">
        <v>3.1</v>
      </c>
      <c r="V249" s="17">
        <v>3.1</v>
      </c>
      <c r="AD249" s="1"/>
      <c r="AE249" s="3"/>
      <c r="AF249" s="3"/>
      <c r="AG249" s="3"/>
      <c r="AH249" s="3"/>
      <c r="AI249" s="3"/>
      <c r="AJ249" s="1"/>
      <c r="AK249" s="1"/>
    </row>
    <row r="250" spans="1:37" x14ac:dyDescent="0.3">
      <c r="A250" s="14">
        <v>330</v>
      </c>
      <c r="B250" s="14">
        <v>1</v>
      </c>
      <c r="C250" s="9" t="s">
        <v>0</v>
      </c>
      <c r="D250" s="9" t="s">
        <v>1077</v>
      </c>
      <c r="E250" s="9" t="s">
        <v>1170</v>
      </c>
      <c r="F250" s="9" t="s">
        <v>1171</v>
      </c>
      <c r="G250" s="9">
        <v>1</v>
      </c>
      <c r="H250" s="9" t="s">
        <v>84</v>
      </c>
      <c r="I250" s="9" t="s">
        <v>22</v>
      </c>
      <c r="J250" s="9">
        <v>1</v>
      </c>
      <c r="K250" s="9" t="b">
        <v>0</v>
      </c>
      <c r="L250" s="9" t="s">
        <v>7</v>
      </c>
      <c r="M250" s="9" t="b">
        <v>0</v>
      </c>
      <c r="N250" s="9" t="s">
        <v>1172</v>
      </c>
      <c r="O250" s="9" t="s">
        <v>3506</v>
      </c>
      <c r="P250" s="7">
        <v>1475</v>
      </c>
      <c r="Q250" s="7">
        <v>1419</v>
      </c>
      <c r="R250" s="7">
        <v>1230</v>
      </c>
      <c r="S250" s="7">
        <v>321</v>
      </c>
      <c r="T250" s="8">
        <v>2.6</v>
      </c>
      <c r="U250" s="8">
        <v>3.1</v>
      </c>
      <c r="V250" s="17">
        <v>3.1</v>
      </c>
      <c r="AD250" s="1"/>
      <c r="AE250" s="3"/>
      <c r="AF250" s="2"/>
      <c r="AG250" s="2"/>
      <c r="AH250" s="2"/>
      <c r="AI250" s="3"/>
      <c r="AJ250" s="1"/>
      <c r="AK250" s="1"/>
    </row>
    <row r="251" spans="1:37" x14ac:dyDescent="0.3">
      <c r="A251" s="14">
        <v>100</v>
      </c>
      <c r="B251" s="14">
        <v>2</v>
      </c>
      <c r="C251" s="9" t="s">
        <v>0</v>
      </c>
      <c r="D251" s="9" t="s">
        <v>180</v>
      </c>
      <c r="E251" s="9" t="s">
        <v>376</v>
      </c>
      <c r="F251" s="9" t="s">
        <v>377</v>
      </c>
      <c r="G251" s="9">
        <v>1</v>
      </c>
      <c r="H251" s="9" t="s">
        <v>10</v>
      </c>
      <c r="I251" s="9" t="s">
        <v>171</v>
      </c>
      <c r="J251" s="9">
        <v>1</v>
      </c>
      <c r="K251" s="9" t="b">
        <v>0</v>
      </c>
      <c r="L251" s="9" t="s">
        <v>194</v>
      </c>
      <c r="M251" s="9" t="b">
        <v>1</v>
      </c>
      <c r="N251" s="9" t="s">
        <v>378</v>
      </c>
      <c r="O251" s="9" t="s">
        <v>3276</v>
      </c>
      <c r="P251" s="7">
        <v>1370</v>
      </c>
      <c r="Q251" s="7">
        <v>1273</v>
      </c>
      <c r="R251" s="7">
        <v>887</v>
      </c>
      <c r="S251" s="7">
        <v>299</v>
      </c>
      <c r="T251" s="8">
        <v>3.6</v>
      </c>
      <c r="U251" s="8">
        <v>3.1</v>
      </c>
      <c r="V251" s="17">
        <v>3.1</v>
      </c>
      <c r="AD251" s="1"/>
      <c r="AE251" s="3"/>
      <c r="AF251" s="2"/>
      <c r="AG251" s="2"/>
      <c r="AH251" s="3"/>
      <c r="AI251" s="3"/>
      <c r="AJ251" s="1"/>
      <c r="AK251" s="1"/>
    </row>
    <row r="252" spans="1:37" x14ac:dyDescent="0.3">
      <c r="A252" s="14">
        <v>635</v>
      </c>
      <c r="B252" s="14">
        <v>3</v>
      </c>
      <c r="C252" s="9" t="s">
        <v>1659</v>
      </c>
      <c r="D252" s="9" t="s">
        <v>411</v>
      </c>
      <c r="E252" s="9" t="s">
        <v>2136</v>
      </c>
      <c r="F252" s="9" t="s">
        <v>2137</v>
      </c>
      <c r="G252" s="9">
        <v>4</v>
      </c>
      <c r="H252" s="9"/>
      <c r="I252" s="9"/>
      <c r="J252" s="9"/>
      <c r="K252" s="9" t="b">
        <v>0</v>
      </c>
      <c r="L252" s="9" t="s">
        <v>416</v>
      </c>
      <c r="M252" s="9" t="b">
        <v>1</v>
      </c>
      <c r="N252" s="9" t="s">
        <v>2138</v>
      </c>
      <c r="O252" s="9" t="s">
        <v>3810</v>
      </c>
      <c r="P252" s="7">
        <v>511</v>
      </c>
      <c r="Q252" s="7">
        <v>495</v>
      </c>
      <c r="R252" s="7">
        <v>387</v>
      </c>
      <c r="S252" s="7">
        <v>109</v>
      </c>
      <c r="T252" s="8">
        <v>3.7</v>
      </c>
      <c r="U252" s="8">
        <v>3</v>
      </c>
      <c r="V252" s="17">
        <v>3</v>
      </c>
      <c r="AD252" s="1"/>
      <c r="AE252" s="3"/>
      <c r="AF252" s="3"/>
      <c r="AG252" s="3"/>
      <c r="AH252" s="3"/>
      <c r="AI252" s="3"/>
      <c r="AJ252" s="1"/>
      <c r="AK252" s="1"/>
    </row>
    <row r="253" spans="1:37" x14ac:dyDescent="0.3">
      <c r="A253" s="14">
        <v>557</v>
      </c>
      <c r="B253" s="14">
        <v>2</v>
      </c>
      <c r="C253" s="9" t="s">
        <v>1659</v>
      </c>
      <c r="D253" s="9" t="s">
        <v>180</v>
      </c>
      <c r="E253" s="9" t="s">
        <v>1891</v>
      </c>
      <c r="F253" s="9" t="s">
        <v>1892</v>
      </c>
      <c r="G253" s="9">
        <v>3</v>
      </c>
      <c r="H253" s="9"/>
      <c r="I253" s="9"/>
      <c r="J253" s="9"/>
      <c r="K253" s="9" t="b">
        <v>0</v>
      </c>
      <c r="L253" s="9" t="s">
        <v>238</v>
      </c>
      <c r="M253" s="9" t="b">
        <v>0</v>
      </c>
      <c r="N253" s="9" t="s">
        <v>1893</v>
      </c>
      <c r="O253" s="9" t="s">
        <v>3732</v>
      </c>
      <c r="P253" s="7">
        <v>1327</v>
      </c>
      <c r="Q253" s="7">
        <v>1265</v>
      </c>
      <c r="R253" s="7">
        <v>960</v>
      </c>
      <c r="S253" s="7">
        <v>275</v>
      </c>
      <c r="T253" s="8">
        <v>2.8</v>
      </c>
      <c r="U253" s="8">
        <v>3</v>
      </c>
      <c r="V253" s="17">
        <v>3</v>
      </c>
      <c r="AD253" s="1"/>
      <c r="AE253" s="3"/>
      <c r="AF253" s="2"/>
      <c r="AG253" s="2"/>
      <c r="AH253" s="3"/>
      <c r="AI253" s="3"/>
      <c r="AJ253" s="1"/>
      <c r="AK253" s="1"/>
    </row>
    <row r="254" spans="1:37" x14ac:dyDescent="0.3">
      <c r="A254" s="14">
        <v>837</v>
      </c>
      <c r="B254" s="14">
        <v>1</v>
      </c>
      <c r="C254" s="9" t="s">
        <v>1659</v>
      </c>
      <c r="D254" s="9" t="s">
        <v>1208</v>
      </c>
      <c r="E254" s="9" t="s">
        <v>2755</v>
      </c>
      <c r="F254" s="9" t="s">
        <v>2756</v>
      </c>
      <c r="G254" s="9">
        <v>4</v>
      </c>
      <c r="H254" s="9"/>
      <c r="I254" s="9"/>
      <c r="J254" s="9"/>
      <c r="K254" s="9" t="b">
        <v>0</v>
      </c>
      <c r="L254" s="9" t="s">
        <v>7</v>
      </c>
      <c r="M254" s="9" t="b">
        <v>0</v>
      </c>
      <c r="N254" s="9" t="s">
        <v>2757</v>
      </c>
      <c r="O254" s="9" t="s">
        <v>4012</v>
      </c>
      <c r="P254" s="7">
        <v>1357</v>
      </c>
      <c r="Q254" s="7">
        <v>1262</v>
      </c>
      <c r="R254" s="7">
        <v>919</v>
      </c>
      <c r="S254" s="7">
        <v>283</v>
      </c>
      <c r="T254" s="8">
        <v>4.3</v>
      </c>
      <c r="U254" s="8">
        <v>3</v>
      </c>
      <c r="V254" s="17">
        <v>3</v>
      </c>
      <c r="AD254" s="1"/>
      <c r="AE254" s="3"/>
      <c r="AF254" s="2"/>
      <c r="AG254" s="2"/>
      <c r="AH254" s="3"/>
      <c r="AI254" s="3"/>
      <c r="AJ254" s="1"/>
      <c r="AK254" s="1"/>
    </row>
    <row r="255" spans="1:37" x14ac:dyDescent="0.3">
      <c r="A255" s="14">
        <v>649</v>
      </c>
      <c r="B255" s="14">
        <v>3</v>
      </c>
      <c r="C255" s="9" t="s">
        <v>1659</v>
      </c>
      <c r="D255" s="9" t="s">
        <v>411</v>
      </c>
      <c r="E255" s="9" t="s">
        <v>2180</v>
      </c>
      <c r="F255" s="9" t="s">
        <v>2181</v>
      </c>
      <c r="G255" s="9">
        <v>4</v>
      </c>
      <c r="H255" s="9"/>
      <c r="I255" s="9"/>
      <c r="J255" s="9"/>
      <c r="K255" s="9" t="b">
        <v>0</v>
      </c>
      <c r="L255" s="9" t="s">
        <v>416</v>
      </c>
      <c r="M255" s="9" t="b">
        <v>0</v>
      </c>
      <c r="N255" s="9" t="s">
        <v>2182</v>
      </c>
      <c r="O255" s="9" t="s">
        <v>3824</v>
      </c>
      <c r="P255" s="7">
        <v>1185</v>
      </c>
      <c r="Q255" s="7">
        <v>1145</v>
      </c>
      <c r="R255" s="7">
        <v>929</v>
      </c>
      <c r="S255" s="7">
        <v>248</v>
      </c>
      <c r="T255" s="8">
        <v>4.0999999999999996</v>
      </c>
      <c r="U255" s="8">
        <v>3</v>
      </c>
      <c r="V255" s="17">
        <v>3</v>
      </c>
      <c r="AD255" s="1"/>
      <c r="AE255" s="3"/>
      <c r="AF255" s="2"/>
      <c r="AG255" s="3"/>
      <c r="AH255" s="3"/>
      <c r="AI255" s="3"/>
      <c r="AJ255" s="1"/>
      <c r="AK255" s="1"/>
    </row>
    <row r="256" spans="1:37" x14ac:dyDescent="0.3">
      <c r="A256" s="14">
        <v>650</v>
      </c>
      <c r="B256" s="14">
        <v>3</v>
      </c>
      <c r="C256" s="9" t="s">
        <v>1659</v>
      </c>
      <c r="D256" s="9" t="s">
        <v>411</v>
      </c>
      <c r="E256" s="9" t="s">
        <v>2183</v>
      </c>
      <c r="F256" s="9" t="s">
        <v>2184</v>
      </c>
      <c r="G256" s="9">
        <v>3</v>
      </c>
      <c r="H256" s="9"/>
      <c r="I256" s="9"/>
      <c r="J256" s="9"/>
      <c r="K256" s="9" t="b">
        <v>0</v>
      </c>
      <c r="L256" s="9" t="s">
        <v>2186</v>
      </c>
      <c r="M256" s="9" t="b">
        <v>0</v>
      </c>
      <c r="N256" s="9" t="s">
        <v>2185</v>
      </c>
      <c r="O256" s="9" t="s">
        <v>3825</v>
      </c>
      <c r="P256" s="7">
        <v>1332</v>
      </c>
      <c r="Q256" s="7">
        <v>1248</v>
      </c>
      <c r="R256" s="7">
        <v>736</v>
      </c>
      <c r="S256" s="7">
        <v>282</v>
      </c>
      <c r="T256" s="8">
        <v>3.3</v>
      </c>
      <c r="U256" s="8">
        <v>3</v>
      </c>
      <c r="V256" s="17">
        <v>3</v>
      </c>
      <c r="AD256" s="1"/>
      <c r="AE256" s="3"/>
      <c r="AF256" s="3"/>
      <c r="AG256" s="3"/>
      <c r="AH256" s="3"/>
      <c r="AI256" s="3"/>
      <c r="AJ256" s="1"/>
      <c r="AK256" s="1"/>
    </row>
    <row r="257" spans="1:37" x14ac:dyDescent="0.3">
      <c r="A257" s="14">
        <v>577</v>
      </c>
      <c r="B257" s="14">
        <v>2</v>
      </c>
      <c r="C257" s="9" t="s">
        <v>1659</v>
      </c>
      <c r="D257" s="9" t="s">
        <v>180</v>
      </c>
      <c r="E257" s="9" t="s">
        <v>1954</v>
      </c>
      <c r="F257" s="9" t="s">
        <v>1955</v>
      </c>
      <c r="G257" s="9">
        <v>1</v>
      </c>
      <c r="H257" s="9"/>
      <c r="I257" s="9"/>
      <c r="J257" s="9"/>
      <c r="K257" s="9" t="b">
        <v>0</v>
      </c>
      <c r="L257" s="9"/>
      <c r="M257" s="9" t="b">
        <v>0</v>
      </c>
      <c r="N257" s="9" t="s">
        <v>1956</v>
      </c>
      <c r="O257" s="9" t="s">
        <v>3752</v>
      </c>
      <c r="P257" s="7">
        <v>1478</v>
      </c>
      <c r="Q257" s="7">
        <v>1395</v>
      </c>
      <c r="R257" s="7">
        <v>1156</v>
      </c>
      <c r="S257" s="7">
        <v>313</v>
      </c>
      <c r="T257" s="8">
        <v>2.9</v>
      </c>
      <c r="U257" s="8">
        <v>3</v>
      </c>
      <c r="V257" s="17">
        <v>3</v>
      </c>
      <c r="AD257" s="1"/>
      <c r="AE257" s="3"/>
      <c r="AF257" s="2"/>
      <c r="AG257" s="2"/>
      <c r="AH257" s="3"/>
      <c r="AI257" s="3"/>
      <c r="AJ257" s="1"/>
      <c r="AK257" s="1"/>
    </row>
    <row r="258" spans="1:37" x14ac:dyDescent="0.3">
      <c r="A258" s="14">
        <v>720</v>
      </c>
      <c r="B258" s="14">
        <v>3</v>
      </c>
      <c r="C258" s="9" t="s">
        <v>1659</v>
      </c>
      <c r="D258" s="9" t="s">
        <v>411</v>
      </c>
      <c r="E258" s="9" t="s">
        <v>2400</v>
      </c>
      <c r="F258" s="9" t="s">
        <v>2401</v>
      </c>
      <c r="G258" s="9">
        <v>1</v>
      </c>
      <c r="H258" s="9"/>
      <c r="I258" s="9"/>
      <c r="J258" s="9"/>
      <c r="K258" s="9" t="b">
        <v>0</v>
      </c>
      <c r="L258" s="9" t="s">
        <v>416</v>
      </c>
      <c r="M258" s="9" t="b">
        <v>0</v>
      </c>
      <c r="N258" s="9" t="s">
        <v>2402</v>
      </c>
      <c r="O258" s="9" t="s">
        <v>3895</v>
      </c>
      <c r="P258" s="7">
        <v>883</v>
      </c>
      <c r="Q258" s="7">
        <v>785</v>
      </c>
      <c r="R258" s="7">
        <v>570</v>
      </c>
      <c r="S258" s="7">
        <v>185</v>
      </c>
      <c r="T258" s="8">
        <v>4</v>
      </c>
      <c r="U258" s="8">
        <v>3</v>
      </c>
      <c r="V258" s="17">
        <v>3</v>
      </c>
      <c r="AD258" s="1"/>
      <c r="AE258" s="3"/>
      <c r="AF258" s="2"/>
      <c r="AG258" s="2"/>
      <c r="AH258" s="3"/>
      <c r="AI258" s="3"/>
      <c r="AJ258" s="1"/>
      <c r="AK258" s="1"/>
    </row>
    <row r="259" spans="1:37" x14ac:dyDescent="0.3">
      <c r="A259" s="14">
        <v>731</v>
      </c>
      <c r="B259" s="14">
        <v>3</v>
      </c>
      <c r="C259" s="9" t="s">
        <v>1659</v>
      </c>
      <c r="D259" s="9" t="s">
        <v>411</v>
      </c>
      <c r="E259" s="9" t="s">
        <v>2433</v>
      </c>
      <c r="F259" s="9" t="s">
        <v>2434</v>
      </c>
      <c r="G259" s="9">
        <v>3</v>
      </c>
      <c r="H259" s="9"/>
      <c r="I259" s="9"/>
      <c r="J259" s="9"/>
      <c r="K259" s="9" t="b">
        <v>0</v>
      </c>
      <c r="L259" s="9" t="s">
        <v>497</v>
      </c>
      <c r="M259" s="9" t="b">
        <v>1</v>
      </c>
      <c r="N259" s="9" t="s">
        <v>2435</v>
      </c>
      <c r="O259" s="9" t="s">
        <v>3906</v>
      </c>
      <c r="P259" s="7">
        <v>1202</v>
      </c>
      <c r="Q259" s="7">
        <v>1094</v>
      </c>
      <c r="R259" s="7">
        <v>839</v>
      </c>
      <c r="S259" s="7">
        <v>249</v>
      </c>
      <c r="T259" s="8">
        <v>3.8</v>
      </c>
      <c r="U259" s="8">
        <v>3</v>
      </c>
      <c r="V259" s="17">
        <v>3</v>
      </c>
      <c r="AD259" s="1"/>
      <c r="AE259" s="3"/>
      <c r="AF259" s="2"/>
      <c r="AG259" s="2"/>
      <c r="AH259" s="3"/>
      <c r="AI259" s="3"/>
      <c r="AJ259" s="1"/>
      <c r="AK259" s="1"/>
    </row>
    <row r="260" spans="1:37" x14ac:dyDescent="0.3">
      <c r="A260" s="14">
        <v>737</v>
      </c>
      <c r="B260" s="14">
        <v>3</v>
      </c>
      <c r="C260" s="9" t="s">
        <v>1659</v>
      </c>
      <c r="D260" s="9" t="s">
        <v>411</v>
      </c>
      <c r="E260" s="9" t="s">
        <v>2452</v>
      </c>
      <c r="F260" s="9" t="s">
        <v>2453</v>
      </c>
      <c r="G260" s="9">
        <v>1</v>
      </c>
      <c r="H260" s="9"/>
      <c r="I260" s="9"/>
      <c r="J260" s="9"/>
      <c r="K260" s="9" t="b">
        <v>0</v>
      </c>
      <c r="L260" s="9" t="s">
        <v>420</v>
      </c>
      <c r="M260" s="9" t="b">
        <v>0</v>
      </c>
      <c r="N260" s="9" t="s">
        <v>2454</v>
      </c>
      <c r="O260" s="9" t="s">
        <v>3912</v>
      </c>
      <c r="P260" s="7">
        <v>1225</v>
      </c>
      <c r="Q260" s="7">
        <v>1125</v>
      </c>
      <c r="R260" s="7">
        <v>760</v>
      </c>
      <c r="S260" s="7">
        <v>254</v>
      </c>
      <c r="T260" s="8">
        <v>4.4000000000000004</v>
      </c>
      <c r="U260" s="8">
        <v>3</v>
      </c>
      <c r="V260" s="17">
        <v>3</v>
      </c>
      <c r="AD260" s="1"/>
      <c r="AE260" s="3"/>
      <c r="AF260" s="3"/>
      <c r="AG260" s="3"/>
      <c r="AH260" s="3"/>
      <c r="AI260" s="3"/>
      <c r="AJ260" s="1"/>
      <c r="AK260" s="1"/>
    </row>
    <row r="261" spans="1:37" x14ac:dyDescent="0.3">
      <c r="A261" s="14">
        <v>855</v>
      </c>
      <c r="B261" s="14">
        <v>1</v>
      </c>
      <c r="C261" s="9" t="s">
        <v>1659</v>
      </c>
      <c r="D261" s="9" t="s">
        <v>1208</v>
      </c>
      <c r="E261" s="9" t="s">
        <v>2809</v>
      </c>
      <c r="F261" s="9" t="s">
        <v>2810</v>
      </c>
      <c r="G261" s="9">
        <v>1</v>
      </c>
      <c r="H261" s="9"/>
      <c r="I261" s="9"/>
      <c r="J261" s="9"/>
      <c r="K261" s="9" t="b">
        <v>0</v>
      </c>
      <c r="L261" s="9" t="s">
        <v>7</v>
      </c>
      <c r="M261" s="9" t="b">
        <v>0</v>
      </c>
      <c r="N261" s="9" t="s">
        <v>2811</v>
      </c>
      <c r="O261" s="9" t="s">
        <v>4030</v>
      </c>
      <c r="P261" s="7">
        <v>1353</v>
      </c>
      <c r="Q261" s="7">
        <v>1278</v>
      </c>
      <c r="R261" s="7">
        <v>1067</v>
      </c>
      <c r="S261" s="7">
        <v>283</v>
      </c>
      <c r="T261" s="8">
        <v>3.8</v>
      </c>
      <c r="U261" s="8">
        <v>3</v>
      </c>
      <c r="V261" s="17">
        <v>3</v>
      </c>
      <c r="AD261" s="1"/>
      <c r="AE261" s="3"/>
      <c r="AF261" s="2"/>
      <c r="AG261" s="2"/>
      <c r="AH261" s="3"/>
      <c r="AI261" s="3"/>
      <c r="AJ261" s="1"/>
      <c r="AK261" s="1"/>
    </row>
    <row r="262" spans="1:37" x14ac:dyDescent="0.3">
      <c r="A262" s="14">
        <v>752</v>
      </c>
      <c r="B262" s="14">
        <v>3</v>
      </c>
      <c r="C262" s="9" t="s">
        <v>1659</v>
      </c>
      <c r="D262" s="9" t="s">
        <v>411</v>
      </c>
      <c r="E262" s="9" t="s">
        <v>2498</v>
      </c>
      <c r="F262" s="9" t="s">
        <v>2499</v>
      </c>
      <c r="G262" s="9">
        <v>3</v>
      </c>
      <c r="H262" s="9"/>
      <c r="I262" s="9"/>
      <c r="J262" s="9"/>
      <c r="K262" s="9" t="b">
        <v>0</v>
      </c>
      <c r="L262" s="9" t="s">
        <v>2500</v>
      </c>
      <c r="M262" s="9" t="b">
        <v>1</v>
      </c>
      <c r="N262" s="9" t="s">
        <v>1286</v>
      </c>
      <c r="O262" s="9" t="s">
        <v>3927</v>
      </c>
      <c r="P262" s="7">
        <v>1303</v>
      </c>
      <c r="Q262" s="7">
        <v>1200</v>
      </c>
      <c r="R262" s="7">
        <v>905</v>
      </c>
      <c r="S262" s="7">
        <v>271</v>
      </c>
      <c r="T262" s="8">
        <v>3.3</v>
      </c>
      <c r="U262" s="8">
        <v>3</v>
      </c>
      <c r="V262" s="17">
        <v>3</v>
      </c>
      <c r="AD262" s="1"/>
      <c r="AE262" s="3"/>
      <c r="AF262" s="2"/>
      <c r="AG262" s="3"/>
      <c r="AH262" s="3"/>
      <c r="AI262" s="3"/>
      <c r="AJ262" s="1"/>
      <c r="AK262" s="1"/>
    </row>
    <row r="263" spans="1:37" x14ac:dyDescent="0.3">
      <c r="A263" s="14">
        <v>757</v>
      </c>
      <c r="B263" s="14">
        <v>3</v>
      </c>
      <c r="C263" s="9" t="s">
        <v>1659</v>
      </c>
      <c r="D263" s="9" t="s">
        <v>411</v>
      </c>
      <c r="E263" s="9" t="s">
        <v>2514</v>
      </c>
      <c r="F263" s="10" t="s">
        <v>2515</v>
      </c>
      <c r="G263" s="9">
        <v>1</v>
      </c>
      <c r="H263" s="9"/>
      <c r="I263" s="9"/>
      <c r="J263" s="9"/>
      <c r="K263" s="9" t="b">
        <v>0</v>
      </c>
      <c r="L263" s="9" t="s">
        <v>699</v>
      </c>
      <c r="M263" s="9" t="b">
        <v>0</v>
      </c>
      <c r="N263" s="9" t="s">
        <v>2516</v>
      </c>
      <c r="O263" s="9" t="s">
        <v>3932</v>
      </c>
      <c r="P263" s="7">
        <v>1048</v>
      </c>
      <c r="Q263" s="7">
        <v>1016</v>
      </c>
      <c r="R263" s="7">
        <v>798</v>
      </c>
      <c r="S263" s="7">
        <v>219</v>
      </c>
      <c r="T263" s="8">
        <v>3.7</v>
      </c>
      <c r="U263" s="8">
        <v>3</v>
      </c>
      <c r="V263" s="17">
        <v>3</v>
      </c>
      <c r="AD263" s="1"/>
      <c r="AE263" s="3"/>
      <c r="AF263" s="2"/>
      <c r="AG263" s="3"/>
      <c r="AH263" s="3"/>
      <c r="AI263" s="3"/>
      <c r="AJ263" s="1"/>
      <c r="AK263" s="1"/>
    </row>
    <row r="264" spans="1:37" x14ac:dyDescent="0.3">
      <c r="A264" s="14">
        <v>766</v>
      </c>
      <c r="B264" s="14">
        <v>3</v>
      </c>
      <c r="C264" s="9" t="s">
        <v>1659</v>
      </c>
      <c r="D264" s="9" t="s">
        <v>411</v>
      </c>
      <c r="E264" s="9" t="s">
        <v>2541</v>
      </c>
      <c r="F264" s="9" t="s">
        <v>2542</v>
      </c>
      <c r="G264" s="9">
        <v>4</v>
      </c>
      <c r="H264" s="9"/>
      <c r="I264" s="9"/>
      <c r="J264" s="9"/>
      <c r="K264" s="9" t="b">
        <v>0</v>
      </c>
      <c r="L264" s="9" t="s">
        <v>416</v>
      </c>
      <c r="M264" s="9" t="b">
        <v>0</v>
      </c>
      <c r="N264" s="9" t="s">
        <v>2543</v>
      </c>
      <c r="O264" s="9" t="s">
        <v>3941</v>
      </c>
      <c r="P264" s="7">
        <v>951</v>
      </c>
      <c r="Q264" s="7">
        <v>839</v>
      </c>
      <c r="R264" s="7">
        <v>569</v>
      </c>
      <c r="S264" s="7">
        <v>199</v>
      </c>
      <c r="T264" s="8">
        <v>4.5999999999999996</v>
      </c>
      <c r="U264" s="8">
        <v>3</v>
      </c>
      <c r="V264" s="17">
        <v>3</v>
      </c>
      <c r="AD264" s="1"/>
      <c r="AE264" s="3"/>
      <c r="AF264" s="2"/>
      <c r="AG264" s="3"/>
      <c r="AH264" s="3"/>
      <c r="AI264" s="3"/>
      <c r="AJ264" s="1"/>
      <c r="AK264" s="1"/>
    </row>
    <row r="265" spans="1:37" x14ac:dyDescent="0.3">
      <c r="A265" s="14">
        <v>778</v>
      </c>
      <c r="B265" s="14">
        <v>3</v>
      </c>
      <c r="C265" s="9" t="s">
        <v>1659</v>
      </c>
      <c r="D265" s="9" t="s">
        <v>411</v>
      </c>
      <c r="E265" s="9" t="s">
        <v>2578</v>
      </c>
      <c r="F265" s="9" t="s">
        <v>2579</v>
      </c>
      <c r="G265" s="9">
        <v>1</v>
      </c>
      <c r="H265" s="9"/>
      <c r="I265" s="9"/>
      <c r="J265" s="9"/>
      <c r="K265" s="9" t="b">
        <v>0</v>
      </c>
      <c r="L265" s="9" t="s">
        <v>497</v>
      </c>
      <c r="M265" s="9" t="b">
        <v>0</v>
      </c>
      <c r="N265" s="9" t="s">
        <v>2580</v>
      </c>
      <c r="O265" s="9" t="s">
        <v>3953</v>
      </c>
      <c r="P265" s="7">
        <v>1095</v>
      </c>
      <c r="Q265" s="7">
        <v>974</v>
      </c>
      <c r="R265" s="7">
        <v>686</v>
      </c>
      <c r="S265" s="7">
        <v>230</v>
      </c>
      <c r="T265" s="8">
        <v>4.0999999999999996</v>
      </c>
      <c r="U265" s="8">
        <v>3</v>
      </c>
      <c r="V265" s="17">
        <v>3</v>
      </c>
      <c r="AD265" s="1"/>
      <c r="AE265" s="3"/>
      <c r="AF265" s="3"/>
      <c r="AG265" s="3"/>
      <c r="AH265" s="3"/>
      <c r="AI265" s="3"/>
      <c r="AJ265" s="1"/>
      <c r="AK265" s="1"/>
    </row>
    <row r="266" spans="1:37" x14ac:dyDescent="0.3">
      <c r="A266" s="14">
        <v>827</v>
      </c>
      <c r="B266" s="14">
        <v>1</v>
      </c>
      <c r="C266" s="9" t="s">
        <v>1659</v>
      </c>
      <c r="D266" s="9" t="s">
        <v>1077</v>
      </c>
      <c r="E266" s="9" t="s">
        <v>2725</v>
      </c>
      <c r="F266" s="9" t="s">
        <v>2726</v>
      </c>
      <c r="G266" s="9">
        <v>1</v>
      </c>
      <c r="H266" s="9"/>
      <c r="I266" s="9"/>
      <c r="J266" s="9"/>
      <c r="K266" s="9" t="b">
        <v>0</v>
      </c>
      <c r="L266" s="9" t="s">
        <v>7</v>
      </c>
      <c r="M266" s="9" t="b">
        <v>0</v>
      </c>
      <c r="N266" s="9" t="s">
        <v>2727</v>
      </c>
      <c r="O266" s="9" t="s">
        <v>4002</v>
      </c>
      <c r="P266" s="7">
        <v>1241</v>
      </c>
      <c r="Q266" s="7">
        <v>1209</v>
      </c>
      <c r="R266" s="7">
        <v>930</v>
      </c>
      <c r="S266" s="7">
        <v>261</v>
      </c>
      <c r="T266" s="8">
        <v>3.1</v>
      </c>
      <c r="U266" s="8">
        <v>3</v>
      </c>
      <c r="V266" s="17">
        <v>3</v>
      </c>
      <c r="AD266" s="1"/>
      <c r="AE266" s="3"/>
      <c r="AF266" s="2"/>
      <c r="AG266" s="2"/>
      <c r="AH266" s="2"/>
      <c r="AI266" s="3"/>
      <c r="AJ266" s="1"/>
      <c r="AK266" s="1"/>
    </row>
    <row r="267" spans="1:37" x14ac:dyDescent="0.3">
      <c r="A267" s="14">
        <v>828</v>
      </c>
      <c r="B267" s="14">
        <v>1</v>
      </c>
      <c r="C267" s="9" t="s">
        <v>1659</v>
      </c>
      <c r="D267" s="9" t="s">
        <v>1077</v>
      </c>
      <c r="E267" s="9" t="s">
        <v>2728</v>
      </c>
      <c r="F267" s="9" t="s">
        <v>2729</v>
      </c>
      <c r="G267" s="9">
        <v>1</v>
      </c>
      <c r="H267" s="9"/>
      <c r="I267" s="9"/>
      <c r="J267" s="9"/>
      <c r="K267" s="9" t="b">
        <v>0</v>
      </c>
      <c r="L267" s="9" t="s">
        <v>7</v>
      </c>
      <c r="M267" s="9" t="b">
        <v>0</v>
      </c>
      <c r="N267" s="9" t="s">
        <v>2730</v>
      </c>
      <c r="O267" s="9" t="s">
        <v>4003</v>
      </c>
      <c r="P267" s="7">
        <v>1563</v>
      </c>
      <c r="Q267" s="7">
        <v>1452</v>
      </c>
      <c r="R267" s="7">
        <v>1249</v>
      </c>
      <c r="S267" s="7">
        <v>328</v>
      </c>
      <c r="T267" s="8">
        <v>3.3</v>
      </c>
      <c r="U267" s="8">
        <v>3</v>
      </c>
      <c r="V267" s="17">
        <v>3</v>
      </c>
      <c r="AD267" s="1"/>
      <c r="AE267" s="3"/>
      <c r="AF267" s="2"/>
      <c r="AG267" s="2"/>
      <c r="AH267" s="3"/>
      <c r="AI267" s="3"/>
      <c r="AJ267" s="1"/>
      <c r="AK267" s="1"/>
    </row>
    <row r="268" spans="1:37" x14ac:dyDescent="0.3">
      <c r="A268" s="14">
        <v>53</v>
      </c>
      <c r="B268" s="14">
        <v>2</v>
      </c>
      <c r="C268" s="9" t="s">
        <v>0</v>
      </c>
      <c r="D268" s="9" t="s">
        <v>180</v>
      </c>
      <c r="E268" s="9" t="s">
        <v>190</v>
      </c>
      <c r="F268" s="9" t="s">
        <v>191</v>
      </c>
      <c r="G268" s="9">
        <v>1</v>
      </c>
      <c r="H268" s="9" t="s">
        <v>192</v>
      </c>
      <c r="I268" s="9"/>
      <c r="J268" s="9">
        <v>1</v>
      </c>
      <c r="K268" s="9" t="b">
        <v>0</v>
      </c>
      <c r="L268" s="9" t="s">
        <v>194</v>
      </c>
      <c r="M268" s="9" t="b">
        <v>0</v>
      </c>
      <c r="N268" s="9" t="s">
        <v>193</v>
      </c>
      <c r="O268" s="9" t="s">
        <v>3229</v>
      </c>
      <c r="P268" s="7">
        <v>1368</v>
      </c>
      <c r="Q268" s="7">
        <v>1247</v>
      </c>
      <c r="R268" s="7">
        <v>934</v>
      </c>
      <c r="S268" s="7">
        <v>290</v>
      </c>
      <c r="T268" s="8">
        <v>4.2</v>
      </c>
      <c r="U268" s="8">
        <v>3</v>
      </c>
      <c r="V268" s="17">
        <v>3</v>
      </c>
      <c r="AD268" s="1"/>
      <c r="AE268" s="3"/>
      <c r="AF268" s="2"/>
      <c r="AG268" s="2"/>
      <c r="AH268" s="3"/>
      <c r="AI268" s="3"/>
      <c r="AJ268" s="1"/>
      <c r="AK268" s="1"/>
    </row>
    <row r="269" spans="1:37" x14ac:dyDescent="0.3">
      <c r="A269" s="14">
        <v>158</v>
      </c>
      <c r="B269" s="14">
        <v>3</v>
      </c>
      <c r="C269" s="9" t="s">
        <v>0</v>
      </c>
      <c r="D269" s="9" t="s">
        <v>411</v>
      </c>
      <c r="E269" s="9" t="s">
        <v>599</v>
      </c>
      <c r="F269" s="9" t="s">
        <v>600</v>
      </c>
      <c r="G269" s="9">
        <v>1</v>
      </c>
      <c r="H269" s="9" t="s">
        <v>84</v>
      </c>
      <c r="I269" s="9"/>
      <c r="J269" s="9"/>
      <c r="K269" s="9" t="b">
        <v>0</v>
      </c>
      <c r="L269" s="9" t="s">
        <v>437</v>
      </c>
      <c r="M269" s="9" t="b">
        <v>0</v>
      </c>
      <c r="N269" s="9" t="s">
        <v>601</v>
      </c>
      <c r="O269" s="9" t="s">
        <v>3334</v>
      </c>
      <c r="P269" s="7">
        <v>22</v>
      </c>
      <c r="Q269" s="7">
        <v>22</v>
      </c>
      <c r="R269" s="7">
        <v>19</v>
      </c>
      <c r="S269" s="7">
        <v>9</v>
      </c>
      <c r="T269" s="8">
        <v>3.1</v>
      </c>
      <c r="U269" s="18">
        <v>5.8</v>
      </c>
      <c r="V269" s="19">
        <v>3</v>
      </c>
      <c r="W269" s="23" t="s">
        <v>4175</v>
      </c>
      <c r="AD269" s="1"/>
      <c r="AE269" s="3"/>
      <c r="AF269" s="2"/>
      <c r="AG269" s="2"/>
      <c r="AH269" s="3"/>
      <c r="AI269" s="3"/>
      <c r="AJ269" s="1"/>
      <c r="AK269" s="1"/>
    </row>
    <row r="270" spans="1:37" x14ac:dyDescent="0.3">
      <c r="A270" s="14">
        <v>181</v>
      </c>
      <c r="B270" s="14">
        <v>3</v>
      </c>
      <c r="C270" s="9" t="s">
        <v>0</v>
      </c>
      <c r="D270" s="9" t="s">
        <v>411</v>
      </c>
      <c r="E270" s="9" t="s">
        <v>676</v>
      </c>
      <c r="F270" s="9" t="s">
        <v>677</v>
      </c>
      <c r="G270" s="9">
        <v>1</v>
      </c>
      <c r="H270" s="9" t="s">
        <v>456</v>
      </c>
      <c r="I270" s="9"/>
      <c r="J270" s="9">
        <v>1</v>
      </c>
      <c r="K270" s="9" t="b">
        <v>0</v>
      </c>
      <c r="L270" s="9" t="s">
        <v>309</v>
      </c>
      <c r="M270" s="9" t="b">
        <v>0</v>
      </c>
      <c r="N270" s="9" t="s">
        <v>678</v>
      </c>
      <c r="O270" s="9" t="s">
        <v>3357</v>
      </c>
      <c r="P270" s="7">
        <v>1249</v>
      </c>
      <c r="Q270" s="7">
        <v>1159</v>
      </c>
      <c r="R270" s="7">
        <v>793</v>
      </c>
      <c r="S270" s="7">
        <v>260</v>
      </c>
      <c r="T270" s="8">
        <v>4.2</v>
      </c>
      <c r="U270" s="8">
        <v>3</v>
      </c>
      <c r="V270" s="17">
        <v>3</v>
      </c>
      <c r="AD270" s="1"/>
      <c r="AE270" s="3"/>
      <c r="AF270" s="3"/>
      <c r="AG270" s="3"/>
      <c r="AH270" s="3"/>
      <c r="AI270" s="3"/>
      <c r="AJ270" s="1"/>
      <c r="AK270" s="1"/>
    </row>
    <row r="271" spans="1:37" x14ac:dyDescent="0.3">
      <c r="A271" s="14">
        <v>358</v>
      </c>
      <c r="B271" s="14">
        <v>1</v>
      </c>
      <c r="C271" s="9" t="s">
        <v>0</v>
      </c>
      <c r="D271" s="9" t="s">
        <v>1208</v>
      </c>
      <c r="E271" s="9" t="s">
        <v>1262</v>
      </c>
      <c r="F271" s="9" t="s">
        <v>1263</v>
      </c>
      <c r="G271" s="9">
        <v>1</v>
      </c>
      <c r="H271" s="9"/>
      <c r="I271" s="9" t="s">
        <v>702</v>
      </c>
      <c r="J271" s="9">
        <v>1</v>
      </c>
      <c r="K271" s="9" t="b">
        <v>0</v>
      </c>
      <c r="L271" s="9" t="s">
        <v>7</v>
      </c>
      <c r="M271" s="9" t="b">
        <v>0</v>
      </c>
      <c r="N271" s="9" t="s">
        <v>1264</v>
      </c>
      <c r="O271" s="9" t="s">
        <v>3534</v>
      </c>
      <c r="P271" s="7">
        <v>1569</v>
      </c>
      <c r="Q271" s="7">
        <v>1309</v>
      </c>
      <c r="R271" s="7">
        <v>1058</v>
      </c>
      <c r="S271" s="7">
        <v>327</v>
      </c>
      <c r="T271" s="8">
        <v>3.9</v>
      </c>
      <c r="U271" s="8">
        <v>3</v>
      </c>
      <c r="V271" s="17">
        <v>3</v>
      </c>
      <c r="AD271" s="1"/>
      <c r="AE271" s="3"/>
      <c r="AF271" s="3"/>
      <c r="AG271" s="3"/>
      <c r="AH271" s="3"/>
      <c r="AI271" s="3"/>
      <c r="AJ271" s="1"/>
      <c r="AK271" s="1"/>
    </row>
    <row r="272" spans="1:37" x14ac:dyDescent="0.3">
      <c r="A272" s="14">
        <v>209</v>
      </c>
      <c r="B272" s="14">
        <v>3</v>
      </c>
      <c r="C272" s="9" t="s">
        <v>0</v>
      </c>
      <c r="D272" s="9" t="s">
        <v>411</v>
      </c>
      <c r="E272" s="9" t="s">
        <v>773</v>
      </c>
      <c r="F272" s="9" t="s">
        <v>774</v>
      </c>
      <c r="G272" s="9">
        <v>1</v>
      </c>
      <c r="H272" s="9"/>
      <c r="I272" s="9" t="s">
        <v>775</v>
      </c>
      <c r="J272" s="9">
        <v>2</v>
      </c>
      <c r="K272" s="9" t="b">
        <v>0</v>
      </c>
      <c r="L272" s="9" t="s">
        <v>777</v>
      </c>
      <c r="M272" s="9" t="b">
        <v>0</v>
      </c>
      <c r="N272" s="9" t="s">
        <v>776</v>
      </c>
      <c r="O272" s="9" t="s">
        <v>3385</v>
      </c>
      <c r="P272" s="7">
        <v>1265</v>
      </c>
      <c r="Q272" s="7">
        <v>1204</v>
      </c>
      <c r="R272" s="7">
        <v>851</v>
      </c>
      <c r="S272" s="7">
        <v>264</v>
      </c>
      <c r="T272" s="8">
        <v>3.6</v>
      </c>
      <c r="U272" s="8">
        <v>3</v>
      </c>
      <c r="V272" s="17">
        <v>3</v>
      </c>
      <c r="AD272" s="1"/>
      <c r="AE272" s="3"/>
      <c r="AF272" s="3"/>
      <c r="AG272" s="3"/>
      <c r="AH272" s="3"/>
      <c r="AI272" s="3"/>
      <c r="AJ272" s="1"/>
      <c r="AK272" s="1"/>
    </row>
    <row r="273" spans="1:37" x14ac:dyDescent="0.3">
      <c r="A273" s="14">
        <v>210</v>
      </c>
      <c r="B273" s="14">
        <v>3</v>
      </c>
      <c r="C273" s="9" t="s">
        <v>0</v>
      </c>
      <c r="D273" s="9" t="s">
        <v>411</v>
      </c>
      <c r="E273" s="9" t="s">
        <v>778</v>
      </c>
      <c r="F273" s="9" t="s">
        <v>779</v>
      </c>
      <c r="G273" s="9">
        <v>1</v>
      </c>
      <c r="H273" s="9" t="s">
        <v>26</v>
      </c>
      <c r="I273" s="9"/>
      <c r="J273" s="9">
        <v>1</v>
      </c>
      <c r="K273" s="9" t="b">
        <v>0</v>
      </c>
      <c r="L273" s="9"/>
      <c r="M273" s="9" t="b">
        <v>0</v>
      </c>
      <c r="N273" s="9" t="s">
        <v>780</v>
      </c>
      <c r="O273" s="9" t="s">
        <v>3386</v>
      </c>
      <c r="P273" s="7">
        <v>42</v>
      </c>
      <c r="Q273" s="7">
        <v>40</v>
      </c>
      <c r="R273" s="7">
        <v>32</v>
      </c>
      <c r="S273" s="7">
        <v>8</v>
      </c>
      <c r="T273" s="8">
        <v>4.4000000000000004</v>
      </c>
      <c r="U273" s="18">
        <v>2.7</v>
      </c>
      <c r="V273" s="19">
        <v>3</v>
      </c>
      <c r="W273" s="23" t="s">
        <v>4181</v>
      </c>
      <c r="AD273" s="1"/>
      <c r="AE273" s="3"/>
      <c r="AF273" s="2"/>
      <c r="AG273" s="3"/>
      <c r="AH273" s="3"/>
      <c r="AI273" s="3"/>
      <c r="AJ273" s="1"/>
      <c r="AK273" s="1"/>
    </row>
    <row r="274" spans="1:37" x14ac:dyDescent="0.3">
      <c r="A274" s="14">
        <v>367</v>
      </c>
      <c r="B274" s="14">
        <v>1</v>
      </c>
      <c r="C274" s="9" t="s">
        <v>0</v>
      </c>
      <c r="D274" s="9" t="s">
        <v>1208</v>
      </c>
      <c r="E274" s="9" t="s">
        <v>1290</v>
      </c>
      <c r="F274" s="9" t="s">
        <v>1291</v>
      </c>
      <c r="G274" s="9">
        <v>1</v>
      </c>
      <c r="H274" s="9"/>
      <c r="I274" s="9" t="s">
        <v>1292</v>
      </c>
      <c r="J274" s="9"/>
      <c r="K274" s="9" t="b">
        <v>0</v>
      </c>
      <c r="L274" s="9" t="s">
        <v>7</v>
      </c>
      <c r="M274" s="9" t="b">
        <v>1</v>
      </c>
      <c r="N274" s="9" t="s">
        <v>1293</v>
      </c>
      <c r="O274" s="9" t="s">
        <v>3543</v>
      </c>
      <c r="P274" s="7">
        <v>1601</v>
      </c>
      <c r="Q274" s="7">
        <v>1469</v>
      </c>
      <c r="R274" s="7">
        <v>776</v>
      </c>
      <c r="S274" s="7">
        <v>335</v>
      </c>
      <c r="T274" s="8">
        <v>2.8</v>
      </c>
      <c r="U274" s="8">
        <v>3</v>
      </c>
      <c r="V274" s="17">
        <v>3</v>
      </c>
      <c r="AD274" s="1"/>
      <c r="AE274" s="3"/>
      <c r="AF274" s="2"/>
      <c r="AG274" s="3"/>
      <c r="AH274" s="3"/>
      <c r="AI274" s="3"/>
      <c r="AJ274" s="1"/>
      <c r="AK274" s="1"/>
    </row>
    <row r="275" spans="1:37" x14ac:dyDescent="0.3">
      <c r="A275" s="14">
        <v>222</v>
      </c>
      <c r="B275" s="14">
        <v>3</v>
      </c>
      <c r="C275" s="9" t="s">
        <v>0</v>
      </c>
      <c r="D275" s="9" t="s">
        <v>411</v>
      </c>
      <c r="E275" s="9" t="s">
        <v>817</v>
      </c>
      <c r="F275" s="9" t="s">
        <v>818</v>
      </c>
      <c r="G275" s="9">
        <v>1</v>
      </c>
      <c r="H275" s="9"/>
      <c r="I275" s="9" t="s">
        <v>22</v>
      </c>
      <c r="J275" s="9"/>
      <c r="K275" s="9" t="b">
        <v>0</v>
      </c>
      <c r="L275" s="9" t="s">
        <v>497</v>
      </c>
      <c r="M275" s="9" t="b">
        <v>0</v>
      </c>
      <c r="N275" s="9" t="s">
        <v>819</v>
      </c>
      <c r="O275" s="9" t="s">
        <v>3398</v>
      </c>
      <c r="P275" s="7">
        <v>1182</v>
      </c>
      <c r="Q275" s="7">
        <v>1058</v>
      </c>
      <c r="R275" s="7">
        <v>804</v>
      </c>
      <c r="S275" s="7">
        <v>247</v>
      </c>
      <c r="T275" s="8">
        <v>3.9</v>
      </c>
      <c r="U275" s="8">
        <v>3</v>
      </c>
      <c r="V275" s="17">
        <v>3</v>
      </c>
      <c r="AD275" s="1"/>
      <c r="AE275" s="3"/>
      <c r="AF275" s="2"/>
      <c r="AG275" s="2"/>
      <c r="AH275" s="2"/>
      <c r="AI275" s="3"/>
      <c r="AJ275" s="1"/>
      <c r="AK275" s="1"/>
    </row>
    <row r="276" spans="1:37" x14ac:dyDescent="0.3">
      <c r="A276" s="14">
        <v>243</v>
      </c>
      <c r="B276" s="14">
        <v>3</v>
      </c>
      <c r="C276" s="9" t="s">
        <v>0</v>
      </c>
      <c r="D276" s="9" t="s">
        <v>411</v>
      </c>
      <c r="E276" s="9" t="s">
        <v>885</v>
      </c>
      <c r="F276" s="9" t="s">
        <v>886</v>
      </c>
      <c r="G276" s="9">
        <v>1</v>
      </c>
      <c r="H276" s="9" t="s">
        <v>84</v>
      </c>
      <c r="I276" s="9"/>
      <c r="J276" s="9">
        <v>1</v>
      </c>
      <c r="K276" s="9" t="b">
        <v>0</v>
      </c>
      <c r="L276" s="9" t="s">
        <v>526</v>
      </c>
      <c r="M276" s="9" t="b">
        <v>0</v>
      </c>
      <c r="N276" s="9" t="s">
        <v>887</v>
      </c>
      <c r="O276" s="9" t="s">
        <v>3419</v>
      </c>
      <c r="P276" s="7">
        <v>885</v>
      </c>
      <c r="Q276" s="7">
        <v>835</v>
      </c>
      <c r="R276" s="7">
        <v>658</v>
      </c>
      <c r="S276" s="7">
        <v>184</v>
      </c>
      <c r="T276" s="8">
        <v>3.8</v>
      </c>
      <c r="U276" s="8">
        <v>3</v>
      </c>
      <c r="V276" s="17">
        <v>3</v>
      </c>
      <c r="AD276" s="1"/>
      <c r="AE276" s="3"/>
      <c r="AF276" s="2"/>
      <c r="AG276" s="2"/>
      <c r="AH276" s="3"/>
      <c r="AI276" s="3"/>
      <c r="AJ276" s="1"/>
      <c r="AK276" s="1"/>
    </row>
    <row r="277" spans="1:37" x14ac:dyDescent="0.3">
      <c r="A277" s="14">
        <v>412</v>
      </c>
      <c r="B277" s="14">
        <v>4</v>
      </c>
      <c r="C277" s="9" t="s">
        <v>0</v>
      </c>
      <c r="D277" s="9" t="s">
        <v>1394</v>
      </c>
      <c r="E277" s="9" t="s">
        <v>1433</v>
      </c>
      <c r="F277" s="9" t="s">
        <v>1434</v>
      </c>
      <c r="G277" s="9">
        <v>1</v>
      </c>
      <c r="H277" s="9"/>
      <c r="I277" s="9" t="s">
        <v>96</v>
      </c>
      <c r="J277" s="9"/>
      <c r="K277" s="9" t="b">
        <v>1</v>
      </c>
      <c r="L277" s="9"/>
      <c r="M277" s="9" t="b">
        <v>0</v>
      </c>
      <c r="N277" s="9" t="s">
        <v>1435</v>
      </c>
      <c r="O277" s="9"/>
      <c r="P277" s="7">
        <v>918</v>
      </c>
      <c r="Q277" s="7">
        <v>777</v>
      </c>
      <c r="R277" s="7">
        <v>625</v>
      </c>
      <c r="S277" s="7">
        <v>194</v>
      </c>
      <c r="T277" s="8">
        <v>5</v>
      </c>
      <c r="U277" s="8">
        <v>3</v>
      </c>
      <c r="V277" s="17">
        <v>3</v>
      </c>
      <c r="AD277" s="1"/>
      <c r="AE277" s="3"/>
      <c r="AF277" s="3"/>
      <c r="AG277" s="3"/>
      <c r="AH277" s="3"/>
      <c r="AI277" s="3"/>
      <c r="AJ277" s="1"/>
      <c r="AK277" s="1"/>
    </row>
    <row r="278" spans="1:37" x14ac:dyDescent="0.3">
      <c r="A278" s="14">
        <v>326</v>
      </c>
      <c r="B278" s="14">
        <v>1</v>
      </c>
      <c r="C278" s="9" t="s">
        <v>0</v>
      </c>
      <c r="D278" s="9" t="s">
        <v>1077</v>
      </c>
      <c r="E278" s="9" t="s">
        <v>1157</v>
      </c>
      <c r="F278" s="9" t="s">
        <v>1158</v>
      </c>
      <c r="G278" s="9">
        <v>1</v>
      </c>
      <c r="H278" s="9"/>
      <c r="I278" s="9" t="s">
        <v>22</v>
      </c>
      <c r="J278" s="9"/>
      <c r="K278" s="9" t="b">
        <v>0</v>
      </c>
      <c r="L278" s="9" t="s">
        <v>7</v>
      </c>
      <c r="M278" s="9" t="b">
        <v>1</v>
      </c>
      <c r="N278" s="9" t="s">
        <v>1159</v>
      </c>
      <c r="O278" s="9" t="s">
        <v>3502</v>
      </c>
      <c r="P278" s="7">
        <v>1354</v>
      </c>
      <c r="Q278" s="7">
        <v>1261</v>
      </c>
      <c r="R278" s="7">
        <v>894</v>
      </c>
      <c r="S278" s="7">
        <v>287</v>
      </c>
      <c r="T278" s="8">
        <v>4</v>
      </c>
      <c r="U278" s="8">
        <v>3</v>
      </c>
      <c r="V278" s="17">
        <v>3</v>
      </c>
      <c r="AD278" s="1"/>
      <c r="AE278" s="3"/>
      <c r="AF278" s="2"/>
      <c r="AG278" s="2"/>
      <c r="AH278" s="2"/>
      <c r="AI278" s="3"/>
      <c r="AJ278" s="1"/>
      <c r="AK278" s="1"/>
    </row>
    <row r="279" spans="1:37" x14ac:dyDescent="0.3">
      <c r="A279" s="14">
        <v>257</v>
      </c>
      <c r="B279" s="14">
        <v>3</v>
      </c>
      <c r="C279" s="9" t="s">
        <v>0</v>
      </c>
      <c r="D279" s="9" t="s">
        <v>411</v>
      </c>
      <c r="E279" s="9" t="s">
        <v>935</v>
      </c>
      <c r="F279" s="9" t="s">
        <v>936</v>
      </c>
      <c r="G279" s="9">
        <v>1</v>
      </c>
      <c r="H279" s="9"/>
      <c r="I279" s="9"/>
      <c r="J279" s="9"/>
      <c r="K279" s="9" t="b">
        <v>0</v>
      </c>
      <c r="L279" s="9" t="s">
        <v>223</v>
      </c>
      <c r="M279" s="9" t="b">
        <v>1</v>
      </c>
      <c r="N279" s="9" t="s">
        <v>937</v>
      </c>
      <c r="O279" s="9" t="s">
        <v>3433</v>
      </c>
      <c r="P279" s="7">
        <v>814</v>
      </c>
      <c r="Q279" s="7">
        <v>784</v>
      </c>
      <c r="R279" s="7">
        <v>557</v>
      </c>
      <c r="S279" s="7">
        <v>170</v>
      </c>
      <c r="T279" s="8">
        <v>3.6</v>
      </c>
      <c r="U279" s="8">
        <v>3</v>
      </c>
      <c r="V279" s="17">
        <v>3</v>
      </c>
      <c r="AD279" s="1"/>
      <c r="AE279" s="3"/>
      <c r="AF279" s="2"/>
      <c r="AG279" s="2"/>
      <c r="AH279" s="3"/>
      <c r="AI279" s="3"/>
      <c r="AJ279" s="1"/>
      <c r="AK279" s="1"/>
    </row>
    <row r="280" spans="1:37" x14ac:dyDescent="0.3">
      <c r="A280" s="14">
        <v>266</v>
      </c>
      <c r="B280" s="14">
        <v>3</v>
      </c>
      <c r="C280" s="9" t="s">
        <v>0</v>
      </c>
      <c r="D280" s="9" t="s">
        <v>411</v>
      </c>
      <c r="E280" s="9" t="s">
        <v>963</v>
      </c>
      <c r="F280" s="9" t="s">
        <v>964</v>
      </c>
      <c r="G280" s="9">
        <v>1</v>
      </c>
      <c r="H280" s="9"/>
      <c r="I280" s="9"/>
      <c r="J280" s="9"/>
      <c r="K280" s="9" t="b">
        <v>0</v>
      </c>
      <c r="L280" s="9" t="s">
        <v>416</v>
      </c>
      <c r="M280" s="9" t="b">
        <v>0</v>
      </c>
      <c r="N280" s="9" t="s">
        <v>965</v>
      </c>
      <c r="O280" s="9" t="s">
        <v>3442</v>
      </c>
      <c r="P280" s="7">
        <v>914</v>
      </c>
      <c r="Q280" s="7">
        <v>817</v>
      </c>
      <c r="R280" s="7">
        <v>682</v>
      </c>
      <c r="S280" s="7">
        <v>194</v>
      </c>
      <c r="T280" s="8">
        <v>4.3</v>
      </c>
      <c r="U280" s="8">
        <v>3</v>
      </c>
      <c r="V280" s="17">
        <v>3</v>
      </c>
      <c r="AD280" s="1"/>
      <c r="AE280" s="3"/>
      <c r="AF280" s="2"/>
      <c r="AG280" s="2"/>
      <c r="AH280" s="3"/>
      <c r="AI280" s="3"/>
      <c r="AJ280" s="1"/>
      <c r="AK280" s="1"/>
    </row>
    <row r="281" spans="1:37" x14ac:dyDescent="0.3">
      <c r="A281" s="14">
        <v>273</v>
      </c>
      <c r="B281" s="14">
        <v>3</v>
      </c>
      <c r="C281" s="9" t="s">
        <v>0</v>
      </c>
      <c r="D281" s="9" t="s">
        <v>411</v>
      </c>
      <c r="E281" s="9" t="s">
        <v>984</v>
      </c>
      <c r="F281" s="9" t="s">
        <v>985</v>
      </c>
      <c r="G281" s="9">
        <v>1</v>
      </c>
      <c r="H281" s="9"/>
      <c r="I281" s="9" t="s">
        <v>22</v>
      </c>
      <c r="J281" s="9"/>
      <c r="K281" s="9" t="b">
        <v>0</v>
      </c>
      <c r="L281" s="9" t="s">
        <v>223</v>
      </c>
      <c r="M281" s="9" t="b">
        <v>0</v>
      </c>
      <c r="N281" s="9" t="s">
        <v>986</v>
      </c>
      <c r="O281" s="9" t="s">
        <v>3449</v>
      </c>
      <c r="P281" s="7">
        <v>1151</v>
      </c>
      <c r="Q281" s="7">
        <v>1018</v>
      </c>
      <c r="R281" s="7">
        <v>853</v>
      </c>
      <c r="S281" s="7">
        <v>239</v>
      </c>
      <c r="T281" s="8">
        <v>4.4000000000000004</v>
      </c>
      <c r="U281" s="8">
        <v>3</v>
      </c>
      <c r="V281" s="17">
        <v>3</v>
      </c>
      <c r="AD281" s="1"/>
      <c r="AE281" s="3"/>
      <c r="AF281" s="2"/>
      <c r="AG281" s="2"/>
      <c r="AH281" s="3"/>
      <c r="AI281" s="3"/>
      <c r="AJ281" s="1"/>
      <c r="AK281" s="1"/>
    </row>
    <row r="282" spans="1:37" x14ac:dyDescent="0.3">
      <c r="A282" s="14">
        <v>474</v>
      </c>
      <c r="B282" s="14">
        <v>2</v>
      </c>
      <c r="C282" s="9" t="s">
        <v>0</v>
      </c>
      <c r="D282" s="9" t="s">
        <v>1457</v>
      </c>
      <c r="E282" s="9" t="s">
        <v>1639</v>
      </c>
      <c r="F282" s="9" t="s">
        <v>1640</v>
      </c>
      <c r="G282" s="9">
        <v>1</v>
      </c>
      <c r="H282" s="9" t="s">
        <v>684</v>
      </c>
      <c r="I282" s="9"/>
      <c r="J282" s="9">
        <v>1</v>
      </c>
      <c r="K282" s="9" t="b">
        <v>0</v>
      </c>
      <c r="L282" s="9" t="s">
        <v>369</v>
      </c>
      <c r="M282" s="9" t="b">
        <v>0</v>
      </c>
      <c r="N282" s="9" t="s">
        <v>1641</v>
      </c>
      <c r="O282" s="9" t="s">
        <v>3649</v>
      </c>
      <c r="P282" s="7">
        <v>1444</v>
      </c>
      <c r="Q282" s="7">
        <v>1102</v>
      </c>
      <c r="R282" s="7">
        <v>837</v>
      </c>
      <c r="S282" s="7">
        <v>302</v>
      </c>
      <c r="T282" s="8">
        <v>4.4000000000000004</v>
      </c>
      <c r="U282" s="8">
        <v>3</v>
      </c>
      <c r="V282" s="17">
        <v>3</v>
      </c>
      <c r="AD282" s="1"/>
      <c r="AE282" s="3"/>
      <c r="AF282" s="3"/>
      <c r="AG282" s="3"/>
      <c r="AH282" s="3"/>
      <c r="AI282" s="3"/>
      <c r="AJ282" s="1"/>
      <c r="AK282" s="1"/>
    </row>
    <row r="283" spans="1:37" x14ac:dyDescent="0.3">
      <c r="A283" s="14">
        <v>94</v>
      </c>
      <c r="B283" s="14">
        <v>2</v>
      </c>
      <c r="C283" s="9" t="s">
        <v>0</v>
      </c>
      <c r="D283" s="9" t="s">
        <v>180</v>
      </c>
      <c r="E283" s="9" t="s">
        <v>356</v>
      </c>
      <c r="F283" s="9" t="s">
        <v>357</v>
      </c>
      <c r="G283" s="9">
        <v>1</v>
      </c>
      <c r="H283" s="9" t="s">
        <v>358</v>
      </c>
      <c r="I283" s="9"/>
      <c r="J283" s="9"/>
      <c r="K283" s="9" t="b">
        <v>0</v>
      </c>
      <c r="L283" s="9" t="s">
        <v>215</v>
      </c>
      <c r="M283" s="9" t="b">
        <v>0</v>
      </c>
      <c r="N283" s="9" t="s">
        <v>359</v>
      </c>
      <c r="O283" s="9" t="s">
        <v>3270</v>
      </c>
      <c r="P283" s="7">
        <v>1487</v>
      </c>
      <c r="Q283" s="7">
        <v>1337</v>
      </c>
      <c r="R283" s="7">
        <v>926</v>
      </c>
      <c r="S283" s="7">
        <v>315</v>
      </c>
      <c r="T283" s="8">
        <v>3</v>
      </c>
      <c r="U283" s="8">
        <v>3</v>
      </c>
      <c r="V283" s="17">
        <v>3</v>
      </c>
      <c r="AD283" s="1"/>
      <c r="AE283" s="3"/>
      <c r="AF283" s="2"/>
      <c r="AG283" s="3"/>
      <c r="AH283" s="3"/>
      <c r="AI283" s="3"/>
      <c r="AJ283" s="1"/>
      <c r="AK283" s="1"/>
    </row>
    <row r="284" spans="1:37" x14ac:dyDescent="0.3">
      <c r="A284" s="14">
        <v>107</v>
      </c>
      <c r="B284" s="14">
        <v>2</v>
      </c>
      <c r="C284" s="9" t="s">
        <v>0</v>
      </c>
      <c r="D284" s="9" t="s">
        <v>180</v>
      </c>
      <c r="E284" s="9" t="s">
        <v>404</v>
      </c>
      <c r="F284" s="9" t="s">
        <v>405</v>
      </c>
      <c r="G284" s="9">
        <v>1</v>
      </c>
      <c r="H284" s="9" t="s">
        <v>84</v>
      </c>
      <c r="I284" s="9"/>
      <c r="J284" s="9"/>
      <c r="K284" s="9" t="b">
        <v>0</v>
      </c>
      <c r="L284" s="9" t="s">
        <v>407</v>
      </c>
      <c r="M284" s="9" t="b">
        <v>1</v>
      </c>
      <c r="N284" s="9" t="s">
        <v>406</v>
      </c>
      <c r="O284" s="9" t="s">
        <v>3283</v>
      </c>
      <c r="P284" s="7">
        <v>1280</v>
      </c>
      <c r="Q284" s="7">
        <v>1146</v>
      </c>
      <c r="R284" s="7">
        <v>933</v>
      </c>
      <c r="S284" s="7">
        <v>271</v>
      </c>
      <c r="T284" s="8">
        <v>4.2</v>
      </c>
      <c r="U284" s="8">
        <v>3</v>
      </c>
      <c r="V284" s="17">
        <v>3</v>
      </c>
      <c r="AD284" s="1"/>
      <c r="AE284" s="3"/>
      <c r="AF284" s="2"/>
      <c r="AG284" s="2"/>
      <c r="AH284" s="3"/>
      <c r="AI284" s="3"/>
      <c r="AJ284" s="1"/>
      <c r="AK284" s="1"/>
    </row>
    <row r="285" spans="1:37" x14ac:dyDescent="0.3">
      <c r="A285" s="14">
        <v>338</v>
      </c>
      <c r="B285" s="14">
        <v>1</v>
      </c>
      <c r="C285" s="9" t="s">
        <v>0</v>
      </c>
      <c r="D285" s="9" t="s">
        <v>1077</v>
      </c>
      <c r="E285" s="9" t="s">
        <v>1199</v>
      </c>
      <c r="F285" s="9" t="s">
        <v>1200</v>
      </c>
      <c r="G285" s="9">
        <v>1</v>
      </c>
      <c r="H285" s="9" t="s">
        <v>84</v>
      </c>
      <c r="I285" s="9" t="s">
        <v>171</v>
      </c>
      <c r="J285" s="9"/>
      <c r="K285" s="9" t="b">
        <v>0</v>
      </c>
      <c r="L285" s="9" t="s">
        <v>7</v>
      </c>
      <c r="M285" s="9" t="b">
        <v>0</v>
      </c>
      <c r="N285" s="9" t="s">
        <v>1201</v>
      </c>
      <c r="O285" s="9" t="s">
        <v>3514</v>
      </c>
      <c r="P285" s="7">
        <v>1369</v>
      </c>
      <c r="Q285" s="7">
        <v>1313</v>
      </c>
      <c r="R285" s="7">
        <v>1034</v>
      </c>
      <c r="S285" s="7">
        <v>283</v>
      </c>
      <c r="T285" s="8">
        <v>2.9</v>
      </c>
      <c r="U285" s="8">
        <v>3</v>
      </c>
      <c r="V285" s="17">
        <v>3</v>
      </c>
      <c r="AD285" s="1"/>
      <c r="AE285" s="3"/>
      <c r="AF285" s="3"/>
      <c r="AG285" s="3"/>
      <c r="AH285" s="3"/>
      <c r="AI285" s="3"/>
      <c r="AJ285" s="1"/>
      <c r="AK285" s="1"/>
    </row>
    <row r="286" spans="1:37" x14ac:dyDescent="0.3">
      <c r="A286" s="14">
        <v>340</v>
      </c>
      <c r="B286" s="14">
        <v>1</v>
      </c>
      <c r="C286" s="9" t="s">
        <v>0</v>
      </c>
      <c r="D286" s="9" t="s">
        <v>1077</v>
      </c>
      <c r="E286" s="9" t="s">
        <v>1205</v>
      </c>
      <c r="F286" s="9" t="s">
        <v>1206</v>
      </c>
      <c r="G286" s="9">
        <v>1</v>
      </c>
      <c r="H286" s="9"/>
      <c r="I286" s="9" t="s">
        <v>22</v>
      </c>
      <c r="J286" s="9"/>
      <c r="K286" s="9" t="b">
        <v>0</v>
      </c>
      <c r="L286" s="9" t="s">
        <v>7</v>
      </c>
      <c r="M286" s="9" t="b">
        <v>1</v>
      </c>
      <c r="N286" s="9" t="s">
        <v>1207</v>
      </c>
      <c r="O286" s="9" t="s">
        <v>3516</v>
      </c>
      <c r="P286" s="7">
        <v>1303</v>
      </c>
      <c r="Q286" s="7">
        <v>1195</v>
      </c>
      <c r="R286" s="7">
        <v>933</v>
      </c>
      <c r="S286" s="7">
        <v>275</v>
      </c>
      <c r="T286" s="8">
        <v>4.3</v>
      </c>
      <c r="U286" s="8">
        <v>3</v>
      </c>
      <c r="V286" s="17">
        <v>3</v>
      </c>
      <c r="AD286" s="1"/>
      <c r="AE286" s="3"/>
      <c r="AF286" s="2"/>
      <c r="AG286" s="2"/>
      <c r="AH286" s="3"/>
      <c r="AI286" s="3"/>
      <c r="AJ286" s="1"/>
      <c r="AK286" s="1"/>
    </row>
    <row r="287" spans="1:37" x14ac:dyDescent="0.3">
      <c r="A287" s="14">
        <v>509</v>
      </c>
      <c r="B287" s="14">
        <v>1</v>
      </c>
      <c r="C287" s="9" t="s">
        <v>1659</v>
      </c>
      <c r="D287" s="9" t="s">
        <v>1</v>
      </c>
      <c r="E287" s="9" t="s">
        <v>1747</v>
      </c>
      <c r="F287" s="9" t="s">
        <v>1748</v>
      </c>
      <c r="G287" s="9">
        <v>1</v>
      </c>
      <c r="H287" s="9"/>
      <c r="I287" s="9"/>
      <c r="J287" s="9"/>
      <c r="K287" s="9" t="b">
        <v>0</v>
      </c>
      <c r="L287" s="9" t="s">
        <v>7</v>
      </c>
      <c r="M287" s="9" t="b">
        <v>0</v>
      </c>
      <c r="N287" s="9" t="s">
        <v>1749</v>
      </c>
      <c r="O287" s="9" t="s">
        <v>3684</v>
      </c>
      <c r="P287" s="7">
        <v>1335</v>
      </c>
      <c r="Q287" s="7">
        <v>1308</v>
      </c>
      <c r="R287" s="7">
        <v>1094</v>
      </c>
      <c r="S287" s="7">
        <v>275</v>
      </c>
      <c r="T287" s="8">
        <v>3.4</v>
      </c>
      <c r="U287" s="8">
        <v>2.9</v>
      </c>
      <c r="V287" s="17">
        <v>2.9</v>
      </c>
      <c r="AD287" s="1"/>
      <c r="AE287" s="3"/>
      <c r="AF287" s="2"/>
      <c r="AG287" s="2"/>
      <c r="AH287" s="3"/>
      <c r="AI287" s="3"/>
      <c r="AJ287" s="1"/>
      <c r="AK287" s="1"/>
    </row>
    <row r="288" spans="1:37" x14ac:dyDescent="0.3">
      <c r="A288" s="14">
        <v>707</v>
      </c>
      <c r="B288" s="14">
        <v>3</v>
      </c>
      <c r="C288" s="9" t="s">
        <v>1659</v>
      </c>
      <c r="D288" s="9" t="s">
        <v>411</v>
      </c>
      <c r="E288" s="9" t="s">
        <v>2360</v>
      </c>
      <c r="F288" s="9" t="s">
        <v>2361</v>
      </c>
      <c r="G288" s="9">
        <v>1</v>
      </c>
      <c r="H288" s="9"/>
      <c r="I288" s="9"/>
      <c r="J288" s="9"/>
      <c r="K288" s="9" t="b">
        <v>0</v>
      </c>
      <c r="L288" s="9" t="s">
        <v>526</v>
      </c>
      <c r="M288" s="9" t="b">
        <v>0</v>
      </c>
      <c r="N288" s="9" t="s">
        <v>2362</v>
      </c>
      <c r="O288" s="9" t="s">
        <v>3882</v>
      </c>
      <c r="P288" s="7">
        <v>590</v>
      </c>
      <c r="Q288" s="7">
        <v>558</v>
      </c>
      <c r="R288" s="7">
        <v>358</v>
      </c>
      <c r="S288" s="7">
        <v>118</v>
      </c>
      <c r="T288" s="8">
        <v>2.9</v>
      </c>
      <c r="U288" s="8">
        <v>2.9</v>
      </c>
      <c r="V288" s="17">
        <v>2.9</v>
      </c>
      <c r="AD288" s="1"/>
      <c r="AE288" s="3"/>
      <c r="AF288" s="2"/>
      <c r="AG288" s="3"/>
      <c r="AH288" s="3"/>
      <c r="AI288" s="3"/>
      <c r="AJ288" s="1"/>
      <c r="AK288" s="1"/>
    </row>
    <row r="289" spans="1:37" x14ac:dyDescent="0.3">
      <c r="A289" s="14">
        <v>588</v>
      </c>
      <c r="B289" s="14">
        <v>2</v>
      </c>
      <c r="C289" s="9" t="s">
        <v>1659</v>
      </c>
      <c r="D289" s="9" t="s">
        <v>180</v>
      </c>
      <c r="E289" s="9" t="s">
        <v>1989</v>
      </c>
      <c r="F289" s="9" t="s">
        <v>1990</v>
      </c>
      <c r="G289" s="9">
        <v>1</v>
      </c>
      <c r="H289" s="9"/>
      <c r="I289" s="9"/>
      <c r="J289" s="9"/>
      <c r="K289" s="9" t="b">
        <v>0</v>
      </c>
      <c r="L289" s="9" t="s">
        <v>286</v>
      </c>
      <c r="M289" s="9" t="b">
        <v>0</v>
      </c>
      <c r="N289" s="9" t="s">
        <v>1991</v>
      </c>
      <c r="O289" s="9" t="s">
        <v>3763</v>
      </c>
      <c r="P289" s="7">
        <v>1317</v>
      </c>
      <c r="Q289" s="7">
        <v>1167</v>
      </c>
      <c r="R289" s="7">
        <v>791</v>
      </c>
      <c r="S289" s="7">
        <v>267</v>
      </c>
      <c r="T289" s="8">
        <v>4.2</v>
      </c>
      <c r="U289" s="8">
        <v>2.9</v>
      </c>
      <c r="V289" s="17">
        <v>2.9</v>
      </c>
      <c r="AD289" s="1"/>
      <c r="AE289" s="3"/>
      <c r="AF289" s="2"/>
      <c r="AG289" s="2"/>
      <c r="AH289" s="2"/>
      <c r="AI289" s="3"/>
      <c r="AJ289" s="1"/>
      <c r="AK289" s="1"/>
    </row>
    <row r="290" spans="1:37" x14ac:dyDescent="0.3">
      <c r="A290" s="14">
        <v>822</v>
      </c>
      <c r="B290" s="14">
        <v>1</v>
      </c>
      <c r="C290" s="9" t="s">
        <v>1659</v>
      </c>
      <c r="D290" s="9" t="s">
        <v>1077</v>
      </c>
      <c r="E290" s="9" t="s">
        <v>2710</v>
      </c>
      <c r="F290" s="9" t="s">
        <v>2711</v>
      </c>
      <c r="G290" s="9">
        <v>4</v>
      </c>
      <c r="H290" s="9"/>
      <c r="I290" s="9"/>
      <c r="J290" s="9"/>
      <c r="K290" s="9" t="b">
        <v>0</v>
      </c>
      <c r="L290" s="9" t="s">
        <v>7</v>
      </c>
      <c r="M290" s="9" t="b">
        <v>0</v>
      </c>
      <c r="N290" s="9" t="s">
        <v>2712</v>
      </c>
      <c r="O290" s="9" t="s">
        <v>3997</v>
      </c>
      <c r="P290" s="7">
        <v>1458</v>
      </c>
      <c r="Q290" s="7">
        <v>1354</v>
      </c>
      <c r="R290" s="7">
        <v>1027</v>
      </c>
      <c r="S290" s="7">
        <v>292</v>
      </c>
      <c r="T290" s="8">
        <v>3.5</v>
      </c>
      <c r="U290" s="8">
        <v>2.9</v>
      </c>
      <c r="V290" s="17">
        <v>2.9</v>
      </c>
      <c r="AD290" s="1"/>
      <c r="AE290" s="3"/>
      <c r="AF290" s="3"/>
      <c r="AG290" s="3"/>
      <c r="AH290" s="3"/>
      <c r="AI290" s="3"/>
      <c r="AJ290" s="1"/>
      <c r="AK290" s="1"/>
    </row>
    <row r="291" spans="1:37" x14ac:dyDescent="0.3">
      <c r="A291" s="14">
        <v>539</v>
      </c>
      <c r="B291" s="14">
        <v>1</v>
      </c>
      <c r="C291" s="9" t="s">
        <v>1659</v>
      </c>
      <c r="D291" s="9" t="s">
        <v>1</v>
      </c>
      <c r="E291" s="9" t="s">
        <v>1836</v>
      </c>
      <c r="F291" s="9" t="s">
        <v>1837</v>
      </c>
      <c r="G291" s="9">
        <v>3</v>
      </c>
      <c r="H291" s="9"/>
      <c r="I291" s="9"/>
      <c r="J291" s="9"/>
      <c r="K291" s="9" t="b">
        <v>0</v>
      </c>
      <c r="L291" s="9" t="s">
        <v>7</v>
      </c>
      <c r="M291" s="9" t="b">
        <v>0</v>
      </c>
      <c r="N291" s="9" t="s">
        <v>1838</v>
      </c>
      <c r="O291" s="9" t="s">
        <v>3714</v>
      </c>
      <c r="P291" s="7">
        <v>1359</v>
      </c>
      <c r="Q291" s="7">
        <v>1328</v>
      </c>
      <c r="R291" s="7">
        <v>1032</v>
      </c>
      <c r="S291" s="7">
        <v>274</v>
      </c>
      <c r="T291" s="8">
        <v>3.2</v>
      </c>
      <c r="U291" s="8">
        <v>2.9</v>
      </c>
      <c r="V291" s="17">
        <v>2.9</v>
      </c>
      <c r="AD291" s="1"/>
      <c r="AE291" s="3"/>
      <c r="AF291" s="3"/>
      <c r="AG291" s="3"/>
      <c r="AH291" s="3"/>
      <c r="AI291" s="3"/>
      <c r="AJ291" s="1"/>
      <c r="AK291" s="1"/>
    </row>
    <row r="292" spans="1:37" x14ac:dyDescent="0.3">
      <c r="A292" s="14">
        <v>865</v>
      </c>
      <c r="B292" s="14">
        <v>1</v>
      </c>
      <c r="C292" s="9" t="s">
        <v>1659</v>
      </c>
      <c r="D292" s="9" t="s">
        <v>1208</v>
      </c>
      <c r="E292" s="9" t="s">
        <v>2839</v>
      </c>
      <c r="F292" s="9" t="s">
        <v>2840</v>
      </c>
      <c r="G292" s="9">
        <v>4</v>
      </c>
      <c r="H292" s="9"/>
      <c r="I292" s="9"/>
      <c r="J292" s="9"/>
      <c r="K292" s="9" t="b">
        <v>0</v>
      </c>
      <c r="L292" s="9" t="s">
        <v>7</v>
      </c>
      <c r="M292" s="9" t="b">
        <v>0</v>
      </c>
      <c r="N292" s="9" t="s">
        <v>2841</v>
      </c>
      <c r="O292" s="9" t="s">
        <v>4040</v>
      </c>
      <c r="P292" s="7">
        <v>1507</v>
      </c>
      <c r="Q292" s="7">
        <v>1315</v>
      </c>
      <c r="R292" s="7">
        <v>1070</v>
      </c>
      <c r="S292" s="7">
        <v>305</v>
      </c>
      <c r="T292" s="8">
        <v>3.2</v>
      </c>
      <c r="U292" s="8">
        <v>2.9</v>
      </c>
      <c r="V292" s="17">
        <v>2.9</v>
      </c>
      <c r="AD292" s="1"/>
      <c r="AE292" s="3"/>
      <c r="AF292" s="2"/>
      <c r="AG292" s="2"/>
      <c r="AH292" s="3"/>
      <c r="AI292" s="3"/>
      <c r="AJ292" s="1"/>
      <c r="AK292" s="1"/>
    </row>
    <row r="293" spans="1:37" x14ac:dyDescent="0.3">
      <c r="A293" s="14">
        <v>605</v>
      </c>
      <c r="B293" s="14">
        <v>2</v>
      </c>
      <c r="C293" s="9" t="s">
        <v>1659</v>
      </c>
      <c r="D293" s="9" t="s">
        <v>180</v>
      </c>
      <c r="E293" s="9" t="s">
        <v>2043</v>
      </c>
      <c r="F293" s="9" t="s">
        <v>2044</v>
      </c>
      <c r="G293" s="9">
        <v>4</v>
      </c>
      <c r="H293" s="9"/>
      <c r="I293" s="9"/>
      <c r="J293" s="9"/>
      <c r="K293" s="9" t="b">
        <v>0</v>
      </c>
      <c r="L293" s="9" t="s">
        <v>194</v>
      </c>
      <c r="M293" s="9" t="b">
        <v>0</v>
      </c>
      <c r="N293" s="9" t="s">
        <v>2045</v>
      </c>
      <c r="O293" s="9" t="s">
        <v>3780</v>
      </c>
      <c r="P293" s="7">
        <v>1311</v>
      </c>
      <c r="Q293" s="7">
        <v>912</v>
      </c>
      <c r="R293" s="7">
        <v>700</v>
      </c>
      <c r="S293" s="7">
        <v>264</v>
      </c>
      <c r="T293" s="8">
        <v>3.9</v>
      </c>
      <c r="U293" s="8">
        <v>2.9</v>
      </c>
      <c r="V293" s="17">
        <v>2.9</v>
      </c>
      <c r="AD293" s="1"/>
      <c r="AE293" s="3"/>
      <c r="AF293" s="2"/>
      <c r="AG293" s="3"/>
      <c r="AH293" s="3"/>
      <c r="AI293" s="3"/>
      <c r="AJ293" s="1"/>
      <c r="AK293" s="1"/>
    </row>
    <row r="294" spans="1:37" x14ac:dyDescent="0.3">
      <c r="A294" s="14">
        <v>964</v>
      </c>
      <c r="B294" s="14">
        <v>2</v>
      </c>
      <c r="C294" s="9" t="s">
        <v>1659</v>
      </c>
      <c r="D294" s="9" t="s">
        <v>1457</v>
      </c>
      <c r="E294" s="9" t="s">
        <v>3145</v>
      </c>
      <c r="F294" s="9" t="s">
        <v>3146</v>
      </c>
      <c r="G294" s="9">
        <v>3</v>
      </c>
      <c r="H294" s="9"/>
      <c r="I294" s="9"/>
      <c r="J294" s="9"/>
      <c r="K294" s="9" t="b">
        <v>0</v>
      </c>
      <c r="L294" s="9" t="s">
        <v>369</v>
      </c>
      <c r="M294" s="9" t="b">
        <v>0</v>
      </c>
      <c r="N294" s="9" t="s">
        <v>3147</v>
      </c>
      <c r="O294" s="9" t="s">
        <v>4136</v>
      </c>
      <c r="P294" s="7">
        <v>1294</v>
      </c>
      <c r="Q294" s="7">
        <v>1219</v>
      </c>
      <c r="R294" s="7">
        <v>961</v>
      </c>
      <c r="S294" s="7">
        <v>260</v>
      </c>
      <c r="T294" s="8">
        <v>3.2</v>
      </c>
      <c r="U294" s="8">
        <v>2.9</v>
      </c>
      <c r="V294" s="17">
        <v>2.9</v>
      </c>
      <c r="AD294" s="1"/>
      <c r="AE294" s="3"/>
      <c r="AF294" s="2"/>
      <c r="AG294" s="3"/>
      <c r="AH294" s="3"/>
      <c r="AI294" s="3"/>
      <c r="AJ294" s="1"/>
      <c r="AK294" s="1"/>
    </row>
    <row r="295" spans="1:37" x14ac:dyDescent="0.3">
      <c r="A295" s="14">
        <v>305</v>
      </c>
      <c r="B295" s="14">
        <v>1</v>
      </c>
      <c r="C295" s="9" t="s">
        <v>0</v>
      </c>
      <c r="D295" s="9" t="s">
        <v>1077</v>
      </c>
      <c r="E295" s="9" t="s">
        <v>1087</v>
      </c>
      <c r="F295" s="9" t="s">
        <v>1088</v>
      </c>
      <c r="G295" s="9">
        <v>1</v>
      </c>
      <c r="H295" s="9"/>
      <c r="I295" s="9" t="s">
        <v>1089</v>
      </c>
      <c r="J295" s="9">
        <v>1</v>
      </c>
      <c r="K295" s="9" t="b">
        <v>0</v>
      </c>
      <c r="L295" s="9" t="s">
        <v>7</v>
      </c>
      <c r="M295" s="9" t="b">
        <v>0</v>
      </c>
      <c r="N295" s="9" t="s">
        <v>1090</v>
      </c>
      <c r="O295" s="9" t="s">
        <v>3481</v>
      </c>
      <c r="P295" s="7">
        <v>1440</v>
      </c>
      <c r="Q295" s="7">
        <v>1339</v>
      </c>
      <c r="R295" s="7">
        <v>1062</v>
      </c>
      <c r="S295" s="7">
        <v>294</v>
      </c>
      <c r="T295" s="8">
        <v>3.5</v>
      </c>
      <c r="U295" s="8">
        <v>2.9</v>
      </c>
      <c r="V295" s="17">
        <v>2.9</v>
      </c>
      <c r="AD295" s="1"/>
      <c r="AE295" s="3"/>
      <c r="AF295" s="2"/>
      <c r="AG295" s="3"/>
      <c r="AH295" s="3"/>
      <c r="AI295" s="3"/>
      <c r="AJ295" s="1"/>
      <c r="AK295" s="1"/>
    </row>
    <row r="296" spans="1:37" x14ac:dyDescent="0.3">
      <c r="A296" s="14">
        <v>306</v>
      </c>
      <c r="B296" s="14">
        <v>1</v>
      </c>
      <c r="C296" s="9" t="s">
        <v>0</v>
      </c>
      <c r="D296" s="9" t="s">
        <v>1077</v>
      </c>
      <c r="E296" s="9" t="s">
        <v>1091</v>
      </c>
      <c r="F296" s="9" t="s">
        <v>1092</v>
      </c>
      <c r="G296" s="9">
        <v>1</v>
      </c>
      <c r="H296" s="9" t="s">
        <v>84</v>
      </c>
      <c r="I296" s="9"/>
      <c r="J296" s="9"/>
      <c r="K296" s="9" t="b">
        <v>0</v>
      </c>
      <c r="L296" s="9" t="s">
        <v>7</v>
      </c>
      <c r="M296" s="9" t="b">
        <v>0</v>
      </c>
      <c r="N296" s="9" t="s">
        <v>1093</v>
      </c>
      <c r="O296" s="9" t="s">
        <v>3482</v>
      </c>
      <c r="P296" s="7">
        <v>1396</v>
      </c>
      <c r="Q296" s="7">
        <v>1241</v>
      </c>
      <c r="R296" s="7">
        <v>890</v>
      </c>
      <c r="S296" s="7">
        <v>285</v>
      </c>
      <c r="T296" s="8">
        <v>4.4000000000000004</v>
      </c>
      <c r="U296" s="8">
        <v>2.9</v>
      </c>
      <c r="V296" s="17">
        <v>2.9</v>
      </c>
      <c r="AD296" s="1"/>
      <c r="AE296" s="3"/>
      <c r="AF296" s="2"/>
      <c r="AG296" s="3"/>
      <c r="AH296" s="3"/>
      <c r="AI296" s="3"/>
      <c r="AJ296" s="1"/>
      <c r="AK296" s="1"/>
    </row>
    <row r="297" spans="1:37" x14ac:dyDescent="0.3">
      <c r="A297" s="14">
        <v>146</v>
      </c>
      <c r="B297" s="14">
        <v>3</v>
      </c>
      <c r="C297" s="9" t="s">
        <v>0</v>
      </c>
      <c r="D297" s="9" t="s">
        <v>411</v>
      </c>
      <c r="E297" s="9" t="s">
        <v>554</v>
      </c>
      <c r="F297" s="9" t="s">
        <v>555</v>
      </c>
      <c r="G297" s="9">
        <v>1</v>
      </c>
      <c r="H297" s="9"/>
      <c r="I297" s="9" t="s">
        <v>51</v>
      </c>
      <c r="J297" s="9"/>
      <c r="K297" s="9" t="b">
        <v>0</v>
      </c>
      <c r="L297" s="9" t="s">
        <v>557</v>
      </c>
      <c r="M297" s="9" t="b">
        <v>0</v>
      </c>
      <c r="N297" s="9" t="s">
        <v>556</v>
      </c>
      <c r="O297" s="9" t="s">
        <v>3322</v>
      </c>
      <c r="P297" s="7">
        <v>952</v>
      </c>
      <c r="Q297" s="7">
        <v>783</v>
      </c>
      <c r="R297" s="7">
        <v>560</v>
      </c>
      <c r="S297" s="7">
        <v>191</v>
      </c>
      <c r="T297" s="8">
        <v>3.8</v>
      </c>
      <c r="U297" s="8">
        <v>2.9</v>
      </c>
      <c r="V297" s="17">
        <v>2.9</v>
      </c>
      <c r="AD297" s="1"/>
      <c r="AE297" s="3"/>
      <c r="AF297" s="2"/>
      <c r="AG297" s="3"/>
      <c r="AH297" s="3"/>
      <c r="AI297" s="3"/>
      <c r="AJ297" s="1"/>
      <c r="AK297" s="1"/>
    </row>
    <row r="298" spans="1:37" x14ac:dyDescent="0.3">
      <c r="A298" s="14">
        <v>435</v>
      </c>
      <c r="B298" s="14">
        <v>2</v>
      </c>
      <c r="C298" s="9" t="s">
        <v>0</v>
      </c>
      <c r="D298" s="9" t="s">
        <v>1457</v>
      </c>
      <c r="E298" s="9" t="s">
        <v>1509</v>
      </c>
      <c r="F298" s="9" t="s">
        <v>1510</v>
      </c>
      <c r="G298" s="9">
        <v>1</v>
      </c>
      <c r="H298" s="9" t="s">
        <v>10</v>
      </c>
      <c r="I298" s="9"/>
      <c r="J298" s="9"/>
      <c r="K298" s="9" t="b">
        <v>0</v>
      </c>
      <c r="L298" s="9"/>
      <c r="M298" s="9" t="b">
        <v>1</v>
      </c>
      <c r="N298" s="9" t="s">
        <v>1511</v>
      </c>
      <c r="O298" s="9" t="s">
        <v>3610</v>
      </c>
      <c r="P298" s="7">
        <v>1574</v>
      </c>
      <c r="Q298" s="7">
        <v>1388</v>
      </c>
      <c r="R298" s="7">
        <v>1123</v>
      </c>
      <c r="S298" s="7">
        <v>315</v>
      </c>
      <c r="T298" s="8">
        <v>3.8</v>
      </c>
      <c r="U298" s="8">
        <v>2.9</v>
      </c>
      <c r="V298" s="17">
        <v>2.9</v>
      </c>
      <c r="AD298" s="1"/>
      <c r="AE298" s="3"/>
      <c r="AF298" s="2"/>
      <c r="AG298" s="3"/>
      <c r="AH298" s="3"/>
      <c r="AI298" s="3"/>
      <c r="AJ298" s="1"/>
      <c r="AK298" s="1"/>
    </row>
    <row r="299" spans="1:37" x14ac:dyDescent="0.3">
      <c r="A299" s="14">
        <v>308</v>
      </c>
      <c r="B299" s="14">
        <v>1</v>
      </c>
      <c r="C299" s="9" t="s">
        <v>0</v>
      </c>
      <c r="D299" s="9" t="s">
        <v>1077</v>
      </c>
      <c r="E299" s="9" t="s">
        <v>1097</v>
      </c>
      <c r="F299" s="9" t="s">
        <v>1098</v>
      </c>
      <c r="G299" s="9">
        <v>1</v>
      </c>
      <c r="H299" s="9" t="s">
        <v>1099</v>
      </c>
      <c r="I299" s="9"/>
      <c r="J299" s="9">
        <v>3</v>
      </c>
      <c r="K299" s="9" t="b">
        <v>0</v>
      </c>
      <c r="L299" s="9" t="s">
        <v>7</v>
      </c>
      <c r="M299" s="9" t="b">
        <v>0</v>
      </c>
      <c r="N299" s="9" t="s">
        <v>1100</v>
      </c>
      <c r="O299" s="9" t="s">
        <v>3484</v>
      </c>
      <c r="P299" s="7">
        <v>1363</v>
      </c>
      <c r="Q299" s="7">
        <v>1243</v>
      </c>
      <c r="R299" s="7">
        <v>904</v>
      </c>
      <c r="S299" s="7">
        <v>276</v>
      </c>
      <c r="T299" s="8">
        <v>4</v>
      </c>
      <c r="U299" s="8">
        <v>2.9</v>
      </c>
      <c r="V299" s="17">
        <v>2.9</v>
      </c>
      <c r="AD299" s="1"/>
      <c r="AE299" s="3"/>
      <c r="AF299" s="3"/>
      <c r="AG299" s="3"/>
      <c r="AH299" s="3"/>
      <c r="AI299" s="3"/>
      <c r="AJ299" s="1"/>
      <c r="AK299" s="1"/>
    </row>
    <row r="300" spans="1:37" x14ac:dyDescent="0.3">
      <c r="A300" s="14">
        <v>160</v>
      </c>
      <c r="B300" s="14">
        <v>3</v>
      </c>
      <c r="C300" s="9" t="s">
        <v>0</v>
      </c>
      <c r="D300" s="9" t="s">
        <v>411</v>
      </c>
      <c r="E300" s="9" t="s">
        <v>605</v>
      </c>
      <c r="F300" s="9" t="s">
        <v>606</v>
      </c>
      <c r="G300" s="9">
        <v>1</v>
      </c>
      <c r="H300" s="9" t="s">
        <v>607</v>
      </c>
      <c r="I300" s="9"/>
      <c r="J300" s="9">
        <v>1</v>
      </c>
      <c r="K300" s="9" t="b">
        <v>0</v>
      </c>
      <c r="L300" s="9" t="s">
        <v>185</v>
      </c>
      <c r="M300" s="9" t="b">
        <v>0</v>
      </c>
      <c r="N300" s="9" t="s">
        <v>608</v>
      </c>
      <c r="O300" s="9" t="s">
        <v>3336</v>
      </c>
      <c r="P300" s="7">
        <v>1166</v>
      </c>
      <c r="Q300" s="7">
        <v>1028</v>
      </c>
      <c r="R300" s="7">
        <v>713</v>
      </c>
      <c r="S300" s="7">
        <v>235</v>
      </c>
      <c r="T300" s="8">
        <v>4.3</v>
      </c>
      <c r="U300" s="8">
        <v>2.9</v>
      </c>
      <c r="V300" s="17">
        <v>2.9</v>
      </c>
      <c r="AD300" s="1"/>
      <c r="AE300" s="3"/>
      <c r="AF300" s="2"/>
      <c r="AG300" s="2"/>
      <c r="AH300" s="2"/>
      <c r="AI300" s="3"/>
      <c r="AJ300" s="1"/>
      <c r="AK300" s="1"/>
    </row>
    <row r="301" spans="1:37" x14ac:dyDescent="0.3">
      <c r="A301" s="14">
        <v>183</v>
      </c>
      <c r="B301" s="14">
        <v>3</v>
      </c>
      <c r="C301" s="9" t="s">
        <v>0</v>
      </c>
      <c r="D301" s="9" t="s">
        <v>411</v>
      </c>
      <c r="E301" s="9" t="s">
        <v>682</v>
      </c>
      <c r="F301" s="9" t="s">
        <v>683</v>
      </c>
      <c r="G301" s="9">
        <v>1</v>
      </c>
      <c r="H301" s="9" t="s">
        <v>684</v>
      </c>
      <c r="I301" s="9"/>
      <c r="J301" s="9">
        <v>1</v>
      </c>
      <c r="K301" s="9" t="b">
        <v>0</v>
      </c>
      <c r="L301" s="9" t="s">
        <v>194</v>
      </c>
      <c r="M301" s="9" t="b">
        <v>0</v>
      </c>
      <c r="N301" s="9" t="s">
        <v>685</v>
      </c>
      <c r="O301" s="9" t="s">
        <v>3359</v>
      </c>
      <c r="P301" s="7">
        <v>1362</v>
      </c>
      <c r="Q301" s="7">
        <v>1171</v>
      </c>
      <c r="R301" s="7">
        <v>922</v>
      </c>
      <c r="S301" s="7">
        <v>280</v>
      </c>
      <c r="T301" s="8">
        <v>3.8</v>
      </c>
      <c r="U301" s="8">
        <v>2.9</v>
      </c>
      <c r="V301" s="17">
        <v>2.9</v>
      </c>
      <c r="AD301" s="1"/>
      <c r="AE301" s="3"/>
      <c r="AF301" s="3"/>
      <c r="AG301" s="3"/>
      <c r="AH301" s="3"/>
      <c r="AI301" s="3"/>
      <c r="AJ301" s="1"/>
      <c r="AK301" s="1"/>
    </row>
    <row r="302" spans="1:37" x14ac:dyDescent="0.3">
      <c r="A302" s="14">
        <v>205</v>
      </c>
      <c r="B302" s="14">
        <v>3</v>
      </c>
      <c r="C302" s="9" t="s">
        <v>0</v>
      </c>
      <c r="D302" s="9" t="s">
        <v>411</v>
      </c>
      <c r="E302" s="9" t="s">
        <v>759</v>
      </c>
      <c r="F302" s="9" t="s">
        <v>760</v>
      </c>
      <c r="G302" s="9">
        <v>1</v>
      </c>
      <c r="H302" s="9" t="s">
        <v>761</v>
      </c>
      <c r="I302" s="9" t="s">
        <v>51</v>
      </c>
      <c r="J302" s="9"/>
      <c r="K302" s="9" t="b">
        <v>0</v>
      </c>
      <c r="L302" s="9" t="s">
        <v>416</v>
      </c>
      <c r="M302" s="9" t="b">
        <v>1</v>
      </c>
      <c r="N302" s="9" t="s">
        <v>762</v>
      </c>
      <c r="O302" s="9" t="s">
        <v>3381</v>
      </c>
      <c r="P302" s="7">
        <v>930</v>
      </c>
      <c r="Q302" s="7">
        <v>779</v>
      </c>
      <c r="R302" s="7">
        <v>606</v>
      </c>
      <c r="S302" s="7">
        <v>190</v>
      </c>
      <c r="T302" s="8">
        <v>4.3</v>
      </c>
      <c r="U302" s="8">
        <v>2.9</v>
      </c>
      <c r="V302" s="17">
        <v>2.9</v>
      </c>
      <c r="AD302" s="1"/>
      <c r="AE302" s="3"/>
      <c r="AF302" s="2"/>
      <c r="AG302" s="2"/>
      <c r="AH302" s="3"/>
      <c r="AI302" s="3"/>
      <c r="AJ302" s="1"/>
      <c r="AK302" s="1"/>
    </row>
    <row r="303" spans="1:37" x14ac:dyDescent="0.3">
      <c r="A303" s="14">
        <v>239</v>
      </c>
      <c r="B303" s="14">
        <v>3</v>
      </c>
      <c r="C303" s="9" t="s">
        <v>0</v>
      </c>
      <c r="D303" s="9" t="s">
        <v>411</v>
      </c>
      <c r="E303" s="9" t="s">
        <v>872</v>
      </c>
      <c r="F303" s="9" t="s">
        <v>873</v>
      </c>
      <c r="G303" s="9">
        <v>1</v>
      </c>
      <c r="H303" s="9" t="s">
        <v>84</v>
      </c>
      <c r="I303" s="9"/>
      <c r="J303" s="9"/>
      <c r="K303" s="9" t="b">
        <v>0</v>
      </c>
      <c r="L303" s="9" t="s">
        <v>875</v>
      </c>
      <c r="M303" s="9" t="b">
        <v>0</v>
      </c>
      <c r="N303" s="9" t="s">
        <v>874</v>
      </c>
      <c r="O303" s="9" t="s">
        <v>3415</v>
      </c>
      <c r="P303" s="7">
        <v>1279</v>
      </c>
      <c r="Q303" s="7">
        <v>1044</v>
      </c>
      <c r="R303" s="7">
        <v>762</v>
      </c>
      <c r="S303" s="7">
        <v>257</v>
      </c>
      <c r="T303" s="8">
        <v>4.3</v>
      </c>
      <c r="U303" s="8">
        <v>2.9</v>
      </c>
      <c r="V303" s="17">
        <v>2.9</v>
      </c>
      <c r="AD303" s="1"/>
      <c r="AE303" s="3"/>
      <c r="AF303" s="3"/>
      <c r="AG303" s="3"/>
      <c r="AH303" s="3"/>
      <c r="AI303" s="3"/>
      <c r="AJ303" s="1"/>
      <c r="AK303" s="1"/>
    </row>
    <row r="304" spans="1:37" x14ac:dyDescent="0.3">
      <c r="A304" s="14">
        <v>246</v>
      </c>
      <c r="B304" s="14">
        <v>3</v>
      </c>
      <c r="C304" s="9" t="s">
        <v>0</v>
      </c>
      <c r="D304" s="9" t="s">
        <v>411</v>
      </c>
      <c r="E304" s="9" t="s">
        <v>895</v>
      </c>
      <c r="F304" s="9" t="s">
        <v>896</v>
      </c>
      <c r="G304" s="9">
        <v>1</v>
      </c>
      <c r="H304" s="9"/>
      <c r="I304" s="9" t="s">
        <v>22</v>
      </c>
      <c r="J304" s="9"/>
      <c r="K304" s="9" t="b">
        <v>0</v>
      </c>
      <c r="L304" s="9" t="s">
        <v>497</v>
      </c>
      <c r="M304" s="9" t="b">
        <v>0</v>
      </c>
      <c r="N304" s="9" t="s">
        <v>897</v>
      </c>
      <c r="O304" s="9" t="s">
        <v>3422</v>
      </c>
      <c r="P304" s="7">
        <v>1260</v>
      </c>
      <c r="Q304" s="7">
        <v>1179</v>
      </c>
      <c r="R304" s="7">
        <v>993</v>
      </c>
      <c r="S304" s="7">
        <v>259</v>
      </c>
      <c r="T304" s="8">
        <v>2.9</v>
      </c>
      <c r="U304" s="8">
        <v>2.9</v>
      </c>
      <c r="V304" s="17">
        <v>2.9</v>
      </c>
      <c r="AD304" s="1"/>
      <c r="AE304" s="3"/>
      <c r="AF304" s="2"/>
      <c r="AG304" s="3"/>
      <c r="AH304" s="3"/>
      <c r="AI304" s="3"/>
      <c r="AJ304" s="1"/>
      <c r="AK304" s="1"/>
    </row>
    <row r="305" spans="1:37" x14ac:dyDescent="0.3">
      <c r="A305" s="14">
        <v>278</v>
      </c>
      <c r="B305" s="14">
        <v>3</v>
      </c>
      <c r="C305" s="9" t="s">
        <v>0</v>
      </c>
      <c r="D305" s="9" t="s">
        <v>411</v>
      </c>
      <c r="E305" s="9" t="s">
        <v>999</v>
      </c>
      <c r="F305" s="9" t="s">
        <v>1000</v>
      </c>
      <c r="G305" s="9">
        <v>1</v>
      </c>
      <c r="H305" s="9"/>
      <c r="I305" s="9" t="s">
        <v>1001</v>
      </c>
      <c r="J305" s="9"/>
      <c r="K305" s="9" t="b">
        <v>0</v>
      </c>
      <c r="L305" s="9" t="s">
        <v>416</v>
      </c>
      <c r="M305" s="9" t="b">
        <v>0</v>
      </c>
      <c r="N305" s="9" t="s">
        <v>1002</v>
      </c>
      <c r="O305" s="9" t="s">
        <v>3454</v>
      </c>
      <c r="P305" s="7">
        <v>1028</v>
      </c>
      <c r="Q305" s="7">
        <v>851</v>
      </c>
      <c r="R305" s="7">
        <v>647</v>
      </c>
      <c r="S305" s="7">
        <v>211</v>
      </c>
      <c r="T305" s="8">
        <v>4.3</v>
      </c>
      <c r="U305" s="8">
        <v>2.9</v>
      </c>
      <c r="V305" s="17">
        <v>2.9</v>
      </c>
      <c r="AD305" s="1"/>
      <c r="AE305" s="3"/>
      <c r="AF305" s="3"/>
      <c r="AG305" s="3"/>
      <c r="AH305" s="3"/>
      <c r="AI305" s="3"/>
      <c r="AJ305" s="1"/>
      <c r="AK305" s="1"/>
    </row>
    <row r="306" spans="1:37" x14ac:dyDescent="0.3">
      <c r="A306" s="14">
        <v>48</v>
      </c>
      <c r="B306" s="14">
        <v>1</v>
      </c>
      <c r="C306" s="9" t="s">
        <v>0</v>
      </c>
      <c r="D306" s="9" t="s">
        <v>1</v>
      </c>
      <c r="E306" s="9" t="s">
        <v>169</v>
      </c>
      <c r="F306" s="9" t="s">
        <v>170</v>
      </c>
      <c r="G306" s="9">
        <v>1</v>
      </c>
      <c r="H306" s="9" t="s">
        <v>26</v>
      </c>
      <c r="I306" s="9" t="s">
        <v>171</v>
      </c>
      <c r="J306" s="9"/>
      <c r="K306" s="9" t="b">
        <v>0</v>
      </c>
      <c r="L306" s="9" t="s">
        <v>7</v>
      </c>
      <c r="M306" s="9" t="b">
        <v>0</v>
      </c>
      <c r="N306" s="9" t="s">
        <v>172</v>
      </c>
      <c r="O306" s="9" t="s">
        <v>3224</v>
      </c>
      <c r="P306" s="7">
        <v>1422</v>
      </c>
      <c r="Q306" s="7">
        <v>1324</v>
      </c>
      <c r="R306" s="7">
        <v>1137</v>
      </c>
      <c r="S306" s="7">
        <v>292</v>
      </c>
      <c r="T306" s="8">
        <v>3</v>
      </c>
      <c r="U306" s="8">
        <v>2.9</v>
      </c>
      <c r="V306" s="17">
        <v>2.9</v>
      </c>
      <c r="AD306" s="1"/>
      <c r="AE306" s="3"/>
      <c r="AF306" s="3"/>
      <c r="AG306" s="3"/>
      <c r="AH306" s="3"/>
      <c r="AI306" s="3"/>
      <c r="AJ306" s="1"/>
      <c r="AK306" s="1"/>
    </row>
    <row r="307" spans="1:37" x14ac:dyDescent="0.3">
      <c r="A307" s="14">
        <v>798</v>
      </c>
      <c r="B307" s="14">
        <v>1</v>
      </c>
      <c r="C307" s="9" t="s">
        <v>1659</v>
      </c>
      <c r="D307" s="9" t="s">
        <v>1077</v>
      </c>
      <c r="E307" s="9" t="s">
        <v>2638</v>
      </c>
      <c r="F307" s="9" t="s">
        <v>2639</v>
      </c>
      <c r="G307" s="9">
        <v>1</v>
      </c>
      <c r="H307" s="9"/>
      <c r="I307" s="9"/>
      <c r="J307" s="9"/>
      <c r="K307" s="9" t="b">
        <v>0</v>
      </c>
      <c r="L307" s="9" t="s">
        <v>7</v>
      </c>
      <c r="M307" s="9" t="b">
        <v>0</v>
      </c>
      <c r="N307" s="9" t="s">
        <v>2640</v>
      </c>
      <c r="O307" s="9" t="s">
        <v>3973</v>
      </c>
      <c r="P307" s="7">
        <v>1339</v>
      </c>
      <c r="Q307" s="7">
        <v>1193</v>
      </c>
      <c r="R307" s="7">
        <v>786</v>
      </c>
      <c r="S307" s="7">
        <v>259</v>
      </c>
      <c r="T307" s="8">
        <v>4.5999999999999996</v>
      </c>
      <c r="U307" s="8">
        <v>2.8</v>
      </c>
      <c r="V307" s="17">
        <v>2.8</v>
      </c>
      <c r="AD307" s="1"/>
      <c r="AE307" s="3"/>
      <c r="AF307" s="2"/>
      <c r="AG307" s="3"/>
      <c r="AH307" s="3"/>
      <c r="AI307" s="3"/>
      <c r="AJ307" s="1"/>
      <c r="AK307" s="1"/>
    </row>
    <row r="308" spans="1:37" x14ac:dyDescent="0.3">
      <c r="A308" s="14">
        <v>924</v>
      </c>
      <c r="B308" s="14">
        <v>2</v>
      </c>
      <c r="C308" s="9" t="s">
        <v>1659</v>
      </c>
      <c r="D308" s="9" t="s">
        <v>1457</v>
      </c>
      <c r="E308" s="9" t="s">
        <v>3018</v>
      </c>
      <c r="F308" s="9" t="s">
        <v>3019</v>
      </c>
      <c r="G308" s="9">
        <v>1</v>
      </c>
      <c r="H308" s="9"/>
      <c r="I308" s="9"/>
      <c r="J308" s="9"/>
      <c r="K308" s="9" t="b">
        <v>0</v>
      </c>
      <c r="L308" s="9" t="s">
        <v>3021</v>
      </c>
      <c r="M308" s="9" t="b">
        <v>0</v>
      </c>
      <c r="N308" s="9" t="s">
        <v>3020</v>
      </c>
      <c r="O308" s="9" t="s">
        <v>4096</v>
      </c>
      <c r="P308" s="7">
        <v>1257</v>
      </c>
      <c r="Q308" s="7">
        <v>1157</v>
      </c>
      <c r="R308" s="7">
        <v>822</v>
      </c>
      <c r="S308" s="7">
        <v>247</v>
      </c>
      <c r="T308" s="8">
        <v>4.3</v>
      </c>
      <c r="U308" s="8">
        <v>2.8</v>
      </c>
      <c r="V308" s="17">
        <v>2.8</v>
      </c>
      <c r="AD308" s="1"/>
      <c r="AE308" s="3"/>
      <c r="AF308" s="2"/>
      <c r="AG308" s="2"/>
      <c r="AH308" s="2"/>
      <c r="AI308" s="3"/>
      <c r="AJ308" s="1"/>
      <c r="AK308" s="1"/>
    </row>
    <row r="309" spans="1:37" x14ac:dyDescent="0.3">
      <c r="A309" s="14">
        <v>565</v>
      </c>
      <c r="B309" s="14">
        <v>2</v>
      </c>
      <c r="C309" s="9" t="s">
        <v>1659</v>
      </c>
      <c r="D309" s="9" t="s">
        <v>180</v>
      </c>
      <c r="E309" s="9" t="s">
        <v>1916</v>
      </c>
      <c r="F309" s="9" t="s">
        <v>1917</v>
      </c>
      <c r="G309" s="9">
        <v>4</v>
      </c>
      <c r="H309" s="9"/>
      <c r="I309" s="9"/>
      <c r="J309" s="9"/>
      <c r="K309" s="9" t="b">
        <v>0</v>
      </c>
      <c r="L309" s="9" t="s">
        <v>1919</v>
      </c>
      <c r="M309" s="9" t="b">
        <v>0</v>
      </c>
      <c r="N309" s="9" t="s">
        <v>1918</v>
      </c>
      <c r="O309" s="9" t="s">
        <v>3740</v>
      </c>
      <c r="P309" s="7">
        <v>1265</v>
      </c>
      <c r="Q309" s="7">
        <v>1133</v>
      </c>
      <c r="R309" s="7">
        <v>795</v>
      </c>
      <c r="S309" s="7">
        <v>250</v>
      </c>
      <c r="T309" s="8">
        <v>4.3</v>
      </c>
      <c r="U309" s="8">
        <v>2.8</v>
      </c>
      <c r="V309" s="17">
        <v>2.8</v>
      </c>
      <c r="AD309" s="1"/>
      <c r="AE309" s="3"/>
      <c r="AF309" s="2"/>
      <c r="AG309" s="3"/>
      <c r="AH309" s="3"/>
      <c r="AI309" s="3"/>
      <c r="AJ309" s="1"/>
      <c r="AK309" s="1"/>
    </row>
    <row r="310" spans="1:37" x14ac:dyDescent="0.3">
      <c r="A310" s="14">
        <v>930</v>
      </c>
      <c r="B310" s="14">
        <v>2</v>
      </c>
      <c r="C310" s="9" t="s">
        <v>1659</v>
      </c>
      <c r="D310" s="9" t="s">
        <v>1457</v>
      </c>
      <c r="E310" s="9" t="s">
        <v>3037</v>
      </c>
      <c r="F310" s="9" t="s">
        <v>3038</v>
      </c>
      <c r="G310" s="9">
        <v>3</v>
      </c>
      <c r="H310" s="9"/>
      <c r="I310" s="9"/>
      <c r="J310" s="9"/>
      <c r="K310" s="9" t="b">
        <v>0</v>
      </c>
      <c r="L310" s="9" t="s">
        <v>309</v>
      </c>
      <c r="M310" s="9" t="b">
        <v>0</v>
      </c>
      <c r="N310" s="9" t="s">
        <v>3039</v>
      </c>
      <c r="O310" s="9" t="s">
        <v>4102</v>
      </c>
      <c r="P310" s="7">
        <v>1311</v>
      </c>
      <c r="Q310" s="7">
        <v>885</v>
      </c>
      <c r="R310" s="7">
        <v>629</v>
      </c>
      <c r="S310" s="7">
        <v>254</v>
      </c>
      <c r="T310" s="8">
        <v>3.8</v>
      </c>
      <c r="U310" s="8">
        <v>2.8</v>
      </c>
      <c r="V310" s="17">
        <v>2.8</v>
      </c>
      <c r="AD310" s="1"/>
      <c r="AE310" s="3"/>
      <c r="AF310" s="3"/>
      <c r="AG310" s="3"/>
      <c r="AH310" s="3"/>
      <c r="AI310" s="3"/>
      <c r="AJ310" s="1"/>
      <c r="AK310" s="1"/>
    </row>
    <row r="311" spans="1:37" x14ac:dyDescent="0.3">
      <c r="A311" s="14">
        <v>933</v>
      </c>
      <c r="B311" s="14">
        <v>2</v>
      </c>
      <c r="C311" s="9" t="s">
        <v>1659</v>
      </c>
      <c r="D311" s="9" t="s">
        <v>1457</v>
      </c>
      <c r="E311" s="9" t="s">
        <v>3046</v>
      </c>
      <c r="F311" s="9" t="s">
        <v>3047</v>
      </c>
      <c r="G311" s="9">
        <v>1</v>
      </c>
      <c r="H311" s="9"/>
      <c r="I311" s="9"/>
      <c r="J311" s="9"/>
      <c r="K311" s="9" t="b">
        <v>0</v>
      </c>
      <c r="L311" s="9"/>
      <c r="M311" s="9" t="b">
        <v>0</v>
      </c>
      <c r="N311" s="9" t="s">
        <v>3048</v>
      </c>
      <c r="O311" s="9" t="s">
        <v>4105</v>
      </c>
      <c r="P311" s="7">
        <v>1296</v>
      </c>
      <c r="Q311" s="7">
        <v>1176</v>
      </c>
      <c r="R311" s="7">
        <v>931</v>
      </c>
      <c r="S311" s="7">
        <v>252</v>
      </c>
      <c r="T311" s="8">
        <v>4.0999999999999996</v>
      </c>
      <c r="U311" s="8">
        <v>2.8</v>
      </c>
      <c r="V311" s="17">
        <v>2.8</v>
      </c>
      <c r="AD311" s="1"/>
      <c r="AE311" s="3"/>
      <c r="AF311" s="2"/>
      <c r="AG311" s="2"/>
      <c r="AH311" s="2"/>
      <c r="AI311" s="3"/>
      <c r="AJ311" s="1"/>
      <c r="AK311" s="1"/>
    </row>
    <row r="312" spans="1:37" x14ac:dyDescent="0.3">
      <c r="A312" s="14">
        <v>946</v>
      </c>
      <c r="B312" s="14">
        <v>2</v>
      </c>
      <c r="C312" s="9" t="s">
        <v>1659</v>
      </c>
      <c r="D312" s="9" t="s">
        <v>1457</v>
      </c>
      <c r="E312" s="9" t="s">
        <v>3085</v>
      </c>
      <c r="F312" s="9" t="s">
        <v>3086</v>
      </c>
      <c r="G312" s="9">
        <v>1</v>
      </c>
      <c r="H312" s="9"/>
      <c r="I312" s="9"/>
      <c r="J312" s="9"/>
      <c r="K312" s="9" t="b">
        <v>0</v>
      </c>
      <c r="L312" s="9"/>
      <c r="M312" s="9" t="b">
        <v>0</v>
      </c>
      <c r="N312" s="9" t="s">
        <v>3087</v>
      </c>
      <c r="O312" s="9" t="s">
        <v>4118</v>
      </c>
      <c r="P312" s="7">
        <v>1300</v>
      </c>
      <c r="Q312" s="7">
        <v>1131</v>
      </c>
      <c r="R312" s="7">
        <v>912</v>
      </c>
      <c r="S312" s="7">
        <v>257</v>
      </c>
      <c r="T312" s="8">
        <v>3.7</v>
      </c>
      <c r="U312" s="8">
        <v>2.8</v>
      </c>
      <c r="V312" s="17">
        <v>2.8</v>
      </c>
      <c r="AD312" s="1"/>
      <c r="AE312" s="3"/>
      <c r="AF312" s="2"/>
      <c r="AG312" s="2"/>
      <c r="AH312" s="3"/>
      <c r="AI312" s="3"/>
      <c r="AJ312" s="1"/>
      <c r="AK312" s="1"/>
    </row>
    <row r="313" spans="1:37" x14ac:dyDescent="0.3">
      <c r="A313" s="14">
        <v>887</v>
      </c>
      <c r="B313" s="14">
        <v>4</v>
      </c>
      <c r="C313" s="9" t="s">
        <v>1659</v>
      </c>
      <c r="D313" s="9" t="s">
        <v>1338</v>
      </c>
      <c r="E313" s="9" t="s">
        <v>2907</v>
      </c>
      <c r="F313" s="9" t="s">
        <v>2908</v>
      </c>
      <c r="G313" s="9">
        <v>4</v>
      </c>
      <c r="H313" s="9"/>
      <c r="I313" s="9"/>
      <c r="J313" s="9"/>
      <c r="K313" s="9" t="b">
        <v>0</v>
      </c>
      <c r="L313" s="9" t="s">
        <v>437</v>
      </c>
      <c r="M313" s="9" t="b">
        <v>0</v>
      </c>
      <c r="N313" s="9" t="s">
        <v>2909</v>
      </c>
      <c r="O313" s="11" t="s">
        <v>4062</v>
      </c>
      <c r="P313" s="7">
        <v>613</v>
      </c>
      <c r="Q313" s="7">
        <v>510</v>
      </c>
      <c r="R313" s="7">
        <v>373</v>
      </c>
      <c r="S313" s="7">
        <v>119</v>
      </c>
      <c r="T313" s="8">
        <v>4.7</v>
      </c>
      <c r="U313" s="8">
        <v>2.8</v>
      </c>
      <c r="V313" s="17">
        <v>2.8</v>
      </c>
      <c r="AD313" s="1"/>
      <c r="AE313" s="3"/>
      <c r="AF313" s="3"/>
      <c r="AG313" s="3"/>
      <c r="AH313" s="3"/>
      <c r="AI313" s="3"/>
      <c r="AJ313" s="1"/>
      <c r="AK313" s="1"/>
    </row>
    <row r="314" spans="1:37" x14ac:dyDescent="0.3">
      <c r="A314" s="14">
        <v>528</v>
      </c>
      <c r="B314" s="14">
        <v>1</v>
      </c>
      <c r="C314" s="9" t="s">
        <v>1659</v>
      </c>
      <c r="D314" s="9" t="s">
        <v>1</v>
      </c>
      <c r="E314" s="9" t="s">
        <v>1804</v>
      </c>
      <c r="F314" s="9" t="s">
        <v>1805</v>
      </c>
      <c r="G314" s="9">
        <v>1</v>
      </c>
      <c r="H314" s="9"/>
      <c r="I314" s="9"/>
      <c r="J314" s="9"/>
      <c r="K314" s="9" t="b">
        <v>0</v>
      </c>
      <c r="L314" s="9" t="s">
        <v>7</v>
      </c>
      <c r="M314" s="9" t="b">
        <v>0</v>
      </c>
      <c r="N314" s="9" t="s">
        <v>1806</v>
      </c>
      <c r="O314" s="9" t="s">
        <v>3703</v>
      </c>
      <c r="P314" s="7">
        <v>1395</v>
      </c>
      <c r="Q314" s="7">
        <v>1313</v>
      </c>
      <c r="R314" s="7">
        <v>1057</v>
      </c>
      <c r="S314" s="7">
        <v>276</v>
      </c>
      <c r="T314" s="8">
        <v>4</v>
      </c>
      <c r="U314" s="8">
        <v>2.8</v>
      </c>
      <c r="V314" s="17">
        <v>2.8</v>
      </c>
      <c r="AD314" s="1"/>
      <c r="AE314" s="3"/>
      <c r="AF314" s="3"/>
      <c r="AG314" s="3"/>
      <c r="AH314" s="3"/>
      <c r="AI314" s="3"/>
      <c r="AJ314" s="1"/>
      <c r="AK314" s="1"/>
    </row>
    <row r="315" spans="1:37" x14ac:dyDescent="0.3">
      <c r="A315" s="14">
        <v>951</v>
      </c>
      <c r="B315" s="14">
        <v>2</v>
      </c>
      <c r="C315" s="9" t="s">
        <v>1659</v>
      </c>
      <c r="D315" s="9" t="s">
        <v>1457</v>
      </c>
      <c r="E315" s="9" t="s">
        <v>3102</v>
      </c>
      <c r="F315" s="9" t="s">
        <v>3103</v>
      </c>
      <c r="G315" s="9">
        <v>1</v>
      </c>
      <c r="H315" s="9"/>
      <c r="I315" s="9"/>
      <c r="J315" s="9"/>
      <c r="K315" s="9" t="b">
        <v>0</v>
      </c>
      <c r="L315" s="9" t="s">
        <v>3007</v>
      </c>
      <c r="M315" s="9" t="b">
        <v>0</v>
      </c>
      <c r="N315" s="9" t="s">
        <v>3104</v>
      </c>
      <c r="O315" s="9" t="s">
        <v>4123</v>
      </c>
      <c r="P315" s="7">
        <v>1364</v>
      </c>
      <c r="Q315" s="7">
        <v>1281</v>
      </c>
      <c r="R315" s="7">
        <v>905</v>
      </c>
      <c r="S315" s="7">
        <v>272</v>
      </c>
      <c r="T315" s="8">
        <v>4.0999999999999996</v>
      </c>
      <c r="U315" s="8">
        <v>2.8</v>
      </c>
      <c r="V315" s="17">
        <v>2.8</v>
      </c>
      <c r="AD315" s="1"/>
      <c r="AE315" s="3"/>
      <c r="AF315" s="3"/>
      <c r="AG315" s="3"/>
      <c r="AH315" s="3"/>
      <c r="AI315" s="3"/>
      <c r="AJ315" s="1"/>
      <c r="AK315" s="1"/>
    </row>
    <row r="316" spans="1:37" x14ac:dyDescent="0.3">
      <c r="A316" s="14">
        <v>734</v>
      </c>
      <c r="B316" s="14">
        <v>3</v>
      </c>
      <c r="C316" s="9" t="s">
        <v>1659</v>
      </c>
      <c r="D316" s="9" t="s">
        <v>411</v>
      </c>
      <c r="E316" s="9" t="s">
        <v>2442</v>
      </c>
      <c r="F316" s="9" t="s">
        <v>2443</v>
      </c>
      <c r="G316" s="9">
        <v>1</v>
      </c>
      <c r="H316" s="9"/>
      <c r="I316" s="9"/>
      <c r="J316" s="9"/>
      <c r="K316" s="9" t="b">
        <v>0</v>
      </c>
      <c r="L316" s="9" t="s">
        <v>2445</v>
      </c>
      <c r="M316" s="9" t="b">
        <v>0</v>
      </c>
      <c r="N316" s="9" t="s">
        <v>2444</v>
      </c>
      <c r="O316" s="9" t="s">
        <v>3909</v>
      </c>
      <c r="P316" s="7">
        <v>833</v>
      </c>
      <c r="Q316" s="7">
        <v>616</v>
      </c>
      <c r="R316" s="7">
        <v>427</v>
      </c>
      <c r="S316" s="7">
        <v>166</v>
      </c>
      <c r="T316" s="8">
        <v>4.0999999999999996</v>
      </c>
      <c r="U316" s="8">
        <v>2.8</v>
      </c>
      <c r="V316" s="17">
        <v>2.8</v>
      </c>
      <c r="AD316" s="1"/>
      <c r="AE316" s="3"/>
      <c r="AF316" s="2"/>
      <c r="AG316" s="2"/>
      <c r="AH316" s="3"/>
      <c r="AI316" s="3"/>
      <c r="AJ316" s="1"/>
      <c r="AK316" s="1"/>
    </row>
    <row r="317" spans="1:37" x14ac:dyDescent="0.3">
      <c r="A317" s="14">
        <v>593</v>
      </c>
      <c r="B317" s="14">
        <v>2</v>
      </c>
      <c r="C317" s="9" t="s">
        <v>1659</v>
      </c>
      <c r="D317" s="9" t="s">
        <v>180</v>
      </c>
      <c r="E317" s="9" t="s">
        <v>2004</v>
      </c>
      <c r="F317" s="9" t="s">
        <v>2005</v>
      </c>
      <c r="G317" s="9">
        <v>1</v>
      </c>
      <c r="H317" s="9"/>
      <c r="I317" s="9"/>
      <c r="J317" s="9"/>
      <c r="K317" s="9" t="b">
        <v>0</v>
      </c>
      <c r="L317" s="9" t="s">
        <v>531</v>
      </c>
      <c r="M317" s="9" t="b">
        <v>0</v>
      </c>
      <c r="N317" s="9" t="s">
        <v>2006</v>
      </c>
      <c r="O317" s="9" t="s">
        <v>3768</v>
      </c>
      <c r="P317" s="7">
        <v>1267</v>
      </c>
      <c r="Q317" s="7">
        <v>1197</v>
      </c>
      <c r="R317" s="7">
        <v>898</v>
      </c>
      <c r="S317" s="7">
        <v>252</v>
      </c>
      <c r="T317" s="8">
        <v>4</v>
      </c>
      <c r="U317" s="8">
        <v>2.8</v>
      </c>
      <c r="V317" s="17">
        <v>2.8</v>
      </c>
      <c r="AD317" s="1"/>
      <c r="AE317" s="3"/>
      <c r="AF317" s="2"/>
      <c r="AG317" s="2"/>
      <c r="AH317" s="3"/>
      <c r="AI317" s="3"/>
      <c r="AJ317" s="1"/>
      <c r="AK317" s="1"/>
    </row>
    <row r="318" spans="1:37" x14ac:dyDescent="0.3">
      <c r="A318" s="14">
        <v>959</v>
      </c>
      <c r="B318" s="14">
        <v>2</v>
      </c>
      <c r="C318" s="9" t="s">
        <v>1659</v>
      </c>
      <c r="D318" s="9" t="s">
        <v>1457</v>
      </c>
      <c r="E318" s="9" t="s">
        <v>3128</v>
      </c>
      <c r="F318" s="9" t="s">
        <v>3129</v>
      </c>
      <c r="G318" s="9">
        <v>1</v>
      </c>
      <c r="H318" s="9"/>
      <c r="I318" s="9"/>
      <c r="J318" s="9"/>
      <c r="K318" s="9" t="b">
        <v>0</v>
      </c>
      <c r="L318" s="9" t="s">
        <v>296</v>
      </c>
      <c r="M318" s="9" t="b">
        <v>0</v>
      </c>
      <c r="N318" s="9" t="s">
        <v>3130</v>
      </c>
      <c r="O318" s="9" t="s">
        <v>4131</v>
      </c>
      <c r="P318" s="7">
        <v>1498</v>
      </c>
      <c r="Q318" s="7">
        <v>1347</v>
      </c>
      <c r="R318" s="7">
        <v>1201</v>
      </c>
      <c r="S318" s="7">
        <v>297</v>
      </c>
      <c r="T318" s="8">
        <v>3.6</v>
      </c>
      <c r="U318" s="8">
        <v>2.8</v>
      </c>
      <c r="V318" s="17">
        <v>2.8</v>
      </c>
      <c r="AD318" s="1"/>
      <c r="AE318" s="3"/>
      <c r="AF318" s="3"/>
      <c r="AG318" s="3"/>
      <c r="AH318" s="3"/>
      <c r="AI318" s="3"/>
      <c r="AJ318" s="1"/>
      <c r="AK318" s="1"/>
    </row>
    <row r="319" spans="1:37" x14ac:dyDescent="0.3">
      <c r="A319" s="14">
        <v>776</v>
      </c>
      <c r="B319" s="14">
        <v>3</v>
      </c>
      <c r="C319" s="9" t="s">
        <v>1659</v>
      </c>
      <c r="D319" s="9" t="s">
        <v>411</v>
      </c>
      <c r="E319" s="9" t="s">
        <v>2572</v>
      </c>
      <c r="F319" s="9" t="s">
        <v>2573</v>
      </c>
      <c r="G319" s="9">
        <v>1</v>
      </c>
      <c r="H319" s="9"/>
      <c r="I319" s="9"/>
      <c r="J319" s="9"/>
      <c r="K319" s="9" t="b">
        <v>0</v>
      </c>
      <c r="L319" s="9" t="s">
        <v>430</v>
      </c>
      <c r="M319" s="9" t="b">
        <v>1</v>
      </c>
      <c r="N319" s="9" t="s">
        <v>2574</v>
      </c>
      <c r="O319" s="9" t="s">
        <v>3951</v>
      </c>
      <c r="P319" s="7">
        <v>1108</v>
      </c>
      <c r="Q319" s="7">
        <v>1071</v>
      </c>
      <c r="R319" s="7">
        <v>722</v>
      </c>
      <c r="S319" s="7">
        <v>219</v>
      </c>
      <c r="T319" s="8">
        <v>3.1</v>
      </c>
      <c r="U319" s="8">
        <v>2.8</v>
      </c>
      <c r="V319" s="17">
        <v>2.8</v>
      </c>
      <c r="AD319" s="1"/>
      <c r="AE319" s="3"/>
      <c r="AF319" s="3"/>
      <c r="AG319" s="3"/>
      <c r="AH319" s="3"/>
      <c r="AI319" s="3"/>
      <c r="AJ319" s="1"/>
      <c r="AK319" s="1"/>
    </row>
    <row r="320" spans="1:37" x14ac:dyDescent="0.3">
      <c r="A320" s="14">
        <v>872</v>
      </c>
      <c r="B320" s="14">
        <v>1</v>
      </c>
      <c r="C320" s="9" t="s">
        <v>1659</v>
      </c>
      <c r="D320" s="9" t="s">
        <v>1208</v>
      </c>
      <c r="E320" s="9" t="s">
        <v>2860</v>
      </c>
      <c r="F320" s="9" t="s">
        <v>2861</v>
      </c>
      <c r="G320" s="9">
        <v>1</v>
      </c>
      <c r="H320" s="9"/>
      <c r="I320" s="9"/>
      <c r="J320" s="9"/>
      <c r="K320" s="9" t="b">
        <v>0</v>
      </c>
      <c r="L320" s="9" t="s">
        <v>7</v>
      </c>
      <c r="M320" s="9" t="b">
        <v>0</v>
      </c>
      <c r="N320" s="9" t="s">
        <v>2862</v>
      </c>
      <c r="O320" s="9" t="s">
        <v>4047</v>
      </c>
      <c r="P320" s="7">
        <v>1308</v>
      </c>
      <c r="Q320" s="7">
        <v>1228</v>
      </c>
      <c r="R320" s="7">
        <v>852</v>
      </c>
      <c r="S320" s="7">
        <v>257</v>
      </c>
      <c r="T320" s="8">
        <v>4.3</v>
      </c>
      <c r="U320" s="8">
        <v>2.8</v>
      </c>
      <c r="V320" s="17">
        <v>2.8</v>
      </c>
      <c r="AD320" s="1"/>
      <c r="AE320" s="3"/>
      <c r="AF320" s="2"/>
      <c r="AG320" s="3"/>
      <c r="AH320" s="3"/>
      <c r="AI320" s="3"/>
      <c r="AJ320" s="1"/>
      <c r="AK320" s="1"/>
    </row>
    <row r="321" spans="1:37" x14ac:dyDescent="0.3">
      <c r="A321" s="14">
        <v>429</v>
      </c>
      <c r="B321" s="14">
        <v>2</v>
      </c>
      <c r="C321" s="9" t="s">
        <v>0</v>
      </c>
      <c r="D321" s="9" t="s">
        <v>1457</v>
      </c>
      <c r="E321" s="9" t="s">
        <v>1490</v>
      </c>
      <c r="F321" s="9" t="s">
        <v>1491</v>
      </c>
      <c r="G321" s="9">
        <v>1</v>
      </c>
      <c r="H321" s="9"/>
      <c r="I321" s="9" t="s">
        <v>114</v>
      </c>
      <c r="J321" s="9"/>
      <c r="K321" s="9" t="b">
        <v>0</v>
      </c>
      <c r="L321" s="9" t="s">
        <v>1461</v>
      </c>
      <c r="M321" s="9" t="b">
        <v>1</v>
      </c>
      <c r="N321" s="9" t="s">
        <v>1492</v>
      </c>
      <c r="O321" s="9" t="s">
        <v>3604</v>
      </c>
      <c r="P321" s="7">
        <v>1389</v>
      </c>
      <c r="Q321" s="7">
        <v>1123</v>
      </c>
      <c r="R321" s="7">
        <v>824</v>
      </c>
      <c r="S321" s="7">
        <v>272</v>
      </c>
      <c r="T321" s="8">
        <v>4.5999999999999996</v>
      </c>
      <c r="U321" s="8">
        <v>2.8</v>
      </c>
      <c r="V321" s="17">
        <v>2.8</v>
      </c>
      <c r="AD321" s="1"/>
      <c r="AE321" s="3"/>
      <c r="AF321" s="2"/>
      <c r="AG321" s="2"/>
      <c r="AH321" s="3"/>
      <c r="AI321" s="3"/>
      <c r="AJ321" s="1"/>
      <c r="AK321" s="1"/>
    </row>
    <row r="322" spans="1:37" x14ac:dyDescent="0.3">
      <c r="A322" s="14">
        <v>13</v>
      </c>
      <c r="B322" s="14">
        <v>1</v>
      </c>
      <c r="C322" s="9" t="s">
        <v>0</v>
      </c>
      <c r="D322" s="9" t="s">
        <v>1</v>
      </c>
      <c r="E322" s="9" t="s">
        <v>48</v>
      </c>
      <c r="F322" s="9" t="s">
        <v>49</v>
      </c>
      <c r="G322" s="9">
        <v>1</v>
      </c>
      <c r="H322" s="9" t="s">
        <v>50</v>
      </c>
      <c r="I322" s="9" t="s">
        <v>51</v>
      </c>
      <c r="J322" s="9"/>
      <c r="K322" s="9" t="b">
        <v>0</v>
      </c>
      <c r="L322" s="9" t="s">
        <v>7</v>
      </c>
      <c r="M322" s="9" t="b">
        <v>0</v>
      </c>
      <c r="N322" s="9" t="s">
        <v>52</v>
      </c>
      <c r="O322" s="9" t="s">
        <v>3189</v>
      </c>
      <c r="P322" s="7">
        <v>1399</v>
      </c>
      <c r="Q322" s="7">
        <v>1256</v>
      </c>
      <c r="R322" s="7">
        <v>888</v>
      </c>
      <c r="S322" s="7">
        <v>270</v>
      </c>
      <c r="T322" s="8">
        <v>3.8</v>
      </c>
      <c r="U322" s="8">
        <v>2.8</v>
      </c>
      <c r="V322" s="17">
        <v>2.8</v>
      </c>
      <c r="AD322" s="1"/>
      <c r="AE322" s="3"/>
      <c r="AF322" s="2"/>
      <c r="AG322" s="3"/>
      <c r="AH322" s="3"/>
      <c r="AI322" s="3"/>
      <c r="AJ322" s="1"/>
      <c r="AK322" s="1"/>
    </row>
    <row r="323" spans="1:37" x14ac:dyDescent="0.3">
      <c r="A323" s="14">
        <v>446</v>
      </c>
      <c r="B323" s="14">
        <v>2</v>
      </c>
      <c r="C323" s="9" t="s">
        <v>0</v>
      </c>
      <c r="D323" s="9" t="s">
        <v>1457</v>
      </c>
      <c r="E323" s="9" t="s">
        <v>1545</v>
      </c>
      <c r="F323" s="9" t="s">
        <v>1546</v>
      </c>
      <c r="G323" s="9">
        <v>1</v>
      </c>
      <c r="H323" s="9"/>
      <c r="I323" s="9" t="s">
        <v>51</v>
      </c>
      <c r="J323" s="9">
        <v>1</v>
      </c>
      <c r="K323" s="9" t="b">
        <v>0</v>
      </c>
      <c r="L323" s="9" t="s">
        <v>531</v>
      </c>
      <c r="M323" s="9" t="b">
        <v>0</v>
      </c>
      <c r="N323" s="9" t="s">
        <v>1547</v>
      </c>
      <c r="O323" s="9" t="s">
        <v>3621</v>
      </c>
      <c r="P323" s="7">
        <v>1434</v>
      </c>
      <c r="Q323" s="7">
        <v>1336</v>
      </c>
      <c r="R323" s="7">
        <v>1107</v>
      </c>
      <c r="S323" s="7">
        <v>282</v>
      </c>
      <c r="T323" s="8">
        <v>3.6</v>
      </c>
      <c r="U323" s="8">
        <v>2.8</v>
      </c>
      <c r="V323" s="17">
        <v>2.8</v>
      </c>
      <c r="AD323" s="1"/>
      <c r="AE323" s="3"/>
      <c r="AF323" s="2"/>
      <c r="AG323" s="3"/>
      <c r="AH323" s="3"/>
      <c r="AI323" s="3"/>
      <c r="AJ323" s="1"/>
      <c r="AK323" s="1"/>
    </row>
    <row r="324" spans="1:37" x14ac:dyDescent="0.3">
      <c r="A324" s="14">
        <v>188</v>
      </c>
      <c r="B324" s="14">
        <v>3</v>
      </c>
      <c r="C324" s="9" t="s">
        <v>0</v>
      </c>
      <c r="D324" s="9" t="s">
        <v>411</v>
      </c>
      <c r="E324" s="9" t="s">
        <v>700</v>
      </c>
      <c r="F324" s="9" t="s">
        <v>701</v>
      </c>
      <c r="G324" s="9">
        <v>1</v>
      </c>
      <c r="H324" s="9"/>
      <c r="I324" s="9" t="s">
        <v>702</v>
      </c>
      <c r="J324" s="9">
        <v>1</v>
      </c>
      <c r="K324" s="9" t="b">
        <v>0</v>
      </c>
      <c r="L324" s="9" t="s">
        <v>437</v>
      </c>
      <c r="M324" s="9" t="b">
        <v>0</v>
      </c>
      <c r="N324" s="9" t="s">
        <v>703</v>
      </c>
      <c r="O324" s="9" t="s">
        <v>3364</v>
      </c>
      <c r="P324" s="7">
        <v>1053</v>
      </c>
      <c r="Q324" s="7">
        <v>955</v>
      </c>
      <c r="R324" s="7">
        <v>755</v>
      </c>
      <c r="S324" s="7">
        <v>204</v>
      </c>
      <c r="T324" s="8">
        <v>4</v>
      </c>
      <c r="U324" s="8">
        <v>2.8</v>
      </c>
      <c r="V324" s="17">
        <v>2.8</v>
      </c>
      <c r="AD324" s="1"/>
      <c r="AE324" s="3"/>
      <c r="AF324" s="2"/>
      <c r="AG324" s="2"/>
      <c r="AH324" s="3"/>
      <c r="AI324" s="3"/>
      <c r="AJ324" s="1"/>
      <c r="AK324" s="1"/>
    </row>
    <row r="325" spans="1:37" x14ac:dyDescent="0.3">
      <c r="A325" s="14">
        <v>313</v>
      </c>
      <c r="B325" s="14">
        <v>1</v>
      </c>
      <c r="C325" s="9" t="s">
        <v>0</v>
      </c>
      <c r="D325" s="9" t="s">
        <v>1077</v>
      </c>
      <c r="E325" s="9" t="s">
        <v>1113</v>
      </c>
      <c r="F325" s="9" t="s">
        <v>1114</v>
      </c>
      <c r="G325" s="9">
        <v>1</v>
      </c>
      <c r="H325" s="9" t="s">
        <v>26</v>
      </c>
      <c r="I325" s="9" t="s">
        <v>5</v>
      </c>
      <c r="J325" s="9"/>
      <c r="K325" s="9" t="b">
        <v>0</v>
      </c>
      <c r="L325" s="9" t="s">
        <v>7</v>
      </c>
      <c r="M325" s="9" t="b">
        <v>0</v>
      </c>
      <c r="N325" s="9" t="s">
        <v>1115</v>
      </c>
      <c r="O325" s="9" t="s">
        <v>3489</v>
      </c>
      <c r="P325" s="7">
        <v>1378</v>
      </c>
      <c r="Q325" s="7">
        <v>1275</v>
      </c>
      <c r="R325" s="7">
        <v>1020</v>
      </c>
      <c r="S325" s="7">
        <v>269</v>
      </c>
      <c r="T325" s="8">
        <v>3.1</v>
      </c>
      <c r="U325" s="8">
        <v>2.8</v>
      </c>
      <c r="V325" s="17">
        <v>2.8</v>
      </c>
      <c r="AD325" s="1"/>
      <c r="AE325" s="3"/>
      <c r="AF325" s="2"/>
      <c r="AG325" s="2"/>
      <c r="AH325" s="3"/>
      <c r="AI325" s="3"/>
      <c r="AJ325" s="1"/>
      <c r="AK325" s="1"/>
    </row>
    <row r="326" spans="1:37" x14ac:dyDescent="0.3">
      <c r="A326" s="14">
        <v>25</v>
      </c>
      <c r="B326" s="14">
        <v>1</v>
      </c>
      <c r="C326" s="9" t="s">
        <v>0</v>
      </c>
      <c r="D326" s="9" t="s">
        <v>1</v>
      </c>
      <c r="E326" s="9" t="s">
        <v>90</v>
      </c>
      <c r="F326" s="9" t="s">
        <v>91</v>
      </c>
      <c r="G326" s="9">
        <v>1</v>
      </c>
      <c r="H326" s="9"/>
      <c r="I326" s="9" t="s">
        <v>92</v>
      </c>
      <c r="J326" s="9"/>
      <c r="K326" s="9" t="b">
        <v>0</v>
      </c>
      <c r="L326" s="9" t="s">
        <v>7</v>
      </c>
      <c r="M326" s="9" t="b">
        <v>1</v>
      </c>
      <c r="N326" s="9" t="s">
        <v>93</v>
      </c>
      <c r="O326" s="9" t="s">
        <v>3201</v>
      </c>
      <c r="P326" s="7">
        <v>1484</v>
      </c>
      <c r="Q326" s="7">
        <v>1328</v>
      </c>
      <c r="R326" s="7">
        <v>717</v>
      </c>
      <c r="S326" s="7">
        <v>294</v>
      </c>
      <c r="T326" s="8">
        <v>3.6</v>
      </c>
      <c r="U326" s="8">
        <v>2.8</v>
      </c>
      <c r="V326" s="17">
        <v>2.8</v>
      </c>
      <c r="AD326" s="1"/>
      <c r="AE326" s="3"/>
      <c r="AF326" s="2"/>
      <c r="AG326" s="2"/>
      <c r="AH326" s="2"/>
      <c r="AI326" s="3"/>
      <c r="AJ326" s="1"/>
      <c r="AK326" s="1"/>
    </row>
    <row r="327" spans="1:37" x14ac:dyDescent="0.3">
      <c r="A327" s="14">
        <v>405</v>
      </c>
      <c r="B327" s="14">
        <v>4</v>
      </c>
      <c r="C327" s="9" t="s">
        <v>0</v>
      </c>
      <c r="D327" s="9" t="s">
        <v>1394</v>
      </c>
      <c r="E327" s="9" t="s">
        <v>1411</v>
      </c>
      <c r="F327" s="9" t="s">
        <v>1412</v>
      </c>
      <c r="G327" s="9">
        <v>1</v>
      </c>
      <c r="H327" s="9"/>
      <c r="I327" s="9" t="s">
        <v>22</v>
      </c>
      <c r="J327" s="9"/>
      <c r="K327" s="9" t="b">
        <v>0</v>
      </c>
      <c r="L327" s="9"/>
      <c r="M327" s="9" t="b">
        <v>0</v>
      </c>
      <c r="N327" s="9" t="s">
        <v>1413</v>
      </c>
      <c r="O327" s="9" t="s">
        <v>3581</v>
      </c>
      <c r="P327" s="7">
        <v>326</v>
      </c>
      <c r="Q327" s="7">
        <v>278</v>
      </c>
      <c r="R327" s="7">
        <v>232</v>
      </c>
      <c r="S327" s="7">
        <v>63</v>
      </c>
      <c r="T327" s="8">
        <v>4</v>
      </c>
      <c r="U327" s="8">
        <v>2.8</v>
      </c>
      <c r="V327" s="17">
        <v>2.8</v>
      </c>
      <c r="AD327" s="1"/>
      <c r="AE327" s="3"/>
      <c r="AF327" s="2"/>
      <c r="AG327" s="2"/>
      <c r="AH327" s="3"/>
      <c r="AI327" s="3"/>
      <c r="AJ327" s="1"/>
      <c r="AK327" s="1"/>
    </row>
    <row r="328" spans="1:37" x14ac:dyDescent="0.3">
      <c r="A328" s="14">
        <v>458</v>
      </c>
      <c r="B328" s="14">
        <v>2</v>
      </c>
      <c r="C328" s="9" t="s">
        <v>0</v>
      </c>
      <c r="D328" s="9" t="s">
        <v>1457</v>
      </c>
      <c r="E328" s="9" t="s">
        <v>1587</v>
      </c>
      <c r="F328" s="9" t="s">
        <v>1588</v>
      </c>
      <c r="G328" s="9">
        <v>1</v>
      </c>
      <c r="H328" s="9" t="s">
        <v>1138</v>
      </c>
      <c r="I328" s="9"/>
      <c r="J328" s="9">
        <v>1</v>
      </c>
      <c r="K328" s="9" t="b">
        <v>0</v>
      </c>
      <c r="L328" s="9" t="s">
        <v>286</v>
      </c>
      <c r="M328" s="9" t="b">
        <v>0</v>
      </c>
      <c r="N328" s="9" t="s">
        <v>1589</v>
      </c>
      <c r="O328" s="9" t="s">
        <v>3633</v>
      </c>
      <c r="P328" s="7">
        <v>1431</v>
      </c>
      <c r="Q328" s="7">
        <v>1270</v>
      </c>
      <c r="R328" s="7">
        <v>972</v>
      </c>
      <c r="S328" s="7">
        <v>283</v>
      </c>
      <c r="T328" s="8">
        <v>4.5999999999999996</v>
      </c>
      <c r="U328" s="8">
        <v>2.8</v>
      </c>
      <c r="V328" s="17">
        <v>2.8</v>
      </c>
      <c r="AD328" s="1"/>
      <c r="AE328" s="3"/>
      <c r="AF328" s="3"/>
      <c r="AG328" s="3"/>
      <c r="AH328" s="3"/>
      <c r="AI328" s="3"/>
      <c r="AJ328" s="1"/>
      <c r="AK328" s="1"/>
    </row>
    <row r="329" spans="1:37" x14ac:dyDescent="0.3">
      <c r="A329" s="14">
        <v>28</v>
      </c>
      <c r="B329" s="14">
        <v>1</v>
      </c>
      <c r="C329" s="9" t="s">
        <v>0</v>
      </c>
      <c r="D329" s="9" t="s">
        <v>1</v>
      </c>
      <c r="E329" s="9" t="s">
        <v>101</v>
      </c>
      <c r="F329" s="9" t="s">
        <v>102</v>
      </c>
      <c r="G329" s="9">
        <v>1</v>
      </c>
      <c r="H329" s="9" t="s">
        <v>103</v>
      </c>
      <c r="I329" s="9"/>
      <c r="J329" s="9">
        <v>2</v>
      </c>
      <c r="K329" s="9" t="b">
        <v>0</v>
      </c>
      <c r="L329" s="9" t="s">
        <v>7</v>
      </c>
      <c r="M329" s="9" t="b">
        <v>0</v>
      </c>
      <c r="N329" s="9" t="s">
        <v>104</v>
      </c>
      <c r="O329" s="9" t="s">
        <v>3204</v>
      </c>
      <c r="P329" s="7">
        <v>1142</v>
      </c>
      <c r="Q329" s="7">
        <v>965</v>
      </c>
      <c r="R329" s="7">
        <v>599</v>
      </c>
      <c r="S329" s="7">
        <v>226</v>
      </c>
      <c r="T329" s="8">
        <v>4.9000000000000004</v>
      </c>
      <c r="U329" s="8">
        <v>2.8</v>
      </c>
      <c r="V329" s="17">
        <v>2.8</v>
      </c>
      <c r="AD329" s="1"/>
      <c r="AE329" s="3"/>
      <c r="AF329" s="2"/>
      <c r="AG329" s="3"/>
      <c r="AH329" s="3"/>
      <c r="AI329" s="3"/>
      <c r="AJ329" s="1"/>
      <c r="AK329" s="1"/>
    </row>
    <row r="330" spans="1:37" x14ac:dyDescent="0.3">
      <c r="A330" s="14">
        <v>218</v>
      </c>
      <c r="B330" s="14">
        <v>3</v>
      </c>
      <c r="C330" s="9" t="s">
        <v>0</v>
      </c>
      <c r="D330" s="9" t="s">
        <v>411</v>
      </c>
      <c r="E330" s="9" t="s">
        <v>804</v>
      </c>
      <c r="F330" s="9" t="s">
        <v>805</v>
      </c>
      <c r="G330" s="9">
        <v>1</v>
      </c>
      <c r="H330" s="9"/>
      <c r="I330" s="9" t="s">
        <v>114</v>
      </c>
      <c r="J330" s="9">
        <v>1</v>
      </c>
      <c r="K330" s="9" t="b">
        <v>0</v>
      </c>
      <c r="L330" s="9" t="s">
        <v>238</v>
      </c>
      <c r="M330" s="9" t="b">
        <v>0</v>
      </c>
      <c r="N330" s="9" t="s">
        <v>806</v>
      </c>
      <c r="O330" s="9" t="s">
        <v>3394</v>
      </c>
      <c r="P330" s="7">
        <v>980</v>
      </c>
      <c r="Q330" s="7">
        <v>869</v>
      </c>
      <c r="R330" s="7">
        <v>669</v>
      </c>
      <c r="S330" s="7">
        <v>190</v>
      </c>
      <c r="T330" s="8">
        <v>4.4000000000000004</v>
      </c>
      <c r="U330" s="8">
        <v>2.8</v>
      </c>
      <c r="V330" s="17">
        <v>2.8</v>
      </c>
      <c r="AD330" s="1"/>
      <c r="AE330" s="3"/>
      <c r="AF330" s="2"/>
      <c r="AG330" s="2"/>
      <c r="AH330" s="3"/>
      <c r="AI330" s="3"/>
      <c r="AJ330" s="1"/>
      <c r="AK330" s="1"/>
    </row>
    <row r="331" spans="1:37" x14ac:dyDescent="0.3">
      <c r="A331" s="14">
        <v>463</v>
      </c>
      <c r="B331" s="14">
        <v>2</v>
      </c>
      <c r="C331" s="9" t="s">
        <v>0</v>
      </c>
      <c r="D331" s="9" t="s">
        <v>1457</v>
      </c>
      <c r="E331" s="9" t="s">
        <v>1604</v>
      </c>
      <c r="F331" s="9" t="s">
        <v>1605</v>
      </c>
      <c r="G331" s="9">
        <v>1</v>
      </c>
      <c r="H331" s="9" t="s">
        <v>183</v>
      </c>
      <c r="I331" s="9"/>
      <c r="J331" s="9"/>
      <c r="K331" s="9" t="b">
        <v>1</v>
      </c>
      <c r="L331" s="9" t="s">
        <v>286</v>
      </c>
      <c r="M331" s="9" t="b">
        <v>0</v>
      </c>
      <c r="N331" s="9" t="s">
        <v>1606</v>
      </c>
      <c r="O331" s="9" t="s">
        <v>3638</v>
      </c>
      <c r="P331" s="7">
        <v>1375</v>
      </c>
      <c r="Q331" s="7">
        <v>1111</v>
      </c>
      <c r="R331" s="7">
        <v>828</v>
      </c>
      <c r="S331" s="7">
        <v>265</v>
      </c>
      <c r="T331" s="8">
        <v>4.5</v>
      </c>
      <c r="U331" s="8">
        <v>2.8</v>
      </c>
      <c r="V331" s="17">
        <v>2.8</v>
      </c>
      <c r="AD331" s="1"/>
      <c r="AE331" s="3"/>
      <c r="AF331" s="2"/>
      <c r="AG331" s="2"/>
      <c r="AH331" s="3"/>
      <c r="AI331" s="3"/>
      <c r="AJ331" s="1"/>
      <c r="AK331" s="1"/>
    </row>
    <row r="332" spans="1:37" x14ac:dyDescent="0.3">
      <c r="A332" s="14">
        <v>251</v>
      </c>
      <c r="B332" s="14">
        <v>3</v>
      </c>
      <c r="C332" s="9" t="s">
        <v>0</v>
      </c>
      <c r="D332" s="9" t="s">
        <v>411</v>
      </c>
      <c r="E332" s="9" t="s">
        <v>914</v>
      </c>
      <c r="F332" s="9" t="s">
        <v>915</v>
      </c>
      <c r="G332" s="9">
        <v>1</v>
      </c>
      <c r="H332" s="9" t="s">
        <v>635</v>
      </c>
      <c r="I332" s="9"/>
      <c r="J332" s="9"/>
      <c r="K332" s="9" t="b">
        <v>0</v>
      </c>
      <c r="L332" s="9" t="s">
        <v>223</v>
      </c>
      <c r="M332" s="9" t="b">
        <v>1</v>
      </c>
      <c r="N332" s="9" t="s">
        <v>916</v>
      </c>
      <c r="O332" s="9" t="s">
        <v>3427</v>
      </c>
      <c r="P332" s="7">
        <v>1289</v>
      </c>
      <c r="Q332" s="7">
        <v>1188</v>
      </c>
      <c r="R332" s="7">
        <v>783</v>
      </c>
      <c r="S332" s="7">
        <v>253</v>
      </c>
      <c r="T332" s="8">
        <v>3.2</v>
      </c>
      <c r="U332" s="8">
        <v>2.8</v>
      </c>
      <c r="V332" s="17">
        <v>2.8</v>
      </c>
      <c r="AD332" s="1"/>
      <c r="AE332" s="3"/>
      <c r="AF332" s="3"/>
      <c r="AG332" s="3"/>
      <c r="AH332" s="3"/>
      <c r="AI332" s="3"/>
      <c r="AJ332" s="1"/>
      <c r="AK332" s="1"/>
    </row>
    <row r="333" spans="1:37" x14ac:dyDescent="0.3">
      <c r="A333" s="14">
        <v>269</v>
      </c>
      <c r="B333" s="14">
        <v>3</v>
      </c>
      <c r="C333" s="9" t="s">
        <v>0</v>
      </c>
      <c r="D333" s="9" t="s">
        <v>411</v>
      </c>
      <c r="E333" s="9" t="s">
        <v>972</v>
      </c>
      <c r="F333" s="9" t="s">
        <v>973</v>
      </c>
      <c r="G333" s="9">
        <v>1</v>
      </c>
      <c r="H333" s="9" t="s">
        <v>84</v>
      </c>
      <c r="I333" s="9"/>
      <c r="J333" s="9">
        <v>1</v>
      </c>
      <c r="K333" s="9" t="b">
        <v>0</v>
      </c>
      <c r="L333" s="9" t="s">
        <v>453</v>
      </c>
      <c r="M333" s="9" t="b">
        <v>1</v>
      </c>
      <c r="N333" s="9" t="s">
        <v>974</v>
      </c>
      <c r="O333" s="9" t="s">
        <v>3445</v>
      </c>
      <c r="P333" s="7">
        <v>1219</v>
      </c>
      <c r="Q333" s="7">
        <v>1032</v>
      </c>
      <c r="R333" s="7">
        <v>737</v>
      </c>
      <c r="S333" s="7">
        <v>237</v>
      </c>
      <c r="T333" s="8">
        <v>4.8</v>
      </c>
      <c r="U333" s="8">
        <v>2.8</v>
      </c>
      <c r="V333" s="17">
        <v>2.8</v>
      </c>
      <c r="AD333" s="1"/>
      <c r="AE333" s="3"/>
      <c r="AF333" s="2"/>
      <c r="AG333" s="2"/>
      <c r="AH333" s="2"/>
      <c r="AI333" s="3"/>
      <c r="AJ333" s="1"/>
      <c r="AK333" s="1"/>
    </row>
    <row r="334" spans="1:37" x14ac:dyDescent="0.3">
      <c r="A334" s="14">
        <v>275</v>
      </c>
      <c r="B334" s="14">
        <v>3</v>
      </c>
      <c r="C334" s="9" t="s">
        <v>0</v>
      </c>
      <c r="D334" s="9" t="s">
        <v>411</v>
      </c>
      <c r="E334" s="9" t="s">
        <v>990</v>
      </c>
      <c r="F334" s="9" t="s">
        <v>991</v>
      </c>
      <c r="G334" s="9">
        <v>1</v>
      </c>
      <c r="H334" s="9" t="s">
        <v>513</v>
      </c>
      <c r="I334" s="9" t="s">
        <v>114</v>
      </c>
      <c r="J334" s="9">
        <v>1</v>
      </c>
      <c r="K334" s="9" t="b">
        <v>0</v>
      </c>
      <c r="L334" s="9" t="s">
        <v>453</v>
      </c>
      <c r="M334" s="9" t="b">
        <v>1</v>
      </c>
      <c r="N334" s="9" t="s">
        <v>992</v>
      </c>
      <c r="O334" s="9" t="s">
        <v>3451</v>
      </c>
      <c r="P334" s="7">
        <v>1190</v>
      </c>
      <c r="Q334" s="7">
        <v>1110</v>
      </c>
      <c r="R334" s="7">
        <v>614</v>
      </c>
      <c r="S334" s="7">
        <v>234</v>
      </c>
      <c r="T334" s="8">
        <v>3.8</v>
      </c>
      <c r="U334" s="8">
        <v>2.8</v>
      </c>
      <c r="V334" s="17">
        <v>2.8</v>
      </c>
      <c r="AD334" s="1"/>
      <c r="AE334" s="3"/>
      <c r="AF334" s="3"/>
      <c r="AG334" s="3"/>
      <c r="AH334" s="3"/>
      <c r="AI334" s="3"/>
      <c r="AJ334" s="1"/>
      <c r="AK334" s="1"/>
    </row>
    <row r="335" spans="1:37" x14ac:dyDescent="0.3">
      <c r="A335" s="14">
        <v>95</v>
      </c>
      <c r="B335" s="14">
        <v>2</v>
      </c>
      <c r="C335" s="9" t="s">
        <v>0</v>
      </c>
      <c r="D335" s="9" t="s">
        <v>180</v>
      </c>
      <c r="E335" s="9" t="s">
        <v>360</v>
      </c>
      <c r="F335" s="9" t="s">
        <v>361</v>
      </c>
      <c r="G335" s="9">
        <v>1</v>
      </c>
      <c r="H335" s="9"/>
      <c r="I335" s="9" t="s">
        <v>118</v>
      </c>
      <c r="J335" s="9"/>
      <c r="K335" s="9" t="b">
        <v>0</v>
      </c>
      <c r="L335" s="9" t="s">
        <v>238</v>
      </c>
      <c r="M335" s="9" t="b">
        <v>0</v>
      </c>
      <c r="N335" s="9" t="s">
        <v>362</v>
      </c>
      <c r="O335" s="9" t="s">
        <v>3271</v>
      </c>
      <c r="P335" s="7">
        <v>1477</v>
      </c>
      <c r="Q335" s="7">
        <v>1325</v>
      </c>
      <c r="R335" s="7">
        <v>1080</v>
      </c>
      <c r="S335" s="7">
        <v>290</v>
      </c>
      <c r="T335" s="8">
        <v>3.7</v>
      </c>
      <c r="U335" s="8">
        <v>2.8</v>
      </c>
      <c r="V335" s="17">
        <v>2.8</v>
      </c>
      <c r="AD335" s="1"/>
      <c r="AE335" s="3"/>
      <c r="AF335" s="2"/>
      <c r="AG335" s="3"/>
      <c r="AH335" s="3"/>
      <c r="AI335" s="3"/>
      <c r="AJ335" s="1"/>
      <c r="AK335" s="1"/>
    </row>
    <row r="336" spans="1:37" x14ac:dyDescent="0.3">
      <c r="A336" s="14">
        <v>893</v>
      </c>
      <c r="B336" s="14">
        <v>4</v>
      </c>
      <c r="C336" s="9" t="s">
        <v>1659</v>
      </c>
      <c r="D336" s="9" t="s">
        <v>1394</v>
      </c>
      <c r="E336" s="9" t="s">
        <v>2926</v>
      </c>
      <c r="F336" s="9" t="s">
        <v>2927</v>
      </c>
      <c r="G336" s="9">
        <v>3</v>
      </c>
      <c r="H336" s="9"/>
      <c r="I336" s="9"/>
      <c r="J336" s="9"/>
      <c r="K336" s="9" t="b">
        <v>0</v>
      </c>
      <c r="L336" s="9"/>
      <c r="M336" s="9" t="b">
        <v>1</v>
      </c>
      <c r="N336" s="9" t="s">
        <v>2928</v>
      </c>
      <c r="O336" s="9" t="s">
        <v>4067</v>
      </c>
      <c r="P336" s="7" t="e">
        <v>#N/A</v>
      </c>
      <c r="Q336" s="7" t="e">
        <v>#N/A</v>
      </c>
      <c r="R336" s="7" t="e">
        <v>#N/A</v>
      </c>
      <c r="S336" s="7" t="e">
        <v>#N/A</v>
      </c>
      <c r="T336" s="8" t="e">
        <v>#N/A</v>
      </c>
      <c r="U336" s="18" t="e">
        <v>#N/A</v>
      </c>
      <c r="V336" s="26">
        <v>2.75</v>
      </c>
      <c r="W336" s="21" t="s">
        <v>4142</v>
      </c>
      <c r="AD336" s="1"/>
      <c r="AE336" s="3"/>
      <c r="AF336" s="2"/>
      <c r="AG336" s="2"/>
      <c r="AH336" s="3"/>
      <c r="AI336" s="3"/>
      <c r="AJ336" s="1"/>
      <c r="AK336" s="1"/>
    </row>
    <row r="337" spans="1:37" x14ac:dyDescent="0.3">
      <c r="A337" s="14">
        <v>881</v>
      </c>
      <c r="B337" s="14">
        <v>4</v>
      </c>
      <c r="C337" s="9" t="s">
        <v>1659</v>
      </c>
      <c r="D337" s="9" t="s">
        <v>1338</v>
      </c>
      <c r="E337" s="9" t="s">
        <v>2889</v>
      </c>
      <c r="F337" s="9" t="s">
        <v>2890</v>
      </c>
      <c r="G337" s="9">
        <v>4</v>
      </c>
      <c r="H337" s="9"/>
      <c r="I337" s="9"/>
      <c r="J337" s="9"/>
      <c r="K337" s="9" t="b">
        <v>0</v>
      </c>
      <c r="L337" s="9" t="s">
        <v>437</v>
      </c>
      <c r="M337" s="9" t="b">
        <v>1</v>
      </c>
      <c r="N337" s="9" t="s">
        <v>2891</v>
      </c>
      <c r="O337" s="9" t="s">
        <v>4056</v>
      </c>
      <c r="P337" s="7">
        <v>388</v>
      </c>
      <c r="Q337" s="7">
        <v>350</v>
      </c>
      <c r="R337" s="7">
        <v>268</v>
      </c>
      <c r="S337" s="7">
        <v>85</v>
      </c>
      <c r="T337" s="8">
        <v>4.0999999999999996</v>
      </c>
      <c r="U337" s="8">
        <v>3.1</v>
      </c>
      <c r="V337" s="26">
        <v>2.75</v>
      </c>
      <c r="W337" s="20" t="s">
        <v>4149</v>
      </c>
      <c r="AD337" s="1"/>
      <c r="AE337" s="3"/>
      <c r="AF337" s="2"/>
      <c r="AG337" s="2"/>
      <c r="AH337" s="2"/>
      <c r="AI337" s="3"/>
      <c r="AJ337" s="1"/>
      <c r="AK337" s="1"/>
    </row>
    <row r="338" spans="1:37" x14ac:dyDescent="0.3">
      <c r="A338" s="14">
        <v>382</v>
      </c>
      <c r="B338" s="14">
        <v>4</v>
      </c>
      <c r="C338" s="9" t="s">
        <v>0</v>
      </c>
      <c r="D338" s="9" t="s">
        <v>1338</v>
      </c>
      <c r="E338" s="9" t="s">
        <v>1339</v>
      </c>
      <c r="F338" s="9" t="s">
        <v>1340</v>
      </c>
      <c r="G338" s="9">
        <v>1</v>
      </c>
      <c r="H338" s="9"/>
      <c r="I338" s="9" t="s">
        <v>67</v>
      </c>
      <c r="J338" s="9">
        <v>2</v>
      </c>
      <c r="K338" s="9" t="b">
        <v>0</v>
      </c>
      <c r="L338" s="9" t="s">
        <v>437</v>
      </c>
      <c r="M338" s="9" t="b">
        <v>0</v>
      </c>
      <c r="N338" s="9" t="s">
        <v>1341</v>
      </c>
      <c r="O338" s="9" t="s">
        <v>3558</v>
      </c>
      <c r="P338" s="7">
        <v>436</v>
      </c>
      <c r="Q338" s="7">
        <v>417</v>
      </c>
      <c r="R338" s="7">
        <v>341</v>
      </c>
      <c r="S338" s="7">
        <v>87</v>
      </c>
      <c r="T338" s="8">
        <v>3.6</v>
      </c>
      <c r="U338" s="8">
        <v>2.9</v>
      </c>
      <c r="V338" s="26">
        <v>2.75</v>
      </c>
      <c r="W338" s="23" t="s">
        <v>4163</v>
      </c>
      <c r="AD338" s="1"/>
      <c r="AE338" s="3"/>
      <c r="AF338" s="2"/>
      <c r="AG338" s="3"/>
      <c r="AH338" s="3"/>
      <c r="AI338" s="3"/>
      <c r="AJ338" s="1"/>
      <c r="AK338" s="1"/>
    </row>
    <row r="339" spans="1:37" x14ac:dyDescent="0.3">
      <c r="A339" s="14">
        <v>401</v>
      </c>
      <c r="B339" s="14">
        <v>4</v>
      </c>
      <c r="C339" s="9" t="s">
        <v>0</v>
      </c>
      <c r="D339" s="9" t="s">
        <v>1394</v>
      </c>
      <c r="E339" s="9" t="s">
        <v>1398</v>
      </c>
      <c r="F339" s="9" t="s">
        <v>1399</v>
      </c>
      <c r="G339" s="9">
        <v>1</v>
      </c>
      <c r="H339" s="9" t="s">
        <v>26</v>
      </c>
      <c r="I339" s="9"/>
      <c r="J339" s="9"/>
      <c r="K339" s="9" t="b">
        <v>0</v>
      </c>
      <c r="L339" s="9" t="s">
        <v>1401</v>
      </c>
      <c r="M339" s="9" t="b">
        <v>0</v>
      </c>
      <c r="N339" s="9" t="s">
        <v>1400</v>
      </c>
      <c r="O339" s="9" t="s">
        <v>3577</v>
      </c>
      <c r="P339" s="7">
        <v>5</v>
      </c>
      <c r="Q339" s="7">
        <v>4</v>
      </c>
      <c r="R339" s="7">
        <v>4</v>
      </c>
      <c r="S339" s="7">
        <v>2</v>
      </c>
      <c r="T339" s="8">
        <v>5</v>
      </c>
      <c r="U339" s="18">
        <v>5.7</v>
      </c>
      <c r="V339" s="26">
        <v>2.75</v>
      </c>
      <c r="W339" s="23" t="s">
        <v>4165</v>
      </c>
      <c r="AD339" s="1"/>
      <c r="AE339" s="3"/>
      <c r="AF339" s="3"/>
      <c r="AG339" s="3"/>
      <c r="AH339" s="3"/>
      <c r="AI339" s="3"/>
      <c r="AJ339" s="1"/>
      <c r="AK339" s="1"/>
    </row>
    <row r="340" spans="1:37" x14ac:dyDescent="0.3">
      <c r="A340" s="14">
        <v>398</v>
      </c>
      <c r="B340" s="14">
        <v>4</v>
      </c>
      <c r="C340" s="9" t="s">
        <v>0</v>
      </c>
      <c r="D340" s="9" t="s">
        <v>1338</v>
      </c>
      <c r="E340" s="9" t="s">
        <v>1388</v>
      </c>
      <c r="F340" s="9" t="s">
        <v>1389</v>
      </c>
      <c r="G340" s="9">
        <v>1</v>
      </c>
      <c r="H340" s="9" t="s">
        <v>252</v>
      </c>
      <c r="I340" s="9"/>
      <c r="J340" s="9"/>
      <c r="K340" s="9" t="b">
        <v>0</v>
      </c>
      <c r="L340" s="9" t="s">
        <v>430</v>
      </c>
      <c r="M340" s="9" t="b">
        <v>0</v>
      </c>
      <c r="N340" s="9" t="s">
        <v>1390</v>
      </c>
      <c r="O340" s="9" t="s">
        <v>3574</v>
      </c>
      <c r="P340" s="7">
        <v>540</v>
      </c>
      <c r="Q340" s="7">
        <v>455</v>
      </c>
      <c r="R340" s="7">
        <v>395</v>
      </c>
      <c r="S340" s="7">
        <v>80</v>
      </c>
      <c r="T340" s="8">
        <v>3.8</v>
      </c>
      <c r="U340" s="8">
        <v>2.1</v>
      </c>
      <c r="V340" s="26">
        <v>2.75</v>
      </c>
      <c r="W340" s="23" t="s">
        <v>4188</v>
      </c>
      <c r="AD340" s="1"/>
      <c r="AE340" s="3"/>
      <c r="AF340" s="2"/>
      <c r="AG340" s="3"/>
      <c r="AH340" s="3"/>
      <c r="AI340" s="3"/>
      <c r="AJ340" s="1"/>
      <c r="AK340" s="1"/>
    </row>
    <row r="341" spans="1:37" x14ac:dyDescent="0.3">
      <c r="A341" s="14">
        <v>916</v>
      </c>
      <c r="B341" s="14">
        <v>2</v>
      </c>
      <c r="C341" s="9" t="s">
        <v>1659</v>
      </c>
      <c r="D341" s="9" t="s">
        <v>1457</v>
      </c>
      <c r="E341" s="9" t="s">
        <v>2990</v>
      </c>
      <c r="F341" s="9" t="s">
        <v>2991</v>
      </c>
      <c r="G341" s="9">
        <v>1</v>
      </c>
      <c r="H341" s="9"/>
      <c r="I341" s="9"/>
      <c r="J341" s="9"/>
      <c r="K341" s="9" t="b">
        <v>0</v>
      </c>
      <c r="L341" s="9" t="s">
        <v>2993</v>
      </c>
      <c r="M341" s="9" t="b">
        <v>0</v>
      </c>
      <c r="N341" s="9" t="s">
        <v>2992</v>
      </c>
      <c r="O341" s="9" t="s">
        <v>4088</v>
      </c>
      <c r="P341" s="7">
        <v>1358</v>
      </c>
      <c r="Q341" s="7">
        <v>1162</v>
      </c>
      <c r="R341" s="7">
        <v>784</v>
      </c>
      <c r="S341" s="7">
        <v>259</v>
      </c>
      <c r="T341" s="8">
        <v>4.5999999999999996</v>
      </c>
      <c r="U341" s="8">
        <v>2.7</v>
      </c>
      <c r="V341" s="17">
        <v>2.7</v>
      </c>
      <c r="AD341" s="1"/>
      <c r="AE341" s="3"/>
      <c r="AF341" s="2"/>
      <c r="AG341" s="3"/>
      <c r="AH341" s="3"/>
      <c r="AI341" s="3"/>
      <c r="AJ341" s="1"/>
      <c r="AK341" s="1"/>
    </row>
    <row r="342" spans="1:37" x14ac:dyDescent="0.3">
      <c r="A342" s="14">
        <v>792</v>
      </c>
      <c r="B342" s="14">
        <v>1</v>
      </c>
      <c r="C342" s="9" t="s">
        <v>1659</v>
      </c>
      <c r="D342" s="9" t="s">
        <v>1077</v>
      </c>
      <c r="E342" s="9" t="s">
        <v>2620</v>
      </c>
      <c r="F342" s="9" t="s">
        <v>2621</v>
      </c>
      <c r="G342" s="9">
        <v>1</v>
      </c>
      <c r="H342" s="9"/>
      <c r="I342" s="9"/>
      <c r="J342" s="9"/>
      <c r="K342" s="9" t="b">
        <v>0</v>
      </c>
      <c r="L342" s="9" t="s">
        <v>7</v>
      </c>
      <c r="M342" s="9" t="b">
        <v>0</v>
      </c>
      <c r="N342" s="9" t="s">
        <v>2622</v>
      </c>
      <c r="O342" s="9" t="s">
        <v>3967</v>
      </c>
      <c r="P342" s="7">
        <v>1409</v>
      </c>
      <c r="Q342" s="7">
        <v>1338</v>
      </c>
      <c r="R342" s="7">
        <v>936</v>
      </c>
      <c r="S342" s="7">
        <v>262</v>
      </c>
      <c r="T342" s="8">
        <v>3.7</v>
      </c>
      <c r="U342" s="8">
        <v>2.7</v>
      </c>
      <c r="V342" s="17">
        <v>2.7</v>
      </c>
      <c r="AD342" s="1"/>
      <c r="AE342" s="3"/>
      <c r="AF342" s="2"/>
      <c r="AG342" s="2"/>
      <c r="AH342" s="2"/>
      <c r="AI342" s="3"/>
      <c r="AJ342" s="1"/>
      <c r="AK342" s="1"/>
    </row>
    <row r="343" spans="1:37" x14ac:dyDescent="0.3">
      <c r="A343" s="14">
        <v>570</v>
      </c>
      <c r="B343" s="14">
        <v>2</v>
      </c>
      <c r="C343" s="9" t="s">
        <v>1659</v>
      </c>
      <c r="D343" s="9" t="s">
        <v>180</v>
      </c>
      <c r="E343" s="9" t="s">
        <v>1932</v>
      </c>
      <c r="F343" s="9" t="s">
        <v>1933</v>
      </c>
      <c r="G343" s="9">
        <v>3</v>
      </c>
      <c r="H343" s="9"/>
      <c r="I343" s="9"/>
      <c r="J343" s="9"/>
      <c r="K343" s="9" t="b">
        <v>0</v>
      </c>
      <c r="L343" s="9" t="s">
        <v>238</v>
      </c>
      <c r="M343" s="9" t="b">
        <v>1</v>
      </c>
      <c r="N343" s="9" t="s">
        <v>1934</v>
      </c>
      <c r="O343" s="9" t="s">
        <v>3745</v>
      </c>
      <c r="P343" s="7">
        <v>1274</v>
      </c>
      <c r="Q343" s="7">
        <v>1091</v>
      </c>
      <c r="R343" s="7">
        <v>858</v>
      </c>
      <c r="S343" s="7">
        <v>238</v>
      </c>
      <c r="T343" s="8">
        <v>4.4000000000000004</v>
      </c>
      <c r="U343" s="8">
        <v>2.7</v>
      </c>
      <c r="V343" s="17">
        <v>2.7</v>
      </c>
      <c r="AD343" s="1"/>
      <c r="AE343" s="3"/>
      <c r="AF343" s="2"/>
      <c r="AG343" s="2"/>
      <c r="AH343" s="3"/>
      <c r="AI343" s="3"/>
      <c r="AJ343" s="1"/>
      <c r="AK343" s="1"/>
    </row>
    <row r="344" spans="1:37" x14ac:dyDescent="0.3">
      <c r="A344" s="14">
        <v>939</v>
      </c>
      <c r="B344" s="14">
        <v>2</v>
      </c>
      <c r="C344" s="9" t="s">
        <v>1659</v>
      </c>
      <c r="D344" s="9" t="s">
        <v>1457</v>
      </c>
      <c r="E344" s="9" t="s">
        <v>3064</v>
      </c>
      <c r="F344" s="9" t="s">
        <v>3065</v>
      </c>
      <c r="G344" s="9">
        <v>1</v>
      </c>
      <c r="H344" s="9"/>
      <c r="I344" s="9"/>
      <c r="J344" s="9"/>
      <c r="K344" s="9" t="b">
        <v>0</v>
      </c>
      <c r="L344" s="9" t="s">
        <v>296</v>
      </c>
      <c r="M344" s="9" t="b">
        <v>0</v>
      </c>
      <c r="N344" s="9" t="s">
        <v>3066</v>
      </c>
      <c r="O344" s="9" t="s">
        <v>4111</v>
      </c>
      <c r="P344" s="7">
        <v>1327</v>
      </c>
      <c r="Q344" s="7">
        <v>1277</v>
      </c>
      <c r="R344" s="7">
        <v>1081</v>
      </c>
      <c r="S344" s="7">
        <v>250</v>
      </c>
      <c r="T344" s="8">
        <v>3</v>
      </c>
      <c r="U344" s="8">
        <v>2.7</v>
      </c>
      <c r="V344" s="17">
        <v>2.7</v>
      </c>
      <c r="AD344" s="1"/>
      <c r="AE344" s="3"/>
      <c r="AF344" s="2"/>
      <c r="AG344" s="2"/>
      <c r="AH344" s="2"/>
      <c r="AI344" s="3"/>
      <c r="AJ344" s="1"/>
      <c r="AK344" s="1"/>
    </row>
    <row r="345" spans="1:37" x14ac:dyDescent="0.3">
      <c r="A345" s="14">
        <v>940</v>
      </c>
      <c r="B345" s="14">
        <v>2</v>
      </c>
      <c r="C345" s="9" t="s">
        <v>1659</v>
      </c>
      <c r="D345" s="9" t="s">
        <v>1457</v>
      </c>
      <c r="E345" s="9" t="s">
        <v>3067</v>
      </c>
      <c r="F345" s="9" t="s">
        <v>3068</v>
      </c>
      <c r="G345" s="9">
        <v>1</v>
      </c>
      <c r="H345" s="9"/>
      <c r="I345" s="9"/>
      <c r="J345" s="9"/>
      <c r="K345" s="9" t="b">
        <v>0</v>
      </c>
      <c r="L345" s="9" t="s">
        <v>205</v>
      </c>
      <c r="M345" s="9" t="b">
        <v>1</v>
      </c>
      <c r="N345" s="9" t="s">
        <v>3069</v>
      </c>
      <c r="O345" s="9" t="s">
        <v>4112</v>
      </c>
      <c r="P345" s="7">
        <v>1345</v>
      </c>
      <c r="Q345" s="7">
        <v>1321</v>
      </c>
      <c r="R345" s="7">
        <v>1014</v>
      </c>
      <c r="S345" s="7">
        <v>257</v>
      </c>
      <c r="T345" s="8">
        <v>3.6</v>
      </c>
      <c r="U345" s="8">
        <v>2.7</v>
      </c>
      <c r="V345" s="17">
        <v>2.7</v>
      </c>
      <c r="AD345" s="1"/>
      <c r="AE345" s="3"/>
      <c r="AF345" s="2"/>
      <c r="AG345" s="2"/>
      <c r="AH345" s="3"/>
      <c r="AI345" s="3"/>
      <c r="AJ345" s="1"/>
      <c r="AK345" s="1"/>
    </row>
    <row r="346" spans="1:37" x14ac:dyDescent="0.3">
      <c r="A346" s="14">
        <v>947</v>
      </c>
      <c r="B346" s="14">
        <v>2</v>
      </c>
      <c r="C346" s="9" t="s">
        <v>1659</v>
      </c>
      <c r="D346" s="9" t="s">
        <v>1457</v>
      </c>
      <c r="E346" s="9" t="s">
        <v>3088</v>
      </c>
      <c r="F346" s="9" t="s">
        <v>3089</v>
      </c>
      <c r="G346" s="9">
        <v>1</v>
      </c>
      <c r="H346" s="9"/>
      <c r="I346" s="9"/>
      <c r="J346" s="9"/>
      <c r="K346" s="9" t="b">
        <v>0</v>
      </c>
      <c r="L346" s="9" t="s">
        <v>1073</v>
      </c>
      <c r="M346" s="9" t="b">
        <v>0</v>
      </c>
      <c r="N346" s="9" t="s">
        <v>3090</v>
      </c>
      <c r="O346" s="9" t="s">
        <v>4119</v>
      </c>
      <c r="P346" s="7">
        <v>1314</v>
      </c>
      <c r="Q346" s="7">
        <v>1265</v>
      </c>
      <c r="R346" s="7">
        <v>993</v>
      </c>
      <c r="S346" s="7">
        <v>244</v>
      </c>
      <c r="T346" s="8">
        <v>3.2</v>
      </c>
      <c r="U346" s="8">
        <v>2.7</v>
      </c>
      <c r="V346" s="17">
        <v>2.7</v>
      </c>
      <c r="AD346" s="1"/>
      <c r="AE346" s="3"/>
      <c r="AF346" s="2"/>
      <c r="AG346" s="2"/>
      <c r="AH346" s="3"/>
      <c r="AI346" s="3"/>
      <c r="AJ346" s="1"/>
      <c r="AK346" s="1"/>
    </row>
    <row r="347" spans="1:37" x14ac:dyDescent="0.3">
      <c r="A347" s="14">
        <v>706</v>
      </c>
      <c r="B347" s="14">
        <v>3</v>
      </c>
      <c r="C347" s="9" t="s">
        <v>1659</v>
      </c>
      <c r="D347" s="9" t="s">
        <v>411</v>
      </c>
      <c r="E347" s="9" t="s">
        <v>2357</v>
      </c>
      <c r="F347" s="9" t="s">
        <v>2358</v>
      </c>
      <c r="G347" s="9">
        <v>1</v>
      </c>
      <c r="H347" s="9"/>
      <c r="I347" s="9"/>
      <c r="J347" s="9"/>
      <c r="K347" s="9" t="b">
        <v>0</v>
      </c>
      <c r="L347" s="9" t="s">
        <v>416</v>
      </c>
      <c r="M347" s="9" t="b">
        <v>0</v>
      </c>
      <c r="N347" s="9" t="s">
        <v>2359</v>
      </c>
      <c r="O347" s="9" t="s">
        <v>3881</v>
      </c>
      <c r="P347" s="7">
        <v>1098</v>
      </c>
      <c r="Q347" s="7">
        <v>924</v>
      </c>
      <c r="R347" s="7">
        <v>670</v>
      </c>
      <c r="S347" s="7">
        <v>209</v>
      </c>
      <c r="T347" s="8">
        <v>4.2</v>
      </c>
      <c r="U347" s="8">
        <v>2.7</v>
      </c>
      <c r="V347" s="17">
        <v>2.7</v>
      </c>
      <c r="AD347" s="1"/>
      <c r="AE347" s="3"/>
      <c r="AF347" s="2"/>
      <c r="AG347" s="3"/>
      <c r="AH347" s="3"/>
      <c r="AI347" s="3"/>
      <c r="AJ347" s="1"/>
      <c r="AK347" s="1"/>
    </row>
    <row r="348" spans="1:37" x14ac:dyDescent="0.3">
      <c r="A348" s="14">
        <v>852</v>
      </c>
      <c r="B348" s="14">
        <v>1</v>
      </c>
      <c r="C348" s="9" t="s">
        <v>1659</v>
      </c>
      <c r="D348" s="9" t="s">
        <v>1208</v>
      </c>
      <c r="E348" s="9" t="s">
        <v>2800</v>
      </c>
      <c r="F348" s="9" t="s">
        <v>2801</v>
      </c>
      <c r="G348" s="9">
        <v>1</v>
      </c>
      <c r="H348" s="9"/>
      <c r="I348" s="9"/>
      <c r="J348" s="9"/>
      <c r="K348" s="9" t="b">
        <v>0</v>
      </c>
      <c r="L348" s="9" t="s">
        <v>7</v>
      </c>
      <c r="M348" s="9" t="b">
        <v>0</v>
      </c>
      <c r="N348" s="9" t="s">
        <v>2802</v>
      </c>
      <c r="O348" s="9" t="s">
        <v>4027</v>
      </c>
      <c r="P348" s="7">
        <v>1371</v>
      </c>
      <c r="Q348" s="7">
        <v>1250</v>
      </c>
      <c r="R348" s="7">
        <v>941</v>
      </c>
      <c r="S348" s="7">
        <v>255</v>
      </c>
      <c r="T348" s="8">
        <v>4.0999999999999996</v>
      </c>
      <c r="U348" s="8">
        <v>2.7</v>
      </c>
      <c r="V348" s="17">
        <v>2.7</v>
      </c>
      <c r="AD348" s="1"/>
      <c r="AE348" s="3"/>
      <c r="AF348" s="2"/>
      <c r="AG348" s="3"/>
      <c r="AH348" s="3"/>
      <c r="AI348" s="3"/>
      <c r="AJ348" s="1"/>
      <c r="AK348" s="1"/>
    </row>
    <row r="349" spans="1:37" x14ac:dyDescent="0.3">
      <c r="A349" s="14">
        <v>595</v>
      </c>
      <c r="B349" s="14">
        <v>2</v>
      </c>
      <c r="C349" s="9" t="s">
        <v>1659</v>
      </c>
      <c r="D349" s="9" t="s">
        <v>180</v>
      </c>
      <c r="E349" s="9" t="s">
        <v>2010</v>
      </c>
      <c r="F349" s="9" t="s">
        <v>2011</v>
      </c>
      <c r="G349" s="9">
        <v>3</v>
      </c>
      <c r="H349" s="9"/>
      <c r="I349" s="9"/>
      <c r="J349" s="9"/>
      <c r="K349" s="9" t="b">
        <v>0</v>
      </c>
      <c r="L349" s="9" t="s">
        <v>194</v>
      </c>
      <c r="M349" s="9" t="b">
        <v>0</v>
      </c>
      <c r="N349" s="9" t="s">
        <v>2012</v>
      </c>
      <c r="O349" s="9" t="s">
        <v>3770</v>
      </c>
      <c r="P349" s="7">
        <v>1319</v>
      </c>
      <c r="Q349" s="7">
        <v>1152</v>
      </c>
      <c r="R349" s="7">
        <v>810</v>
      </c>
      <c r="S349" s="7">
        <v>247</v>
      </c>
      <c r="T349" s="8">
        <v>4.3</v>
      </c>
      <c r="U349" s="8">
        <v>2.7</v>
      </c>
      <c r="V349" s="17">
        <v>2.7</v>
      </c>
      <c r="AD349" s="1"/>
      <c r="AE349" s="3"/>
      <c r="AF349" s="2"/>
      <c r="AG349" s="2"/>
      <c r="AH349" s="3"/>
      <c r="AI349" s="3"/>
      <c r="AJ349" s="1"/>
      <c r="AK349" s="1"/>
    </row>
    <row r="350" spans="1:37" x14ac:dyDescent="0.3">
      <c r="A350" s="14">
        <v>596</v>
      </c>
      <c r="B350" s="14">
        <v>2</v>
      </c>
      <c r="C350" s="9" t="s">
        <v>1659</v>
      </c>
      <c r="D350" s="9" t="s">
        <v>180</v>
      </c>
      <c r="E350" s="9" t="s">
        <v>2013</v>
      </c>
      <c r="F350" s="9" t="s">
        <v>2014</v>
      </c>
      <c r="G350" s="9">
        <v>4</v>
      </c>
      <c r="H350" s="9"/>
      <c r="I350" s="9"/>
      <c r="J350" s="9"/>
      <c r="K350" s="9" t="b">
        <v>0</v>
      </c>
      <c r="L350" s="9" t="s">
        <v>2016</v>
      </c>
      <c r="M350" s="9" t="b">
        <v>0</v>
      </c>
      <c r="N350" s="9" t="s">
        <v>2015</v>
      </c>
      <c r="O350" s="9" t="s">
        <v>3771</v>
      </c>
      <c r="P350" s="7">
        <v>1338</v>
      </c>
      <c r="Q350" s="7">
        <v>1135</v>
      </c>
      <c r="R350" s="7">
        <v>758</v>
      </c>
      <c r="S350" s="7">
        <v>253</v>
      </c>
      <c r="T350" s="8">
        <v>4.5</v>
      </c>
      <c r="U350" s="8">
        <v>2.7</v>
      </c>
      <c r="V350" s="17">
        <v>2.7</v>
      </c>
      <c r="AD350" s="1"/>
      <c r="AE350" s="3"/>
      <c r="AF350" s="2"/>
      <c r="AG350" s="2"/>
      <c r="AH350" s="3"/>
      <c r="AI350" s="3"/>
      <c r="AJ350" s="1"/>
      <c r="AK350" s="1"/>
    </row>
    <row r="351" spans="1:37" x14ac:dyDescent="0.3">
      <c r="A351" s="14">
        <v>537</v>
      </c>
      <c r="B351" s="14">
        <v>1</v>
      </c>
      <c r="C351" s="9" t="s">
        <v>1659</v>
      </c>
      <c r="D351" s="9" t="s">
        <v>1</v>
      </c>
      <c r="E351" s="9" t="s">
        <v>1831</v>
      </c>
      <c r="F351" s="9" t="s">
        <v>1832</v>
      </c>
      <c r="G351" s="9">
        <v>4</v>
      </c>
      <c r="H351" s="9"/>
      <c r="I351" s="9"/>
      <c r="J351" s="9"/>
      <c r="K351" s="9" t="b">
        <v>0</v>
      </c>
      <c r="L351" s="9" t="s">
        <v>7</v>
      </c>
      <c r="M351" s="9" t="b">
        <v>0</v>
      </c>
      <c r="N351" s="9" t="s">
        <v>1809</v>
      </c>
      <c r="O351" s="9" t="s">
        <v>3712</v>
      </c>
      <c r="P351" s="7">
        <v>1349</v>
      </c>
      <c r="Q351" s="7">
        <v>1266</v>
      </c>
      <c r="R351" s="7">
        <v>902</v>
      </c>
      <c r="S351" s="7">
        <v>253</v>
      </c>
      <c r="T351" s="8">
        <v>4.0999999999999996</v>
      </c>
      <c r="U351" s="8">
        <v>2.7</v>
      </c>
      <c r="V351" s="17">
        <v>2.7</v>
      </c>
      <c r="AD351" s="1"/>
      <c r="AE351" s="3"/>
      <c r="AF351" s="2"/>
      <c r="AG351" s="2"/>
      <c r="AH351" s="3"/>
      <c r="AI351" s="3"/>
      <c r="AJ351" s="1"/>
      <c r="AK351" s="1"/>
    </row>
    <row r="352" spans="1:37" x14ac:dyDescent="0.3">
      <c r="A352" s="14">
        <v>767</v>
      </c>
      <c r="B352" s="14">
        <v>3</v>
      </c>
      <c r="C352" s="9" t="s">
        <v>1659</v>
      </c>
      <c r="D352" s="9" t="s">
        <v>411</v>
      </c>
      <c r="E352" s="9" t="s">
        <v>2544</v>
      </c>
      <c r="F352" s="9" t="s">
        <v>2545</v>
      </c>
      <c r="G352" s="9">
        <v>1</v>
      </c>
      <c r="H352" s="9"/>
      <c r="I352" s="9"/>
      <c r="J352" s="9"/>
      <c r="K352" s="9" t="b">
        <v>0</v>
      </c>
      <c r="L352" s="9" t="s">
        <v>526</v>
      </c>
      <c r="M352" s="9" t="b">
        <v>0</v>
      </c>
      <c r="N352" s="9" t="s">
        <v>2546</v>
      </c>
      <c r="O352" s="9" t="s">
        <v>3942</v>
      </c>
      <c r="P352" s="7">
        <v>914</v>
      </c>
      <c r="Q352" s="7">
        <v>783</v>
      </c>
      <c r="R352" s="7">
        <v>549</v>
      </c>
      <c r="S352" s="7">
        <v>171</v>
      </c>
      <c r="T352" s="8">
        <v>3.8</v>
      </c>
      <c r="U352" s="8">
        <v>2.7</v>
      </c>
      <c r="V352" s="17">
        <v>2.7</v>
      </c>
      <c r="AD352" s="1"/>
      <c r="AE352" s="3"/>
      <c r="AF352" s="2"/>
      <c r="AG352" s="3"/>
      <c r="AH352" s="3"/>
      <c r="AI352" s="3"/>
      <c r="AJ352" s="1"/>
      <c r="AK352" s="1"/>
    </row>
    <row r="353" spans="1:37" x14ac:dyDescent="0.3">
      <c r="A353" s="14">
        <v>341</v>
      </c>
      <c r="B353" s="14">
        <v>1</v>
      </c>
      <c r="C353" s="9" t="s">
        <v>0</v>
      </c>
      <c r="D353" s="9" t="s">
        <v>1208</v>
      </c>
      <c r="E353" s="9" t="s">
        <v>1209</v>
      </c>
      <c r="F353" s="9" t="s">
        <v>1210</v>
      </c>
      <c r="G353" s="9">
        <v>1</v>
      </c>
      <c r="H353" s="9" t="s">
        <v>10</v>
      </c>
      <c r="I353" s="9"/>
      <c r="J353" s="9"/>
      <c r="K353" s="9" t="b">
        <v>0</v>
      </c>
      <c r="L353" s="9" t="s">
        <v>7</v>
      </c>
      <c r="M353" s="9" t="b">
        <v>0</v>
      </c>
      <c r="N353" s="9" t="s">
        <v>1211</v>
      </c>
      <c r="O353" s="9" t="s">
        <v>3517</v>
      </c>
      <c r="P353" s="7">
        <v>1443</v>
      </c>
      <c r="Q353" s="7">
        <v>1206</v>
      </c>
      <c r="R353" s="7">
        <v>1016</v>
      </c>
      <c r="S353" s="7">
        <v>270</v>
      </c>
      <c r="T353" s="8">
        <v>4.5</v>
      </c>
      <c r="U353" s="8">
        <v>2.7</v>
      </c>
      <c r="V353" s="17">
        <v>2.7</v>
      </c>
      <c r="AD353" s="1"/>
      <c r="AE353" s="3"/>
      <c r="AF353" s="3"/>
      <c r="AG353" s="3"/>
      <c r="AH353" s="3"/>
      <c r="AI353" s="3"/>
      <c r="AJ353" s="1"/>
      <c r="AK353" s="1"/>
    </row>
    <row r="354" spans="1:37" x14ac:dyDescent="0.3">
      <c r="A354" s="14">
        <v>124</v>
      </c>
      <c r="B354" s="14">
        <v>3</v>
      </c>
      <c r="C354" s="9" t="s">
        <v>0</v>
      </c>
      <c r="D354" s="9" t="s">
        <v>411</v>
      </c>
      <c r="E354" s="9" t="s">
        <v>473</v>
      </c>
      <c r="F354" s="9" t="s">
        <v>474</v>
      </c>
      <c r="G354" s="9">
        <v>1</v>
      </c>
      <c r="H354" s="9" t="s">
        <v>475</v>
      </c>
      <c r="I354" s="9"/>
      <c r="J354" s="9"/>
      <c r="K354" s="9" t="b">
        <v>1</v>
      </c>
      <c r="L354" s="9" t="s">
        <v>416</v>
      </c>
      <c r="M354" s="9" t="b">
        <v>0</v>
      </c>
      <c r="N354" s="9" t="s">
        <v>476</v>
      </c>
      <c r="O354" s="9" t="s">
        <v>3300</v>
      </c>
      <c r="P354" s="7">
        <v>898</v>
      </c>
      <c r="Q354" s="7">
        <v>671</v>
      </c>
      <c r="R354" s="7">
        <v>489</v>
      </c>
      <c r="S354" s="7">
        <v>172</v>
      </c>
      <c r="T354" s="8">
        <v>5.0999999999999996</v>
      </c>
      <c r="U354" s="8">
        <v>2.7</v>
      </c>
      <c r="V354" s="17">
        <v>2.7</v>
      </c>
      <c r="AD354" s="1"/>
      <c r="AE354" s="3"/>
      <c r="AF354" s="3"/>
      <c r="AG354" s="3"/>
      <c r="AH354" s="3"/>
      <c r="AI354" s="3"/>
      <c r="AJ354" s="1"/>
      <c r="AK354" s="1"/>
    </row>
    <row r="355" spans="1:37" x14ac:dyDescent="0.3">
      <c r="A355" s="14">
        <v>125</v>
      </c>
      <c r="B355" s="14">
        <v>3</v>
      </c>
      <c r="C355" s="9" t="s">
        <v>0</v>
      </c>
      <c r="D355" s="9" t="s">
        <v>411</v>
      </c>
      <c r="E355" s="9" t="s">
        <v>477</v>
      </c>
      <c r="F355" s="9" t="s">
        <v>478</v>
      </c>
      <c r="G355" s="9">
        <v>1</v>
      </c>
      <c r="H355" s="9"/>
      <c r="I355" s="9" t="s">
        <v>114</v>
      </c>
      <c r="J355" s="9">
        <v>1</v>
      </c>
      <c r="K355" s="9" t="b">
        <v>0</v>
      </c>
      <c r="L355" s="9" t="s">
        <v>185</v>
      </c>
      <c r="M355" s="9" t="b">
        <v>0</v>
      </c>
      <c r="N355" s="9" t="s">
        <v>479</v>
      </c>
      <c r="O355" s="9" t="s">
        <v>3301</v>
      </c>
      <c r="P355" s="7">
        <v>908</v>
      </c>
      <c r="Q355" s="7">
        <v>761</v>
      </c>
      <c r="R355" s="7">
        <v>552</v>
      </c>
      <c r="S355" s="7">
        <v>174</v>
      </c>
      <c r="T355" s="8">
        <v>4.3</v>
      </c>
      <c r="U355" s="8">
        <v>2.7</v>
      </c>
      <c r="V355" s="17">
        <v>2.7</v>
      </c>
      <c r="AD355" s="1"/>
      <c r="AE355" s="3"/>
      <c r="AF355" s="2"/>
      <c r="AG355" s="2"/>
      <c r="AH355" s="3"/>
      <c r="AI355" s="3"/>
      <c r="AJ355" s="1"/>
      <c r="AK355" s="1"/>
    </row>
    <row r="356" spans="1:37" x14ac:dyDescent="0.3">
      <c r="A356" s="14">
        <v>132</v>
      </c>
      <c r="B356" s="14">
        <v>3</v>
      </c>
      <c r="C356" s="9" t="s">
        <v>0</v>
      </c>
      <c r="D356" s="9" t="s">
        <v>411</v>
      </c>
      <c r="E356" s="9" t="s">
        <v>501</v>
      </c>
      <c r="F356" s="9" t="s">
        <v>502</v>
      </c>
      <c r="G356" s="9">
        <v>1</v>
      </c>
      <c r="H356" s="9"/>
      <c r="I356" s="9" t="s">
        <v>5</v>
      </c>
      <c r="J356" s="9">
        <v>1</v>
      </c>
      <c r="K356" s="9" t="b">
        <v>0</v>
      </c>
      <c r="L356" s="9" t="s">
        <v>416</v>
      </c>
      <c r="M356" s="9" t="b">
        <v>0</v>
      </c>
      <c r="N356" s="9" t="s">
        <v>503</v>
      </c>
      <c r="O356" s="9" t="s">
        <v>3308</v>
      </c>
      <c r="P356" s="7">
        <v>927</v>
      </c>
      <c r="Q356" s="7">
        <v>772</v>
      </c>
      <c r="R356" s="7">
        <v>596</v>
      </c>
      <c r="S356" s="7">
        <v>176</v>
      </c>
      <c r="T356" s="8">
        <v>3.9</v>
      </c>
      <c r="U356" s="8">
        <v>2.7</v>
      </c>
      <c r="V356" s="17">
        <v>2.7</v>
      </c>
      <c r="AD356" s="1"/>
      <c r="AE356" s="3"/>
      <c r="AF356" s="2"/>
      <c r="AG356" s="3"/>
      <c r="AH356" s="3"/>
      <c r="AI356" s="3"/>
      <c r="AJ356" s="1"/>
      <c r="AK356" s="1"/>
    </row>
    <row r="357" spans="1:37" x14ac:dyDescent="0.3">
      <c r="A357" s="14">
        <v>162</v>
      </c>
      <c r="B357" s="14">
        <v>3</v>
      </c>
      <c r="C357" s="9" t="s">
        <v>0</v>
      </c>
      <c r="D357" s="9" t="s">
        <v>411</v>
      </c>
      <c r="E357" s="9" t="s">
        <v>612</v>
      </c>
      <c r="F357" s="10" t="s">
        <v>613</v>
      </c>
      <c r="G357" s="9">
        <v>1</v>
      </c>
      <c r="H357" s="9" t="s">
        <v>26</v>
      </c>
      <c r="I357" s="9" t="s">
        <v>614</v>
      </c>
      <c r="J357" s="9">
        <v>1</v>
      </c>
      <c r="K357" s="9" t="b">
        <v>0</v>
      </c>
      <c r="L357" s="9" t="s">
        <v>531</v>
      </c>
      <c r="M357" s="9" t="b">
        <v>0</v>
      </c>
      <c r="N357" s="9" t="s">
        <v>615</v>
      </c>
      <c r="O357" s="9" t="s">
        <v>3338</v>
      </c>
      <c r="P357" s="7">
        <v>895</v>
      </c>
      <c r="Q357" s="7">
        <v>864</v>
      </c>
      <c r="R357" s="7">
        <v>759</v>
      </c>
      <c r="S357" s="7">
        <v>170</v>
      </c>
      <c r="T357" s="8">
        <v>3</v>
      </c>
      <c r="U357" s="8">
        <v>2.7</v>
      </c>
      <c r="V357" s="17">
        <v>2.7</v>
      </c>
      <c r="AD357" s="1"/>
      <c r="AE357" s="3"/>
      <c r="AF357" s="3"/>
      <c r="AG357" s="3"/>
      <c r="AH357" s="3"/>
      <c r="AI357" s="3"/>
      <c r="AJ357" s="1"/>
      <c r="AK357" s="1"/>
    </row>
    <row r="358" spans="1:37" x14ac:dyDescent="0.3">
      <c r="A358" s="14">
        <v>168</v>
      </c>
      <c r="B358" s="14">
        <v>3</v>
      </c>
      <c r="C358" s="9" t="s">
        <v>0</v>
      </c>
      <c r="D358" s="9" t="s">
        <v>411</v>
      </c>
      <c r="E358" s="9" t="s">
        <v>633</v>
      </c>
      <c r="F358" s="9" t="s">
        <v>634</v>
      </c>
      <c r="G358" s="9">
        <v>1</v>
      </c>
      <c r="H358" s="9" t="s">
        <v>635</v>
      </c>
      <c r="I358" s="9"/>
      <c r="J358" s="9">
        <v>1</v>
      </c>
      <c r="K358" s="9" t="b">
        <v>0</v>
      </c>
      <c r="L358" s="9" t="s">
        <v>416</v>
      </c>
      <c r="M358" s="9" t="b">
        <v>0</v>
      </c>
      <c r="N358" s="9" t="s">
        <v>636</v>
      </c>
      <c r="O358" s="9" t="s">
        <v>3344</v>
      </c>
      <c r="P358" s="7">
        <v>898</v>
      </c>
      <c r="Q358" s="7">
        <v>846</v>
      </c>
      <c r="R358" s="7">
        <v>571</v>
      </c>
      <c r="S358" s="7">
        <v>172</v>
      </c>
      <c r="T358" s="8">
        <v>3.9</v>
      </c>
      <c r="U358" s="8">
        <v>2.7</v>
      </c>
      <c r="V358" s="17">
        <v>2.7</v>
      </c>
      <c r="AD358" s="1"/>
      <c r="AE358" s="3"/>
      <c r="AF358" s="2"/>
      <c r="AG358" s="3"/>
      <c r="AH358" s="3"/>
      <c r="AI358" s="3"/>
      <c r="AJ358" s="1"/>
      <c r="AK358" s="1"/>
    </row>
    <row r="359" spans="1:37" x14ac:dyDescent="0.3">
      <c r="A359" s="14">
        <v>182</v>
      </c>
      <c r="B359" s="14">
        <v>3</v>
      </c>
      <c r="C359" s="9" t="s">
        <v>0</v>
      </c>
      <c r="D359" s="9" t="s">
        <v>411</v>
      </c>
      <c r="E359" s="9" t="s">
        <v>679</v>
      </c>
      <c r="F359" s="9" t="s">
        <v>680</v>
      </c>
      <c r="G359" s="9">
        <v>1</v>
      </c>
      <c r="H359" s="9"/>
      <c r="I359" s="9" t="s">
        <v>22</v>
      </c>
      <c r="J359" s="9"/>
      <c r="K359" s="9" t="b">
        <v>0</v>
      </c>
      <c r="L359" s="9" t="s">
        <v>420</v>
      </c>
      <c r="M359" s="9" t="b">
        <v>1</v>
      </c>
      <c r="N359" s="9" t="s">
        <v>681</v>
      </c>
      <c r="O359" s="9" t="s">
        <v>3358</v>
      </c>
      <c r="P359" s="7">
        <v>1237</v>
      </c>
      <c r="Q359" s="7">
        <v>1089</v>
      </c>
      <c r="R359" s="7">
        <v>733</v>
      </c>
      <c r="S359" s="7">
        <v>237</v>
      </c>
      <c r="T359" s="8">
        <v>4.7</v>
      </c>
      <c r="U359" s="8">
        <v>2.7</v>
      </c>
      <c r="V359" s="17">
        <v>2.7</v>
      </c>
      <c r="AD359" s="1"/>
      <c r="AE359" s="3"/>
      <c r="AF359" s="2"/>
      <c r="AG359" s="3"/>
      <c r="AH359" s="3"/>
      <c r="AI359" s="3"/>
      <c r="AJ359" s="1"/>
      <c r="AK359" s="1"/>
    </row>
    <row r="360" spans="1:37" x14ac:dyDescent="0.3">
      <c r="A360" s="14">
        <v>185</v>
      </c>
      <c r="B360" s="14">
        <v>3</v>
      </c>
      <c r="C360" s="9" t="s">
        <v>0</v>
      </c>
      <c r="D360" s="9" t="s">
        <v>411</v>
      </c>
      <c r="E360" s="9" t="s">
        <v>689</v>
      </c>
      <c r="F360" s="9" t="s">
        <v>690</v>
      </c>
      <c r="G360" s="9">
        <v>1</v>
      </c>
      <c r="H360" s="9"/>
      <c r="I360" s="9"/>
      <c r="J360" s="9"/>
      <c r="K360" s="9" t="b">
        <v>1</v>
      </c>
      <c r="L360" s="9" t="s">
        <v>430</v>
      </c>
      <c r="M360" s="9" t="b">
        <v>0</v>
      </c>
      <c r="N360" s="9" t="s">
        <v>691</v>
      </c>
      <c r="O360" s="9" t="s">
        <v>3361</v>
      </c>
      <c r="P360" s="7">
        <v>1143</v>
      </c>
      <c r="Q360" s="7">
        <v>911</v>
      </c>
      <c r="R360" s="7">
        <v>765</v>
      </c>
      <c r="S360" s="7">
        <v>216</v>
      </c>
      <c r="T360" s="8">
        <v>5</v>
      </c>
      <c r="U360" s="8">
        <v>2.7</v>
      </c>
      <c r="V360" s="17">
        <v>2.7</v>
      </c>
      <c r="AD360" s="1"/>
      <c r="AE360" s="3"/>
      <c r="AF360" s="2"/>
      <c r="AG360" s="3"/>
      <c r="AH360" s="3"/>
      <c r="AI360" s="3"/>
      <c r="AJ360" s="1"/>
      <c r="AK360" s="1"/>
    </row>
    <row r="361" spans="1:37" x14ac:dyDescent="0.3">
      <c r="A361" s="14">
        <v>366</v>
      </c>
      <c r="B361" s="14">
        <v>1</v>
      </c>
      <c r="C361" s="9" t="s">
        <v>0</v>
      </c>
      <c r="D361" s="9" t="s">
        <v>1208</v>
      </c>
      <c r="E361" s="9" t="s">
        <v>1287</v>
      </c>
      <c r="F361" s="9" t="s">
        <v>1288</v>
      </c>
      <c r="G361" s="9">
        <v>1</v>
      </c>
      <c r="H361" s="9"/>
      <c r="I361" s="9" t="s">
        <v>114</v>
      </c>
      <c r="J361" s="9"/>
      <c r="K361" s="9" t="b">
        <v>1</v>
      </c>
      <c r="L361" s="9" t="s">
        <v>7</v>
      </c>
      <c r="M361" s="9" t="b">
        <v>0</v>
      </c>
      <c r="N361" s="9" t="s">
        <v>1289</v>
      </c>
      <c r="O361" s="9" t="s">
        <v>3542</v>
      </c>
      <c r="P361" s="7">
        <v>1399</v>
      </c>
      <c r="Q361" s="7">
        <v>1157</v>
      </c>
      <c r="R361" s="7">
        <v>942</v>
      </c>
      <c r="S361" s="7">
        <v>261</v>
      </c>
      <c r="T361" s="8">
        <v>4.8</v>
      </c>
      <c r="U361" s="8">
        <v>2.7</v>
      </c>
      <c r="V361" s="17">
        <v>2.7</v>
      </c>
      <c r="AD361" s="1"/>
      <c r="AE361" s="3"/>
      <c r="AF361" s="3"/>
      <c r="AG361" s="3"/>
      <c r="AH361" s="3"/>
      <c r="AI361" s="3"/>
      <c r="AJ361" s="1"/>
      <c r="AK361" s="1"/>
    </row>
    <row r="362" spans="1:37" x14ac:dyDescent="0.3">
      <c r="A362" s="14">
        <v>459</v>
      </c>
      <c r="B362" s="14">
        <v>2</v>
      </c>
      <c r="C362" s="9" t="s">
        <v>0</v>
      </c>
      <c r="D362" s="9" t="s">
        <v>1457</v>
      </c>
      <c r="E362" s="9" t="s">
        <v>1590</v>
      </c>
      <c r="F362" s="9" t="s">
        <v>1591</v>
      </c>
      <c r="G362" s="9">
        <v>1</v>
      </c>
      <c r="H362" s="9"/>
      <c r="I362" s="9" t="s">
        <v>77</v>
      </c>
      <c r="J362" s="9">
        <v>1</v>
      </c>
      <c r="K362" s="9" t="b">
        <v>0</v>
      </c>
      <c r="L362" s="9" t="s">
        <v>296</v>
      </c>
      <c r="M362" s="9" t="b">
        <v>0</v>
      </c>
      <c r="N362" s="9" t="s">
        <v>1592</v>
      </c>
      <c r="O362" s="9" t="s">
        <v>3634</v>
      </c>
      <c r="P362" s="7">
        <v>1527</v>
      </c>
      <c r="Q362" s="7">
        <v>1343</v>
      </c>
      <c r="R362" s="7">
        <v>1078</v>
      </c>
      <c r="S362" s="7">
        <v>287</v>
      </c>
      <c r="T362" s="8">
        <v>4.2</v>
      </c>
      <c r="U362" s="8">
        <v>2.7</v>
      </c>
      <c r="V362" s="17">
        <v>2.7</v>
      </c>
      <c r="AD362" s="1"/>
      <c r="AE362" s="3"/>
      <c r="AF362" s="3"/>
      <c r="AG362" s="3"/>
      <c r="AH362" s="3"/>
      <c r="AI362" s="3"/>
      <c r="AJ362" s="1"/>
      <c r="AK362" s="1"/>
    </row>
    <row r="363" spans="1:37" x14ac:dyDescent="0.3">
      <c r="A363" s="14">
        <v>462</v>
      </c>
      <c r="B363" s="14">
        <v>2</v>
      </c>
      <c r="C363" s="9" t="s">
        <v>0</v>
      </c>
      <c r="D363" s="9" t="s">
        <v>1457</v>
      </c>
      <c r="E363" s="9" t="s">
        <v>1600</v>
      </c>
      <c r="F363" s="9" t="s">
        <v>1601</v>
      </c>
      <c r="G363" s="9">
        <v>1</v>
      </c>
      <c r="H363" s="9"/>
      <c r="I363" s="9" t="s">
        <v>5</v>
      </c>
      <c r="J363" s="9">
        <v>1</v>
      </c>
      <c r="K363" s="9" t="b">
        <v>0</v>
      </c>
      <c r="L363" s="9" t="s">
        <v>1603</v>
      </c>
      <c r="M363" s="9" t="b">
        <v>1</v>
      </c>
      <c r="N363" s="9" t="s">
        <v>1602</v>
      </c>
      <c r="O363" s="9" t="s">
        <v>3637</v>
      </c>
      <c r="P363" s="7">
        <v>1571</v>
      </c>
      <c r="Q363" s="7">
        <v>1452</v>
      </c>
      <c r="R363" s="7">
        <v>979</v>
      </c>
      <c r="S363" s="7">
        <v>295</v>
      </c>
      <c r="T363" s="8">
        <v>3.3</v>
      </c>
      <c r="U363" s="8">
        <v>2.7</v>
      </c>
      <c r="V363" s="17">
        <v>2.7</v>
      </c>
      <c r="AD363" s="1"/>
      <c r="AE363" s="3"/>
      <c r="AF363" s="2"/>
      <c r="AG363" s="3"/>
      <c r="AH363" s="3"/>
      <c r="AI363" s="3"/>
      <c r="AJ363" s="1"/>
      <c r="AK363" s="1"/>
    </row>
    <row r="364" spans="1:37" x14ac:dyDescent="0.3">
      <c r="A364" s="14">
        <v>244</v>
      </c>
      <c r="B364" s="14">
        <v>3</v>
      </c>
      <c r="C364" s="9" t="s">
        <v>0</v>
      </c>
      <c r="D364" s="9" t="s">
        <v>411</v>
      </c>
      <c r="E364" s="9" t="s">
        <v>888</v>
      </c>
      <c r="F364" s="9" t="s">
        <v>889</v>
      </c>
      <c r="G364" s="9">
        <v>1</v>
      </c>
      <c r="H364" s="9"/>
      <c r="I364" s="9" t="s">
        <v>218</v>
      </c>
      <c r="J364" s="9">
        <v>1</v>
      </c>
      <c r="K364" s="9" t="b">
        <v>0</v>
      </c>
      <c r="L364" s="9" t="s">
        <v>598</v>
      </c>
      <c r="M364" s="9" t="b">
        <v>0</v>
      </c>
      <c r="N364" s="9" t="s">
        <v>890</v>
      </c>
      <c r="O364" s="9" t="s">
        <v>3420</v>
      </c>
      <c r="P364" s="7">
        <v>998</v>
      </c>
      <c r="Q364" s="7">
        <v>797</v>
      </c>
      <c r="R364" s="7">
        <v>540</v>
      </c>
      <c r="S364" s="7">
        <v>187</v>
      </c>
      <c r="T364" s="8">
        <v>4</v>
      </c>
      <c r="U364" s="8">
        <v>2.7</v>
      </c>
      <c r="V364" s="17">
        <v>2.7</v>
      </c>
      <c r="AD364" s="1"/>
      <c r="AE364" s="3"/>
      <c r="AF364" s="3"/>
      <c r="AG364" s="3"/>
      <c r="AH364" s="3"/>
      <c r="AI364" s="3"/>
      <c r="AJ364" s="1"/>
      <c r="AK364" s="1"/>
    </row>
    <row r="365" spans="1:37" x14ac:dyDescent="0.3">
      <c r="A365" s="14">
        <v>245</v>
      </c>
      <c r="B365" s="14">
        <v>3</v>
      </c>
      <c r="C365" s="9" t="s">
        <v>0</v>
      </c>
      <c r="D365" s="9" t="s">
        <v>411</v>
      </c>
      <c r="E365" s="9" t="s">
        <v>891</v>
      </c>
      <c r="F365" s="9" t="s">
        <v>892</v>
      </c>
      <c r="G365" s="9">
        <v>1</v>
      </c>
      <c r="H365" s="9" t="s">
        <v>893</v>
      </c>
      <c r="I365" s="9" t="s">
        <v>5</v>
      </c>
      <c r="J365" s="9"/>
      <c r="K365" s="9" t="b">
        <v>1</v>
      </c>
      <c r="L365" s="9" t="s">
        <v>416</v>
      </c>
      <c r="M365" s="9" t="b">
        <v>0</v>
      </c>
      <c r="N365" s="9" t="s">
        <v>894</v>
      </c>
      <c r="O365" s="9" t="s">
        <v>3421</v>
      </c>
      <c r="P365" s="7">
        <v>1176</v>
      </c>
      <c r="Q365" s="7">
        <v>976</v>
      </c>
      <c r="R365" s="7">
        <v>603</v>
      </c>
      <c r="S365" s="7">
        <v>221</v>
      </c>
      <c r="T365" s="8">
        <v>4.2</v>
      </c>
      <c r="U365" s="8">
        <v>2.7</v>
      </c>
      <c r="V365" s="17">
        <v>2.7</v>
      </c>
      <c r="AD365" s="1"/>
      <c r="AE365" s="3"/>
      <c r="AF365" s="2"/>
      <c r="AG365" s="2"/>
      <c r="AH365" s="3"/>
      <c r="AI365" s="3"/>
      <c r="AJ365" s="1"/>
      <c r="AK365" s="1"/>
    </row>
    <row r="366" spans="1:37" x14ac:dyDescent="0.3">
      <c r="A366" s="14">
        <v>92</v>
      </c>
      <c r="B366" s="14">
        <v>2</v>
      </c>
      <c r="C366" s="9" t="s">
        <v>0</v>
      </c>
      <c r="D366" s="9" t="s">
        <v>180</v>
      </c>
      <c r="E366" s="9" t="s">
        <v>349</v>
      </c>
      <c r="F366" s="9" t="s">
        <v>350</v>
      </c>
      <c r="G366" s="9">
        <v>1</v>
      </c>
      <c r="H366" s="9" t="s">
        <v>351</v>
      </c>
      <c r="I366" s="9"/>
      <c r="J366" s="9">
        <v>1</v>
      </c>
      <c r="K366" s="9" t="b">
        <v>0</v>
      </c>
      <c r="L366" s="9" t="s">
        <v>194</v>
      </c>
      <c r="M366" s="9" t="b">
        <v>0</v>
      </c>
      <c r="N366" s="9" t="s">
        <v>352</v>
      </c>
      <c r="O366" s="9" t="s">
        <v>3268</v>
      </c>
      <c r="P366" s="7">
        <v>1357</v>
      </c>
      <c r="Q366" s="7">
        <v>1147</v>
      </c>
      <c r="R366" s="7">
        <v>730</v>
      </c>
      <c r="S366" s="7">
        <v>252</v>
      </c>
      <c r="T366" s="8">
        <v>4.4000000000000004</v>
      </c>
      <c r="U366" s="8">
        <v>2.7</v>
      </c>
      <c r="V366" s="17">
        <v>2.7</v>
      </c>
      <c r="AD366" s="1"/>
      <c r="AE366" s="3"/>
      <c r="AF366" s="2"/>
      <c r="AG366" s="3"/>
      <c r="AH366" s="3"/>
      <c r="AI366" s="3"/>
      <c r="AJ366" s="1"/>
      <c r="AK366" s="1"/>
    </row>
    <row r="367" spans="1:37" x14ac:dyDescent="0.3">
      <c r="A367" s="14">
        <v>292</v>
      </c>
      <c r="B367" s="14">
        <v>3</v>
      </c>
      <c r="C367" s="9" t="s">
        <v>0</v>
      </c>
      <c r="D367" s="9" t="s">
        <v>411</v>
      </c>
      <c r="E367" s="9" t="s">
        <v>1045</v>
      </c>
      <c r="F367" s="9" t="s">
        <v>1046</v>
      </c>
      <c r="G367" s="9">
        <v>1</v>
      </c>
      <c r="H367" s="9"/>
      <c r="I367" s="9"/>
      <c r="J367" s="9"/>
      <c r="K367" s="9" t="b">
        <v>0</v>
      </c>
      <c r="L367" s="9" t="s">
        <v>407</v>
      </c>
      <c r="M367" s="9" t="b">
        <v>1</v>
      </c>
      <c r="N367" s="9" t="s">
        <v>1047</v>
      </c>
      <c r="O367" s="9" t="s">
        <v>3468</v>
      </c>
      <c r="P367" s="7">
        <v>1170</v>
      </c>
      <c r="Q367" s="7">
        <v>917</v>
      </c>
      <c r="R367" s="7">
        <v>727</v>
      </c>
      <c r="S367" s="7">
        <v>220</v>
      </c>
      <c r="T367" s="8">
        <v>4.9000000000000004</v>
      </c>
      <c r="U367" s="8">
        <v>2.7</v>
      </c>
      <c r="V367" s="17">
        <v>2.7</v>
      </c>
      <c r="AD367" s="1"/>
      <c r="AE367" s="3"/>
      <c r="AF367" s="2"/>
      <c r="AG367" s="2"/>
      <c r="AH367" s="3"/>
      <c r="AI367" s="3"/>
      <c r="AJ367" s="1"/>
      <c r="AK367" s="1"/>
    </row>
    <row r="368" spans="1:37" x14ac:dyDescent="0.3">
      <c r="A368" s="14">
        <v>294</v>
      </c>
      <c r="B368" s="14">
        <v>3</v>
      </c>
      <c r="C368" s="9" t="s">
        <v>0</v>
      </c>
      <c r="D368" s="9" t="s">
        <v>411</v>
      </c>
      <c r="E368" s="9" t="s">
        <v>1051</v>
      </c>
      <c r="F368" s="9" t="s">
        <v>1052</v>
      </c>
      <c r="G368" s="9">
        <v>1</v>
      </c>
      <c r="H368" s="9"/>
      <c r="I368" s="9" t="s">
        <v>22</v>
      </c>
      <c r="J368" s="9"/>
      <c r="K368" s="9" t="b">
        <v>0</v>
      </c>
      <c r="L368" s="9" t="s">
        <v>185</v>
      </c>
      <c r="M368" s="9" t="b">
        <v>0</v>
      </c>
      <c r="N368" s="9" t="s">
        <v>1053</v>
      </c>
      <c r="O368" s="9" t="s">
        <v>3470</v>
      </c>
      <c r="P368" s="7">
        <v>1236</v>
      </c>
      <c r="Q368" s="7">
        <v>1044</v>
      </c>
      <c r="R368" s="7">
        <v>827</v>
      </c>
      <c r="S368" s="7">
        <v>235</v>
      </c>
      <c r="T368" s="8">
        <v>3.5</v>
      </c>
      <c r="U368" s="8">
        <v>2.7</v>
      </c>
      <c r="V368" s="17">
        <v>2.7</v>
      </c>
      <c r="AD368" s="1"/>
      <c r="AE368" s="3"/>
      <c r="AF368" s="2"/>
      <c r="AG368" s="2"/>
      <c r="AH368" s="2"/>
      <c r="AI368" s="3"/>
      <c r="AJ368" s="1"/>
      <c r="AK368" s="1"/>
    </row>
    <row r="369" spans="1:37" x14ac:dyDescent="0.3">
      <c r="A369" s="14">
        <v>106</v>
      </c>
      <c r="B369" s="14">
        <v>2</v>
      </c>
      <c r="C369" s="9" t="s">
        <v>0</v>
      </c>
      <c r="D369" s="9" t="s">
        <v>180</v>
      </c>
      <c r="E369" s="9" t="s">
        <v>400</v>
      </c>
      <c r="F369" s="9" t="s">
        <v>401</v>
      </c>
      <c r="G369" s="9">
        <v>1</v>
      </c>
      <c r="H369" s="9"/>
      <c r="I369" s="9"/>
      <c r="J369" s="9"/>
      <c r="K369" s="9" t="b">
        <v>1</v>
      </c>
      <c r="L369" s="9" t="s">
        <v>403</v>
      </c>
      <c r="M369" s="9" t="b">
        <v>1</v>
      </c>
      <c r="N369" s="9" t="s">
        <v>402</v>
      </c>
      <c r="O369" s="9" t="s">
        <v>3282</v>
      </c>
      <c r="P369" s="7">
        <v>1297</v>
      </c>
      <c r="Q369" s="7">
        <v>1055</v>
      </c>
      <c r="R369" s="7">
        <v>822</v>
      </c>
      <c r="S369" s="7">
        <v>242</v>
      </c>
      <c r="T369" s="8">
        <v>5</v>
      </c>
      <c r="U369" s="8">
        <v>2.7</v>
      </c>
      <c r="V369" s="17">
        <v>2.7</v>
      </c>
      <c r="AD369" s="1"/>
      <c r="AE369" s="3"/>
      <c r="AF369" s="2"/>
      <c r="AG369" s="2"/>
      <c r="AH369" s="2"/>
      <c r="AI369" s="3"/>
      <c r="AJ369" s="1"/>
      <c r="AK369" s="1"/>
    </row>
    <row r="370" spans="1:37" x14ac:dyDescent="0.3">
      <c r="A370" s="14">
        <v>551</v>
      </c>
      <c r="B370" s="14">
        <v>2</v>
      </c>
      <c r="C370" s="9" t="s">
        <v>1659</v>
      </c>
      <c r="D370" s="9" t="s">
        <v>180</v>
      </c>
      <c r="E370" s="9" t="s">
        <v>1872</v>
      </c>
      <c r="F370" s="9" t="s">
        <v>1873</v>
      </c>
      <c r="G370" s="9">
        <v>4</v>
      </c>
      <c r="H370" s="9"/>
      <c r="I370" s="9"/>
      <c r="J370" s="9"/>
      <c r="K370" s="9" t="b">
        <v>0</v>
      </c>
      <c r="L370" s="9" t="s">
        <v>875</v>
      </c>
      <c r="M370" s="9" t="b">
        <v>0</v>
      </c>
      <c r="N370" s="9" t="s">
        <v>1874</v>
      </c>
      <c r="O370" s="9" t="s">
        <v>3726</v>
      </c>
      <c r="P370" s="7">
        <v>1312</v>
      </c>
      <c r="Q370" s="7">
        <v>1239</v>
      </c>
      <c r="R370" s="7">
        <v>978</v>
      </c>
      <c r="S370" s="7">
        <v>239</v>
      </c>
      <c r="T370" s="8">
        <v>3.2</v>
      </c>
      <c r="U370" s="8">
        <v>2.6</v>
      </c>
      <c r="V370" s="17">
        <v>2.6</v>
      </c>
      <c r="AD370" s="1"/>
      <c r="AE370" s="3"/>
      <c r="AF370" s="2"/>
      <c r="AG370" s="3"/>
      <c r="AH370" s="3"/>
      <c r="AI370" s="3"/>
      <c r="AJ370" s="1"/>
      <c r="AK370" s="1"/>
    </row>
    <row r="371" spans="1:37" x14ac:dyDescent="0.3">
      <c r="A371" s="14">
        <v>620</v>
      </c>
      <c r="B371" s="14">
        <v>3</v>
      </c>
      <c r="C371" s="9" t="s">
        <v>1659</v>
      </c>
      <c r="D371" s="9" t="s">
        <v>411</v>
      </c>
      <c r="E371" s="9" t="s">
        <v>2090</v>
      </c>
      <c r="F371" s="9" t="s">
        <v>2091</v>
      </c>
      <c r="G371" s="9">
        <v>4</v>
      </c>
      <c r="H371" s="9"/>
      <c r="I371" s="9"/>
      <c r="J371" s="9"/>
      <c r="K371" s="9" t="b">
        <v>0</v>
      </c>
      <c r="L371" s="9" t="s">
        <v>437</v>
      </c>
      <c r="M371" s="9" t="b">
        <v>0</v>
      </c>
      <c r="N371" s="9" t="s">
        <v>2092</v>
      </c>
      <c r="O371" s="9" t="s">
        <v>3795</v>
      </c>
      <c r="P371" s="7">
        <v>898</v>
      </c>
      <c r="Q371" s="7">
        <v>770</v>
      </c>
      <c r="R371" s="7">
        <v>508</v>
      </c>
      <c r="S371" s="7">
        <v>161</v>
      </c>
      <c r="T371" s="8">
        <v>4.4000000000000004</v>
      </c>
      <c r="U371" s="8">
        <v>2.6</v>
      </c>
      <c r="V371" s="17">
        <v>2.6</v>
      </c>
      <c r="AD371" s="1"/>
      <c r="AE371" s="3"/>
      <c r="AF371" s="2"/>
      <c r="AG371" s="3"/>
      <c r="AH371" s="3"/>
      <c r="AI371" s="3"/>
      <c r="AJ371" s="1"/>
      <c r="AK371" s="1"/>
    </row>
    <row r="372" spans="1:37" x14ac:dyDescent="0.3">
      <c r="A372" s="14">
        <v>915</v>
      </c>
      <c r="B372" s="14">
        <v>2</v>
      </c>
      <c r="C372" s="9" t="s">
        <v>1659</v>
      </c>
      <c r="D372" s="9" t="s">
        <v>1457</v>
      </c>
      <c r="E372" s="9" t="s">
        <v>2986</v>
      </c>
      <c r="F372" s="10" t="s">
        <v>2987</v>
      </c>
      <c r="G372" s="9">
        <v>1</v>
      </c>
      <c r="H372" s="9"/>
      <c r="I372" s="9"/>
      <c r="J372" s="9"/>
      <c r="K372" s="9" t="b">
        <v>0</v>
      </c>
      <c r="L372" s="9" t="s">
        <v>2989</v>
      </c>
      <c r="M372" s="9" t="b">
        <v>0</v>
      </c>
      <c r="N372" s="9" t="s">
        <v>2988</v>
      </c>
      <c r="O372" s="9" t="s">
        <v>4087</v>
      </c>
      <c r="P372" s="7">
        <v>1349</v>
      </c>
      <c r="Q372" s="7">
        <v>1137</v>
      </c>
      <c r="R372" s="7">
        <v>844</v>
      </c>
      <c r="S372" s="7">
        <v>245</v>
      </c>
      <c r="T372" s="8">
        <v>4.5</v>
      </c>
      <c r="U372" s="8">
        <v>2.6</v>
      </c>
      <c r="V372" s="17">
        <v>2.6</v>
      </c>
      <c r="AD372" s="1"/>
      <c r="AE372" s="3"/>
      <c r="AF372" s="3"/>
      <c r="AG372" s="3"/>
      <c r="AH372" s="3"/>
      <c r="AI372" s="3"/>
      <c r="AJ372" s="1"/>
      <c r="AK372" s="1"/>
    </row>
    <row r="373" spans="1:37" x14ac:dyDescent="0.3">
      <c r="A373" s="14">
        <v>636</v>
      </c>
      <c r="B373" s="14">
        <v>3</v>
      </c>
      <c r="C373" s="9" t="s">
        <v>1659</v>
      </c>
      <c r="D373" s="9" t="s">
        <v>411</v>
      </c>
      <c r="E373" s="9" t="s">
        <v>2139</v>
      </c>
      <c r="F373" s="9" t="s">
        <v>2140</v>
      </c>
      <c r="G373" s="9">
        <v>1</v>
      </c>
      <c r="H373" s="9"/>
      <c r="I373" s="9"/>
      <c r="J373" s="9"/>
      <c r="K373" s="9" t="b">
        <v>0</v>
      </c>
      <c r="L373" s="9" t="s">
        <v>416</v>
      </c>
      <c r="M373" s="9" t="b">
        <v>0</v>
      </c>
      <c r="N373" s="9" t="s">
        <v>2141</v>
      </c>
      <c r="O373" s="9" t="s">
        <v>3811</v>
      </c>
      <c r="P373" s="7">
        <v>821</v>
      </c>
      <c r="Q373" s="7">
        <v>724</v>
      </c>
      <c r="R373" s="7">
        <v>468</v>
      </c>
      <c r="S373" s="7">
        <v>149</v>
      </c>
      <c r="T373" s="8">
        <v>4.4000000000000004</v>
      </c>
      <c r="U373" s="8">
        <v>2.6</v>
      </c>
      <c r="V373" s="17">
        <v>2.6</v>
      </c>
      <c r="AD373" s="1"/>
      <c r="AE373" s="3"/>
      <c r="AF373" s="2"/>
      <c r="AG373" s="2"/>
      <c r="AH373" s="3"/>
      <c r="AI373" s="3"/>
      <c r="AJ373" s="1"/>
      <c r="AK373" s="1"/>
    </row>
    <row r="374" spans="1:37" x14ac:dyDescent="0.3">
      <c r="A374" s="14">
        <v>497</v>
      </c>
      <c r="B374" s="14">
        <v>1</v>
      </c>
      <c r="C374" s="9" t="s">
        <v>1659</v>
      </c>
      <c r="D374" s="9" t="s">
        <v>1</v>
      </c>
      <c r="E374" s="9" t="s">
        <v>1711</v>
      </c>
      <c r="F374" s="9" t="s">
        <v>1712</v>
      </c>
      <c r="G374" s="9">
        <v>1</v>
      </c>
      <c r="H374" s="9"/>
      <c r="I374" s="9"/>
      <c r="J374" s="9"/>
      <c r="K374" s="9" t="b">
        <v>0</v>
      </c>
      <c r="L374" s="9" t="s">
        <v>7</v>
      </c>
      <c r="M374" s="9" t="b">
        <v>0</v>
      </c>
      <c r="N374" s="9" t="s">
        <v>1713</v>
      </c>
      <c r="O374" s="9" t="s">
        <v>3672</v>
      </c>
      <c r="P374" s="7">
        <v>1341</v>
      </c>
      <c r="Q374" s="7">
        <v>1220</v>
      </c>
      <c r="R374" s="7">
        <v>887</v>
      </c>
      <c r="S374" s="7">
        <v>240</v>
      </c>
      <c r="T374" s="8">
        <v>4.2</v>
      </c>
      <c r="U374" s="8">
        <v>2.6</v>
      </c>
      <c r="V374" s="17">
        <v>2.6</v>
      </c>
      <c r="AD374" s="1"/>
      <c r="AE374" s="3"/>
      <c r="AF374" s="2"/>
      <c r="AG374" s="2"/>
      <c r="AH374" s="2"/>
      <c r="AI374" s="3"/>
      <c r="AJ374" s="1"/>
      <c r="AK374" s="1"/>
    </row>
    <row r="375" spans="1:37" x14ac:dyDescent="0.3">
      <c r="A375" s="14">
        <v>662</v>
      </c>
      <c r="B375" s="14">
        <v>3</v>
      </c>
      <c r="C375" s="9" t="s">
        <v>1659</v>
      </c>
      <c r="D375" s="9" t="s">
        <v>411</v>
      </c>
      <c r="E375" s="9" t="s">
        <v>2221</v>
      </c>
      <c r="F375" s="9" t="s">
        <v>2222</v>
      </c>
      <c r="G375" s="9">
        <v>1</v>
      </c>
      <c r="H375" s="9"/>
      <c r="I375" s="9"/>
      <c r="J375" s="9"/>
      <c r="K375" s="9" t="b">
        <v>0</v>
      </c>
      <c r="L375" s="9" t="s">
        <v>497</v>
      </c>
      <c r="M375" s="9" t="b">
        <v>0</v>
      </c>
      <c r="N375" s="9" t="s">
        <v>2223</v>
      </c>
      <c r="O375" s="9" t="s">
        <v>3837</v>
      </c>
      <c r="P375" s="7">
        <v>992</v>
      </c>
      <c r="Q375" s="7">
        <v>929</v>
      </c>
      <c r="R375" s="7">
        <v>737</v>
      </c>
      <c r="S375" s="7">
        <v>182</v>
      </c>
      <c r="T375" s="8">
        <v>3.8</v>
      </c>
      <c r="U375" s="8">
        <v>2.6</v>
      </c>
      <c r="V375" s="17">
        <v>2.6</v>
      </c>
      <c r="AD375" s="1"/>
      <c r="AE375" s="3"/>
      <c r="AF375" s="2"/>
      <c r="AG375" s="2"/>
      <c r="AH375" s="2"/>
      <c r="AI375" s="3"/>
      <c r="AJ375" s="1"/>
      <c r="AK375" s="1"/>
    </row>
    <row r="376" spans="1:37" x14ac:dyDescent="0.3">
      <c r="A376" s="14">
        <v>807</v>
      </c>
      <c r="B376" s="14">
        <v>1</v>
      </c>
      <c r="C376" s="9" t="s">
        <v>1659</v>
      </c>
      <c r="D376" s="9" t="s">
        <v>1077</v>
      </c>
      <c r="E376" s="9" t="s">
        <v>2665</v>
      </c>
      <c r="F376" s="9" t="s">
        <v>2666</v>
      </c>
      <c r="G376" s="9">
        <v>1</v>
      </c>
      <c r="H376" s="9"/>
      <c r="I376" s="9"/>
      <c r="J376" s="9"/>
      <c r="K376" s="9" t="b">
        <v>0</v>
      </c>
      <c r="L376" s="9" t="s">
        <v>7</v>
      </c>
      <c r="M376" s="9" t="b">
        <v>0</v>
      </c>
      <c r="N376" s="9" t="s">
        <v>2667</v>
      </c>
      <c r="O376" s="9" t="s">
        <v>3982</v>
      </c>
      <c r="P376" s="7">
        <v>1297</v>
      </c>
      <c r="Q376" s="7">
        <v>1118</v>
      </c>
      <c r="R376" s="7">
        <v>754</v>
      </c>
      <c r="S376" s="7">
        <v>238</v>
      </c>
      <c r="T376" s="8">
        <v>4.5999999999999996</v>
      </c>
      <c r="U376" s="8">
        <v>2.6</v>
      </c>
      <c r="V376" s="17">
        <v>2.6</v>
      </c>
      <c r="AD376" s="1"/>
      <c r="AE376" s="3"/>
      <c r="AF376" s="2"/>
      <c r="AG376" s="2"/>
      <c r="AH376" s="3"/>
      <c r="AI376" s="3"/>
      <c r="AJ376" s="1"/>
      <c r="AK376" s="1"/>
    </row>
    <row r="377" spans="1:37" x14ac:dyDescent="0.3">
      <c r="A377" s="14">
        <v>673</v>
      </c>
      <c r="B377" s="14">
        <v>3</v>
      </c>
      <c r="C377" s="9" t="s">
        <v>1659</v>
      </c>
      <c r="D377" s="9" t="s">
        <v>411</v>
      </c>
      <c r="E377" s="9" t="s">
        <v>2255</v>
      </c>
      <c r="F377" s="9" t="s">
        <v>2256</v>
      </c>
      <c r="G377" s="9">
        <v>1</v>
      </c>
      <c r="H377" s="9"/>
      <c r="I377" s="9"/>
      <c r="J377" s="9"/>
      <c r="K377" s="9" t="b">
        <v>0</v>
      </c>
      <c r="L377" s="9" t="s">
        <v>2258</v>
      </c>
      <c r="M377" s="9" t="b">
        <v>1</v>
      </c>
      <c r="N377" s="9" t="s">
        <v>2257</v>
      </c>
      <c r="O377" s="9" t="s">
        <v>3848</v>
      </c>
      <c r="P377" s="7">
        <v>1174</v>
      </c>
      <c r="Q377" s="7">
        <v>1037</v>
      </c>
      <c r="R377" s="7">
        <v>648</v>
      </c>
      <c r="S377" s="7">
        <v>210</v>
      </c>
      <c r="T377" s="8">
        <v>4</v>
      </c>
      <c r="U377" s="8">
        <v>2.6</v>
      </c>
      <c r="V377" s="17">
        <v>2.6</v>
      </c>
      <c r="AD377" s="1"/>
      <c r="AE377" s="3"/>
      <c r="AF377" s="2"/>
      <c r="AG377" s="2"/>
      <c r="AH377" s="3"/>
      <c r="AI377" s="3"/>
      <c r="AJ377" s="1"/>
      <c r="AK377" s="1"/>
    </row>
    <row r="378" spans="1:37" x14ac:dyDescent="0.3">
      <c r="A378" s="14">
        <v>678</v>
      </c>
      <c r="B378" s="14">
        <v>3</v>
      </c>
      <c r="C378" s="9" t="s">
        <v>1659</v>
      </c>
      <c r="D378" s="9" t="s">
        <v>411</v>
      </c>
      <c r="E378" s="9" t="s">
        <v>2271</v>
      </c>
      <c r="F378" s="9" t="s">
        <v>2272</v>
      </c>
      <c r="G378" s="9">
        <v>1</v>
      </c>
      <c r="H378" s="9"/>
      <c r="I378" s="9"/>
      <c r="J378" s="9"/>
      <c r="K378" s="9" t="b">
        <v>0</v>
      </c>
      <c r="L378" s="9" t="s">
        <v>223</v>
      </c>
      <c r="M378" s="9" t="b">
        <v>0</v>
      </c>
      <c r="N378" s="9" t="s">
        <v>2273</v>
      </c>
      <c r="O378" s="9" t="s">
        <v>3853</v>
      </c>
      <c r="P378" s="7">
        <v>1105</v>
      </c>
      <c r="Q378" s="7">
        <v>946</v>
      </c>
      <c r="R378" s="7">
        <v>644</v>
      </c>
      <c r="S378" s="7">
        <v>202</v>
      </c>
      <c r="T378" s="8">
        <v>4.5</v>
      </c>
      <c r="U378" s="8">
        <v>2.6</v>
      </c>
      <c r="V378" s="17">
        <v>2.6</v>
      </c>
      <c r="AD378" s="1"/>
      <c r="AE378" s="3"/>
      <c r="AF378" s="2"/>
      <c r="AG378" s="3"/>
      <c r="AH378" s="3"/>
      <c r="AI378" s="3"/>
      <c r="AJ378" s="1"/>
      <c r="AK378" s="1"/>
    </row>
    <row r="379" spans="1:37" x14ac:dyDescent="0.3">
      <c r="A379" s="14">
        <v>680</v>
      </c>
      <c r="B379" s="14">
        <v>3</v>
      </c>
      <c r="C379" s="9" t="s">
        <v>1659</v>
      </c>
      <c r="D379" s="9" t="s">
        <v>411</v>
      </c>
      <c r="E379" s="9" t="s">
        <v>2277</v>
      </c>
      <c r="F379" s="9" t="s">
        <v>2278</v>
      </c>
      <c r="G379" s="9">
        <v>4</v>
      </c>
      <c r="H379" s="9"/>
      <c r="I379" s="9"/>
      <c r="J379" s="9"/>
      <c r="K379" s="9" t="b">
        <v>0</v>
      </c>
      <c r="L379" s="9" t="s">
        <v>194</v>
      </c>
      <c r="M379" s="9" t="b">
        <v>0</v>
      </c>
      <c r="N379" s="9" t="s">
        <v>2279</v>
      </c>
      <c r="O379" s="9" t="s">
        <v>3855</v>
      </c>
      <c r="P379" s="7">
        <v>1237</v>
      </c>
      <c r="Q379" s="7">
        <v>1183</v>
      </c>
      <c r="R379" s="7">
        <v>732</v>
      </c>
      <c r="S379" s="7">
        <v>227</v>
      </c>
      <c r="T379" s="8">
        <v>3.6</v>
      </c>
      <c r="U379" s="8">
        <v>2.6</v>
      </c>
      <c r="V379" s="17">
        <v>2.6</v>
      </c>
      <c r="AD379" s="1"/>
      <c r="AE379" s="3"/>
      <c r="AF379" s="2"/>
      <c r="AG379" s="3"/>
      <c r="AH379" s="3"/>
      <c r="AI379" s="3"/>
      <c r="AJ379" s="1"/>
      <c r="AK379" s="1"/>
    </row>
    <row r="380" spans="1:37" x14ac:dyDescent="0.3">
      <c r="A380" s="14">
        <v>848</v>
      </c>
      <c r="B380" s="14">
        <v>1</v>
      </c>
      <c r="C380" s="9" t="s">
        <v>1659</v>
      </c>
      <c r="D380" s="9" t="s">
        <v>1208</v>
      </c>
      <c r="E380" s="9" t="s">
        <v>2788</v>
      </c>
      <c r="F380" s="9" t="s">
        <v>2789</v>
      </c>
      <c r="G380" s="9">
        <v>3</v>
      </c>
      <c r="H380" s="9"/>
      <c r="I380" s="9"/>
      <c r="J380" s="9"/>
      <c r="K380" s="9" t="b">
        <v>0</v>
      </c>
      <c r="L380" s="9" t="s">
        <v>7</v>
      </c>
      <c r="M380" s="9" t="b">
        <v>0</v>
      </c>
      <c r="N380" s="9" t="s">
        <v>2790</v>
      </c>
      <c r="O380" s="9" t="s">
        <v>4023</v>
      </c>
      <c r="P380" s="7">
        <v>1311</v>
      </c>
      <c r="Q380" s="7">
        <v>1210</v>
      </c>
      <c r="R380" s="7">
        <v>842</v>
      </c>
      <c r="S380" s="7">
        <v>241</v>
      </c>
      <c r="T380" s="8">
        <v>4</v>
      </c>
      <c r="U380" s="8">
        <v>2.6</v>
      </c>
      <c r="V380" s="17">
        <v>2.6</v>
      </c>
      <c r="AD380" s="1"/>
      <c r="AE380" s="3"/>
      <c r="AF380" s="2"/>
      <c r="AG380" s="3"/>
      <c r="AH380" s="3"/>
      <c r="AI380" s="3"/>
      <c r="AJ380" s="1"/>
      <c r="AK380" s="1"/>
    </row>
    <row r="381" spans="1:37" x14ac:dyDescent="0.3">
      <c r="A381" s="14">
        <v>711</v>
      </c>
      <c r="B381" s="14">
        <v>3</v>
      </c>
      <c r="C381" s="9" t="s">
        <v>1659</v>
      </c>
      <c r="D381" s="9" t="s">
        <v>411</v>
      </c>
      <c r="E381" s="9" t="s">
        <v>2372</v>
      </c>
      <c r="F381" s="9" t="s">
        <v>2373</v>
      </c>
      <c r="G381" s="9">
        <v>1</v>
      </c>
      <c r="H381" s="9"/>
      <c r="I381" s="9"/>
      <c r="J381" s="9"/>
      <c r="K381" s="9" t="b">
        <v>0</v>
      </c>
      <c r="L381" s="9" t="s">
        <v>425</v>
      </c>
      <c r="M381" s="9" t="b">
        <v>0</v>
      </c>
      <c r="N381" s="9" t="s">
        <v>2374</v>
      </c>
      <c r="O381" s="9" t="s">
        <v>3886</v>
      </c>
      <c r="P381" s="7">
        <v>1159</v>
      </c>
      <c r="Q381" s="7">
        <v>1039</v>
      </c>
      <c r="R381" s="7">
        <v>722</v>
      </c>
      <c r="S381" s="7">
        <v>211</v>
      </c>
      <c r="T381" s="8">
        <v>4.4000000000000004</v>
      </c>
      <c r="U381" s="8">
        <v>2.6</v>
      </c>
      <c r="V381" s="17">
        <v>2.6</v>
      </c>
      <c r="AD381" s="1"/>
      <c r="AE381" s="3"/>
      <c r="AF381" s="3"/>
      <c r="AG381" s="3"/>
      <c r="AH381" s="3"/>
      <c r="AI381" s="3"/>
      <c r="AJ381" s="1"/>
      <c r="AK381" s="1"/>
    </row>
    <row r="382" spans="1:37" x14ac:dyDescent="0.3">
      <c r="A382" s="14">
        <v>819</v>
      </c>
      <c r="B382" s="14">
        <v>1</v>
      </c>
      <c r="C382" s="9" t="s">
        <v>1659</v>
      </c>
      <c r="D382" s="9" t="s">
        <v>1077</v>
      </c>
      <c r="E382" s="9" t="s">
        <v>2701</v>
      </c>
      <c r="F382" s="9" t="s">
        <v>2702</v>
      </c>
      <c r="G382" s="9">
        <v>4</v>
      </c>
      <c r="H382" s="9"/>
      <c r="I382" s="9"/>
      <c r="J382" s="9"/>
      <c r="K382" s="9" t="b">
        <v>0</v>
      </c>
      <c r="L382" s="9" t="s">
        <v>7</v>
      </c>
      <c r="M382" s="9" t="b">
        <v>0</v>
      </c>
      <c r="N382" s="9" t="s">
        <v>2703</v>
      </c>
      <c r="O382" s="9" t="s">
        <v>3994</v>
      </c>
      <c r="P382" s="7">
        <v>1003</v>
      </c>
      <c r="Q382" s="7">
        <v>908</v>
      </c>
      <c r="R382" s="7">
        <v>681</v>
      </c>
      <c r="S382" s="7">
        <v>186</v>
      </c>
      <c r="T382" s="8">
        <v>4</v>
      </c>
      <c r="U382" s="8">
        <v>2.6</v>
      </c>
      <c r="V382" s="17">
        <v>2.6</v>
      </c>
      <c r="AD382" s="1"/>
      <c r="AE382" s="3"/>
      <c r="AF382" s="2"/>
      <c r="AG382" s="3"/>
      <c r="AH382" s="3"/>
      <c r="AI382" s="3"/>
      <c r="AJ382" s="1"/>
      <c r="AK382" s="1"/>
    </row>
    <row r="383" spans="1:37" x14ac:dyDescent="0.3">
      <c r="A383" s="14">
        <v>905</v>
      </c>
      <c r="B383" s="14">
        <v>4</v>
      </c>
      <c r="C383" s="9" t="s">
        <v>1659</v>
      </c>
      <c r="D383" s="9" t="s">
        <v>1394</v>
      </c>
      <c r="E383" s="9" t="s">
        <v>2955</v>
      </c>
      <c r="F383" s="9" t="s">
        <v>2956</v>
      </c>
      <c r="G383" s="9">
        <v>1</v>
      </c>
      <c r="H383" s="9"/>
      <c r="I383" s="9"/>
      <c r="J383" s="9"/>
      <c r="K383" s="9" t="b">
        <v>0</v>
      </c>
      <c r="L383" s="9"/>
      <c r="M383" s="9" t="b">
        <v>0</v>
      </c>
      <c r="N383" s="9" t="s">
        <v>2957</v>
      </c>
      <c r="O383" s="9" t="s">
        <v>4077</v>
      </c>
      <c r="P383" s="7">
        <v>975</v>
      </c>
      <c r="Q383" s="7">
        <v>840</v>
      </c>
      <c r="R383" s="7">
        <v>620</v>
      </c>
      <c r="S383" s="7">
        <v>178</v>
      </c>
      <c r="T383" s="8">
        <v>4.7</v>
      </c>
      <c r="U383" s="8">
        <v>2.6</v>
      </c>
      <c r="V383" s="17">
        <v>2.6</v>
      </c>
      <c r="AD383" s="1"/>
      <c r="AE383" s="3"/>
      <c r="AF383" s="2"/>
      <c r="AG383" s="2"/>
      <c r="AH383" s="2"/>
      <c r="AI383" s="3"/>
      <c r="AJ383" s="1"/>
      <c r="AK383" s="1"/>
    </row>
    <row r="384" spans="1:37" x14ac:dyDescent="0.3">
      <c r="A384" s="14">
        <v>958</v>
      </c>
      <c r="B384" s="14">
        <v>2</v>
      </c>
      <c r="C384" s="9" t="s">
        <v>1659</v>
      </c>
      <c r="D384" s="9" t="s">
        <v>1457</v>
      </c>
      <c r="E384" s="9" t="s">
        <v>3125</v>
      </c>
      <c r="F384" s="9" t="s">
        <v>3126</v>
      </c>
      <c r="G384" s="9">
        <v>3</v>
      </c>
      <c r="H384" s="9"/>
      <c r="I384" s="9"/>
      <c r="J384" s="9"/>
      <c r="K384" s="9" t="b">
        <v>0</v>
      </c>
      <c r="L384" s="9" t="s">
        <v>296</v>
      </c>
      <c r="M384" s="9" t="b">
        <v>0</v>
      </c>
      <c r="N384" s="9" t="s">
        <v>3127</v>
      </c>
      <c r="O384" s="9" t="s">
        <v>4130</v>
      </c>
      <c r="P384" s="7">
        <v>1373</v>
      </c>
      <c r="Q384" s="7">
        <v>1211</v>
      </c>
      <c r="R384" s="7">
        <v>907</v>
      </c>
      <c r="S384" s="7">
        <v>248</v>
      </c>
      <c r="T384" s="8">
        <v>4.0999999999999996</v>
      </c>
      <c r="U384" s="8">
        <v>2.6</v>
      </c>
      <c r="V384" s="17">
        <v>2.6</v>
      </c>
      <c r="AD384" s="1"/>
      <c r="AE384" s="3"/>
      <c r="AF384" s="2"/>
      <c r="AG384" s="2"/>
      <c r="AH384" s="2"/>
      <c r="AI384" s="3"/>
      <c r="AJ384" s="1"/>
      <c r="AK384" s="1"/>
    </row>
    <row r="385" spans="1:37" x14ac:dyDescent="0.3">
      <c r="A385" s="14">
        <v>783</v>
      </c>
      <c r="B385" s="14">
        <v>3</v>
      </c>
      <c r="C385" s="9" t="s">
        <v>1659</v>
      </c>
      <c r="D385" s="9" t="s">
        <v>411</v>
      </c>
      <c r="E385" s="9" t="s">
        <v>2593</v>
      </c>
      <c r="F385" s="9" t="s">
        <v>2594</v>
      </c>
      <c r="G385" s="9">
        <v>3</v>
      </c>
      <c r="H385" s="9"/>
      <c r="I385" s="9"/>
      <c r="J385" s="9"/>
      <c r="K385" s="9" t="b">
        <v>0</v>
      </c>
      <c r="L385" s="9" t="s">
        <v>223</v>
      </c>
      <c r="M385" s="9" t="b">
        <v>0</v>
      </c>
      <c r="N385" s="9" t="s">
        <v>2595</v>
      </c>
      <c r="O385" s="9" t="s">
        <v>3958</v>
      </c>
      <c r="P385" s="7">
        <v>1136</v>
      </c>
      <c r="Q385" s="7">
        <v>972</v>
      </c>
      <c r="R385" s="7">
        <v>669</v>
      </c>
      <c r="S385" s="7">
        <v>210</v>
      </c>
      <c r="T385" s="8">
        <v>4.2</v>
      </c>
      <c r="U385" s="8">
        <v>2.6</v>
      </c>
      <c r="V385" s="17">
        <v>2.6</v>
      </c>
      <c r="AD385" s="1"/>
      <c r="AE385" s="3"/>
      <c r="AF385" s="2"/>
      <c r="AG385" s="2"/>
      <c r="AH385" s="3"/>
      <c r="AI385" s="3"/>
      <c r="AJ385" s="1"/>
      <c r="AK385" s="1"/>
    </row>
    <row r="386" spans="1:37" x14ac:dyDescent="0.3">
      <c r="A386" s="14">
        <v>789</v>
      </c>
      <c r="B386" s="14">
        <v>3</v>
      </c>
      <c r="C386" s="9" t="s">
        <v>1659</v>
      </c>
      <c r="D386" s="9" t="s">
        <v>411</v>
      </c>
      <c r="E386" s="9" t="s">
        <v>2611</v>
      </c>
      <c r="F386" s="9" t="s">
        <v>2612</v>
      </c>
      <c r="G386" s="9">
        <v>1</v>
      </c>
      <c r="H386" s="9"/>
      <c r="I386" s="9"/>
      <c r="J386" s="9"/>
      <c r="K386" s="9" t="b">
        <v>0</v>
      </c>
      <c r="L386" s="9" t="s">
        <v>526</v>
      </c>
      <c r="M386" s="9" t="b">
        <v>0</v>
      </c>
      <c r="N386" s="9" t="s">
        <v>2613</v>
      </c>
      <c r="O386" s="9" t="s">
        <v>3964</v>
      </c>
      <c r="P386" s="7">
        <v>901</v>
      </c>
      <c r="Q386" s="7">
        <v>868</v>
      </c>
      <c r="R386" s="7">
        <v>467</v>
      </c>
      <c r="S386" s="7">
        <v>162</v>
      </c>
      <c r="T386" s="8">
        <v>3.2</v>
      </c>
      <c r="U386" s="8">
        <v>2.6</v>
      </c>
      <c r="V386" s="17">
        <v>2.6</v>
      </c>
      <c r="AD386" s="1"/>
      <c r="AE386" s="3"/>
      <c r="AF386" s="3"/>
      <c r="AG386" s="3"/>
      <c r="AH386" s="3"/>
      <c r="AI386" s="3"/>
      <c r="AJ386" s="1"/>
      <c r="AK386" s="1"/>
    </row>
    <row r="387" spans="1:37" x14ac:dyDescent="0.3">
      <c r="A387" s="14">
        <v>112</v>
      </c>
      <c r="B387" s="14">
        <v>3</v>
      </c>
      <c r="C387" s="9" t="s">
        <v>0</v>
      </c>
      <c r="D387" s="9" t="s">
        <v>411</v>
      </c>
      <c r="E387" s="9" t="s">
        <v>426</v>
      </c>
      <c r="F387" s="9" t="s">
        <v>427</v>
      </c>
      <c r="G387" s="9">
        <v>1</v>
      </c>
      <c r="H387" s="9" t="s">
        <v>428</v>
      </c>
      <c r="I387" s="9" t="s">
        <v>114</v>
      </c>
      <c r="J387" s="9"/>
      <c r="K387" s="9" t="b">
        <v>0</v>
      </c>
      <c r="L387" s="9" t="s">
        <v>430</v>
      </c>
      <c r="M387" s="9" t="b">
        <v>0</v>
      </c>
      <c r="N387" s="9" t="s">
        <v>429</v>
      </c>
      <c r="O387" s="9" t="s">
        <v>3288</v>
      </c>
      <c r="P387" s="7">
        <v>1194</v>
      </c>
      <c r="Q387" s="7">
        <v>939</v>
      </c>
      <c r="R387" s="7">
        <v>571</v>
      </c>
      <c r="S387" s="7">
        <v>216</v>
      </c>
      <c r="T387" s="8">
        <v>4.2</v>
      </c>
      <c r="U387" s="8">
        <v>2.6</v>
      </c>
      <c r="V387" s="17">
        <v>2.6</v>
      </c>
      <c r="AD387" s="1"/>
      <c r="AE387" s="3"/>
      <c r="AF387" s="2"/>
      <c r="AG387" s="3"/>
      <c r="AH387" s="3"/>
      <c r="AI387" s="3"/>
      <c r="AJ387" s="1"/>
      <c r="AK387" s="1"/>
    </row>
    <row r="388" spans="1:37" x14ac:dyDescent="0.3">
      <c r="A388" s="14">
        <v>119</v>
      </c>
      <c r="B388" s="14">
        <v>3</v>
      </c>
      <c r="C388" s="9" t="s">
        <v>0</v>
      </c>
      <c r="D388" s="9" t="s">
        <v>411</v>
      </c>
      <c r="E388" s="9" t="s">
        <v>454</v>
      </c>
      <c r="F388" s="9" t="s">
        <v>455</v>
      </c>
      <c r="G388" s="9">
        <v>1</v>
      </c>
      <c r="H388" s="9" t="s">
        <v>456</v>
      </c>
      <c r="I388" s="9" t="s">
        <v>457</v>
      </c>
      <c r="J388" s="9">
        <v>1</v>
      </c>
      <c r="K388" s="9" t="b">
        <v>0</v>
      </c>
      <c r="L388" s="9" t="s">
        <v>194</v>
      </c>
      <c r="M388" s="9" t="b">
        <v>0</v>
      </c>
      <c r="N388" s="9" t="s">
        <v>458</v>
      </c>
      <c r="O388" s="9" t="s">
        <v>3295</v>
      </c>
      <c r="P388" s="7">
        <v>1210</v>
      </c>
      <c r="Q388" s="7">
        <v>1101</v>
      </c>
      <c r="R388" s="7">
        <v>728</v>
      </c>
      <c r="S388" s="7">
        <v>220</v>
      </c>
      <c r="T388" s="8">
        <v>3.5</v>
      </c>
      <c r="U388" s="8">
        <v>2.6</v>
      </c>
      <c r="V388" s="17">
        <v>2.6</v>
      </c>
      <c r="AD388" s="1"/>
      <c r="AE388" s="3"/>
      <c r="AF388" s="3"/>
      <c r="AG388" s="3"/>
      <c r="AH388" s="3"/>
      <c r="AI388" s="3"/>
      <c r="AJ388" s="1"/>
      <c r="AK388" s="1"/>
    </row>
    <row r="389" spans="1:37" x14ac:dyDescent="0.3">
      <c r="A389" s="14">
        <v>121</v>
      </c>
      <c r="B389" s="14">
        <v>3</v>
      </c>
      <c r="C389" s="9" t="s">
        <v>0</v>
      </c>
      <c r="D389" s="9" t="s">
        <v>411</v>
      </c>
      <c r="E389" s="9" t="s">
        <v>463</v>
      </c>
      <c r="F389" s="9" t="s">
        <v>464</v>
      </c>
      <c r="G389" s="9">
        <v>1</v>
      </c>
      <c r="H389" s="9"/>
      <c r="I389" s="9" t="s">
        <v>123</v>
      </c>
      <c r="J389" s="9"/>
      <c r="K389" s="9" t="b">
        <v>0</v>
      </c>
      <c r="L389" s="9" t="s">
        <v>416</v>
      </c>
      <c r="M389" s="9" t="b">
        <v>0</v>
      </c>
      <c r="N389" s="9" t="s">
        <v>465</v>
      </c>
      <c r="O389" s="9" t="s">
        <v>3297</v>
      </c>
      <c r="P389" s="7">
        <v>1016</v>
      </c>
      <c r="Q389" s="7">
        <v>875</v>
      </c>
      <c r="R389" s="7">
        <v>723</v>
      </c>
      <c r="S389" s="7">
        <v>183</v>
      </c>
      <c r="T389" s="8">
        <v>4.0999999999999996</v>
      </c>
      <c r="U389" s="8">
        <v>2.6</v>
      </c>
      <c r="V389" s="17">
        <v>2.6</v>
      </c>
      <c r="AD389" s="1"/>
      <c r="AE389" s="3"/>
      <c r="AF389" s="2"/>
      <c r="AG389" s="3"/>
      <c r="AH389" s="3"/>
      <c r="AI389" s="3"/>
      <c r="AJ389" s="1"/>
      <c r="AK389" s="1"/>
    </row>
    <row r="390" spans="1:37" x14ac:dyDescent="0.3">
      <c r="A390" s="14">
        <v>139</v>
      </c>
      <c r="B390" s="14">
        <v>3</v>
      </c>
      <c r="C390" s="9" t="s">
        <v>0</v>
      </c>
      <c r="D390" s="9" t="s">
        <v>411</v>
      </c>
      <c r="E390" s="9" t="s">
        <v>527</v>
      </c>
      <c r="F390" s="9" t="s">
        <v>528</v>
      </c>
      <c r="G390" s="9">
        <v>1</v>
      </c>
      <c r="H390" s="9" t="s">
        <v>529</v>
      </c>
      <c r="I390" s="9"/>
      <c r="J390" s="9">
        <v>1</v>
      </c>
      <c r="K390" s="9" t="b">
        <v>0</v>
      </c>
      <c r="L390" s="9" t="s">
        <v>531</v>
      </c>
      <c r="M390" s="9" t="b">
        <v>0</v>
      </c>
      <c r="N390" s="9" t="s">
        <v>530</v>
      </c>
      <c r="O390" s="9" t="s">
        <v>3315</v>
      </c>
      <c r="P390" s="7">
        <v>1370</v>
      </c>
      <c r="Q390" s="7">
        <v>1222</v>
      </c>
      <c r="R390" s="7">
        <v>823</v>
      </c>
      <c r="S390" s="7">
        <v>251</v>
      </c>
      <c r="T390" s="8">
        <v>3.9</v>
      </c>
      <c r="U390" s="8">
        <v>2.6</v>
      </c>
      <c r="V390" s="17">
        <v>2.6</v>
      </c>
      <c r="AD390" s="1"/>
      <c r="AE390" s="3"/>
      <c r="AF390" s="3"/>
      <c r="AG390" s="3"/>
      <c r="AH390" s="3"/>
      <c r="AI390" s="3"/>
      <c r="AJ390" s="1"/>
      <c r="AK390" s="1"/>
    </row>
    <row r="391" spans="1:37" x14ac:dyDescent="0.3">
      <c r="A391" s="14">
        <v>143</v>
      </c>
      <c r="B391" s="14">
        <v>3</v>
      </c>
      <c r="C391" s="9" t="s">
        <v>0</v>
      </c>
      <c r="D391" s="9" t="s">
        <v>411</v>
      </c>
      <c r="E391" s="9" t="s">
        <v>542</v>
      </c>
      <c r="F391" s="9" t="s">
        <v>543</v>
      </c>
      <c r="G391" s="9">
        <v>1</v>
      </c>
      <c r="H391" s="9" t="s">
        <v>544</v>
      </c>
      <c r="I391" s="9" t="s">
        <v>96</v>
      </c>
      <c r="J391" s="9">
        <v>2</v>
      </c>
      <c r="K391" s="9" t="b">
        <v>0</v>
      </c>
      <c r="L391" s="9" t="s">
        <v>194</v>
      </c>
      <c r="M391" s="9" t="b">
        <v>0</v>
      </c>
      <c r="N391" s="9" t="s">
        <v>545</v>
      </c>
      <c r="O391" s="9" t="s">
        <v>3319</v>
      </c>
      <c r="P391" s="7">
        <v>1217</v>
      </c>
      <c r="Q391" s="7">
        <v>1101</v>
      </c>
      <c r="R391" s="7">
        <v>916</v>
      </c>
      <c r="S391" s="7">
        <v>219</v>
      </c>
      <c r="T391" s="8">
        <v>3.9</v>
      </c>
      <c r="U391" s="8">
        <v>2.6</v>
      </c>
      <c r="V391" s="17">
        <v>2.6</v>
      </c>
      <c r="AD391" s="1"/>
      <c r="AE391" s="3"/>
      <c r="AF391" s="2"/>
      <c r="AG391" s="2"/>
      <c r="AH391" s="3"/>
      <c r="AI391" s="3"/>
      <c r="AJ391" s="1"/>
      <c r="AK391" s="1"/>
    </row>
    <row r="392" spans="1:37" x14ac:dyDescent="0.3">
      <c r="A392" s="14">
        <v>440</v>
      </c>
      <c r="B392" s="14">
        <v>2</v>
      </c>
      <c r="C392" s="9" t="s">
        <v>0</v>
      </c>
      <c r="D392" s="9" t="s">
        <v>1457</v>
      </c>
      <c r="E392" s="9" t="s">
        <v>1524</v>
      </c>
      <c r="F392" s="9" t="s">
        <v>1525</v>
      </c>
      <c r="G392" s="9">
        <v>1</v>
      </c>
      <c r="H392" s="9" t="s">
        <v>26</v>
      </c>
      <c r="I392" s="9" t="s">
        <v>312</v>
      </c>
      <c r="J392" s="9">
        <v>1</v>
      </c>
      <c r="K392" s="9" t="b">
        <v>0</v>
      </c>
      <c r="L392" s="9" t="s">
        <v>1482</v>
      </c>
      <c r="M392" s="9" t="b">
        <v>0</v>
      </c>
      <c r="N392" s="9" t="s">
        <v>1526</v>
      </c>
      <c r="O392" s="9" t="s">
        <v>3615</v>
      </c>
      <c r="P392" s="7">
        <v>1371</v>
      </c>
      <c r="Q392" s="7">
        <v>1245</v>
      </c>
      <c r="R392" s="7">
        <v>925</v>
      </c>
      <c r="S392" s="7">
        <v>254</v>
      </c>
      <c r="T392" s="8">
        <v>4</v>
      </c>
      <c r="U392" s="8">
        <v>2.6</v>
      </c>
      <c r="V392" s="17">
        <v>2.6</v>
      </c>
      <c r="AD392" s="1"/>
      <c r="AE392" s="3"/>
      <c r="AF392" s="2"/>
      <c r="AG392" s="2"/>
      <c r="AH392" s="2"/>
      <c r="AI392" s="3"/>
      <c r="AJ392" s="1"/>
      <c r="AK392" s="1"/>
    </row>
    <row r="393" spans="1:37" x14ac:dyDescent="0.3">
      <c r="A393" s="14">
        <v>311</v>
      </c>
      <c r="B393" s="14">
        <v>1</v>
      </c>
      <c r="C393" s="9" t="s">
        <v>0</v>
      </c>
      <c r="D393" s="9" t="s">
        <v>1077</v>
      </c>
      <c r="E393" s="9" t="s">
        <v>1107</v>
      </c>
      <c r="F393" s="9" t="s">
        <v>1108</v>
      </c>
      <c r="G393" s="9">
        <v>1</v>
      </c>
      <c r="H393" s="9"/>
      <c r="I393" s="9" t="s">
        <v>51</v>
      </c>
      <c r="J393" s="9"/>
      <c r="K393" s="9" t="b">
        <v>0</v>
      </c>
      <c r="L393" s="9" t="s">
        <v>7</v>
      </c>
      <c r="M393" s="9" t="b">
        <v>0</v>
      </c>
      <c r="N393" s="9" t="s">
        <v>1109</v>
      </c>
      <c r="O393" s="9" t="s">
        <v>3487</v>
      </c>
      <c r="P393" s="7">
        <v>1332</v>
      </c>
      <c r="Q393" s="7">
        <v>1088</v>
      </c>
      <c r="R393" s="7">
        <v>928</v>
      </c>
      <c r="S393" s="7">
        <v>239</v>
      </c>
      <c r="T393" s="8">
        <v>4.5999999999999996</v>
      </c>
      <c r="U393" s="8">
        <v>2.6</v>
      </c>
      <c r="V393" s="17">
        <v>2.6</v>
      </c>
      <c r="AD393" s="1"/>
      <c r="AE393" s="3"/>
      <c r="AF393" s="2"/>
      <c r="AG393" s="2"/>
      <c r="AH393" s="3"/>
      <c r="AI393" s="3"/>
      <c r="AJ393" s="1"/>
      <c r="AK393" s="1"/>
    </row>
    <row r="394" spans="1:37" x14ac:dyDescent="0.3">
      <c r="A394" s="14">
        <v>70</v>
      </c>
      <c r="B394" s="14">
        <v>2</v>
      </c>
      <c r="C394" s="9" t="s">
        <v>0</v>
      </c>
      <c r="D394" s="9" t="s">
        <v>180</v>
      </c>
      <c r="E394" s="9" t="s">
        <v>259</v>
      </c>
      <c r="F394" s="9" t="s">
        <v>260</v>
      </c>
      <c r="G394" s="9">
        <v>1</v>
      </c>
      <c r="H394" s="9" t="s">
        <v>261</v>
      </c>
      <c r="I394" s="9"/>
      <c r="J394" s="9"/>
      <c r="K394" s="9" t="b">
        <v>0</v>
      </c>
      <c r="L394" s="9" t="s">
        <v>194</v>
      </c>
      <c r="M394" s="9" t="b">
        <v>0</v>
      </c>
      <c r="N394" s="9" t="s">
        <v>262</v>
      </c>
      <c r="O394" s="9" t="s">
        <v>3246</v>
      </c>
      <c r="P394" s="7">
        <v>1301</v>
      </c>
      <c r="Q394" s="7">
        <v>1086</v>
      </c>
      <c r="R394" s="7">
        <v>668</v>
      </c>
      <c r="S394" s="7">
        <v>239</v>
      </c>
      <c r="T394" s="8">
        <v>4.4000000000000004</v>
      </c>
      <c r="U394" s="8">
        <v>2.6</v>
      </c>
      <c r="V394" s="17">
        <v>2.6</v>
      </c>
      <c r="AD394" s="1"/>
      <c r="AE394" s="3"/>
      <c r="AF394" s="2"/>
      <c r="AG394" s="2"/>
      <c r="AH394" s="2"/>
      <c r="AI394" s="3"/>
      <c r="AJ394" s="1"/>
      <c r="AK394" s="1"/>
    </row>
    <row r="395" spans="1:37" x14ac:dyDescent="0.3">
      <c r="A395" s="14">
        <v>230</v>
      </c>
      <c r="B395" s="14">
        <v>3</v>
      </c>
      <c r="C395" s="9" t="s">
        <v>0</v>
      </c>
      <c r="D395" s="9" t="s">
        <v>411</v>
      </c>
      <c r="E395" s="9" t="s">
        <v>843</v>
      </c>
      <c r="F395" s="9" t="s">
        <v>844</v>
      </c>
      <c r="G395" s="9">
        <v>1</v>
      </c>
      <c r="H395" s="9"/>
      <c r="I395" s="9" t="s">
        <v>312</v>
      </c>
      <c r="J395" s="9">
        <v>1</v>
      </c>
      <c r="K395" s="9" t="b">
        <v>0</v>
      </c>
      <c r="L395" s="9" t="s">
        <v>194</v>
      </c>
      <c r="M395" s="9" t="b">
        <v>0</v>
      </c>
      <c r="N395" s="9" t="s">
        <v>845</v>
      </c>
      <c r="O395" s="9" t="s">
        <v>3406</v>
      </c>
      <c r="P395" s="7">
        <v>1124</v>
      </c>
      <c r="Q395" s="7">
        <v>952</v>
      </c>
      <c r="R395" s="7">
        <v>704</v>
      </c>
      <c r="S395" s="7">
        <v>202</v>
      </c>
      <c r="T395" s="8">
        <v>4.3</v>
      </c>
      <c r="U395" s="8">
        <v>2.6</v>
      </c>
      <c r="V395" s="17">
        <v>2.6</v>
      </c>
      <c r="AD395" s="1"/>
      <c r="AE395" s="3"/>
      <c r="AF395" s="2"/>
      <c r="AG395" s="2"/>
      <c r="AH395" s="3"/>
      <c r="AI395" s="3"/>
      <c r="AJ395" s="1"/>
      <c r="AK395" s="1"/>
    </row>
    <row r="396" spans="1:37" x14ac:dyDescent="0.3">
      <c r="A396" s="14">
        <v>86</v>
      </c>
      <c r="B396" s="14">
        <v>2</v>
      </c>
      <c r="C396" s="9" t="s">
        <v>0</v>
      </c>
      <c r="D396" s="9" t="s">
        <v>180</v>
      </c>
      <c r="E396" s="9" t="s">
        <v>326</v>
      </c>
      <c r="F396" s="9" t="s">
        <v>327</v>
      </c>
      <c r="G396" s="9">
        <v>1</v>
      </c>
      <c r="H396" s="9" t="s">
        <v>273</v>
      </c>
      <c r="I396" s="9"/>
      <c r="J396" s="9">
        <v>1</v>
      </c>
      <c r="K396" s="9" t="b">
        <v>0</v>
      </c>
      <c r="L396" s="9" t="s">
        <v>194</v>
      </c>
      <c r="M396" s="9" t="b">
        <v>0</v>
      </c>
      <c r="N396" s="9" t="s">
        <v>328</v>
      </c>
      <c r="O396" s="9" t="s">
        <v>3262</v>
      </c>
      <c r="P396" s="7">
        <v>1380</v>
      </c>
      <c r="Q396" s="7">
        <v>1249</v>
      </c>
      <c r="R396" s="7">
        <v>827</v>
      </c>
      <c r="S396" s="7">
        <v>247</v>
      </c>
      <c r="T396" s="8">
        <v>4.4000000000000004</v>
      </c>
      <c r="U396" s="8">
        <v>2.6</v>
      </c>
      <c r="V396" s="17">
        <v>2.6</v>
      </c>
      <c r="AD396" s="1"/>
      <c r="AE396" s="3"/>
      <c r="AF396" s="2"/>
      <c r="AG396" s="2"/>
      <c r="AH396" s="3"/>
      <c r="AI396" s="3"/>
      <c r="AJ396" s="1"/>
      <c r="AK396" s="1"/>
    </row>
    <row r="397" spans="1:37" x14ac:dyDescent="0.3">
      <c r="A397" s="14">
        <v>252</v>
      </c>
      <c r="B397" s="14">
        <v>3</v>
      </c>
      <c r="C397" s="9" t="s">
        <v>0</v>
      </c>
      <c r="D397" s="9" t="s">
        <v>411</v>
      </c>
      <c r="E397" s="9" t="s">
        <v>917</v>
      </c>
      <c r="F397" s="9" t="s">
        <v>918</v>
      </c>
      <c r="G397" s="9">
        <v>1</v>
      </c>
      <c r="H397" s="9"/>
      <c r="I397" s="9" t="s">
        <v>118</v>
      </c>
      <c r="J397" s="9">
        <v>1</v>
      </c>
      <c r="K397" s="9" t="b">
        <v>0</v>
      </c>
      <c r="L397" s="9" t="s">
        <v>430</v>
      </c>
      <c r="M397" s="9" t="b">
        <v>0</v>
      </c>
      <c r="N397" s="9" t="s">
        <v>919</v>
      </c>
      <c r="O397" s="9" t="s">
        <v>3428</v>
      </c>
      <c r="P397" s="7">
        <v>1183</v>
      </c>
      <c r="Q397" s="7">
        <v>1027</v>
      </c>
      <c r="R397" s="7">
        <v>766</v>
      </c>
      <c r="S397" s="7">
        <v>217</v>
      </c>
      <c r="T397" s="8">
        <v>4.5999999999999996</v>
      </c>
      <c r="U397" s="8">
        <v>2.6</v>
      </c>
      <c r="V397" s="17">
        <v>2.6</v>
      </c>
      <c r="AD397" s="1"/>
      <c r="AE397" s="3"/>
      <c r="AF397" s="2"/>
      <c r="AG397" s="2"/>
      <c r="AH397" s="3"/>
      <c r="AI397" s="3"/>
      <c r="AJ397" s="1"/>
      <c r="AK397" s="1"/>
    </row>
    <row r="398" spans="1:37" x14ac:dyDescent="0.3">
      <c r="A398" s="14">
        <v>90</v>
      </c>
      <c r="B398" s="14">
        <v>2</v>
      </c>
      <c r="C398" s="9" t="s">
        <v>0</v>
      </c>
      <c r="D398" s="9" t="s">
        <v>180</v>
      </c>
      <c r="E398" s="9" t="s">
        <v>341</v>
      </c>
      <c r="F398" s="9" t="s">
        <v>342</v>
      </c>
      <c r="G398" s="9">
        <v>1</v>
      </c>
      <c r="H398" s="9"/>
      <c r="I398" s="9"/>
      <c r="J398" s="9"/>
      <c r="K398" s="9" t="b">
        <v>0</v>
      </c>
      <c r="L398" s="9" t="s">
        <v>344</v>
      </c>
      <c r="M398" s="9" t="b">
        <v>0</v>
      </c>
      <c r="N398" s="9" t="s">
        <v>343</v>
      </c>
      <c r="O398" s="9" t="s">
        <v>3266</v>
      </c>
      <c r="P398" s="7">
        <v>1341</v>
      </c>
      <c r="Q398" s="7">
        <v>846</v>
      </c>
      <c r="R398" s="7">
        <v>681</v>
      </c>
      <c r="S398" s="7">
        <v>241</v>
      </c>
      <c r="T398" s="8">
        <v>4.4000000000000004</v>
      </c>
      <c r="U398" s="8">
        <v>2.6</v>
      </c>
      <c r="V398" s="17">
        <v>2.6</v>
      </c>
      <c r="AD398" s="1"/>
      <c r="AE398" s="3"/>
      <c r="AF398" s="2"/>
      <c r="AG398" s="2"/>
      <c r="AH398" s="2"/>
      <c r="AI398" s="3"/>
      <c r="AJ398" s="1"/>
      <c r="AK398" s="1"/>
    </row>
    <row r="399" spans="1:37" x14ac:dyDescent="0.3">
      <c r="A399" s="14">
        <v>93</v>
      </c>
      <c r="B399" s="14">
        <v>2</v>
      </c>
      <c r="C399" s="9" t="s">
        <v>0</v>
      </c>
      <c r="D399" s="9" t="s">
        <v>180</v>
      </c>
      <c r="E399" s="9" t="s">
        <v>353</v>
      </c>
      <c r="F399" s="9" t="s">
        <v>354</v>
      </c>
      <c r="G399" s="9">
        <v>1</v>
      </c>
      <c r="H399" s="9"/>
      <c r="I399" s="9" t="s">
        <v>114</v>
      </c>
      <c r="J399" s="9">
        <v>1</v>
      </c>
      <c r="K399" s="9" t="b">
        <v>0</v>
      </c>
      <c r="L399" s="9" t="s">
        <v>340</v>
      </c>
      <c r="M399" s="9" t="b">
        <v>0</v>
      </c>
      <c r="N399" s="9" t="s">
        <v>355</v>
      </c>
      <c r="O399" s="9" t="s">
        <v>3269</v>
      </c>
      <c r="P399" s="7">
        <v>1505</v>
      </c>
      <c r="Q399" s="7">
        <v>1395</v>
      </c>
      <c r="R399" s="7">
        <v>982</v>
      </c>
      <c r="S399" s="7">
        <v>277</v>
      </c>
      <c r="T399" s="8">
        <v>3.9</v>
      </c>
      <c r="U399" s="8">
        <v>2.6</v>
      </c>
      <c r="V399" s="17">
        <v>2.6</v>
      </c>
      <c r="AD399" s="1"/>
      <c r="AE399" s="3"/>
      <c r="AF399" s="2"/>
      <c r="AG399" s="3"/>
      <c r="AH399" s="3"/>
      <c r="AI399" s="3"/>
      <c r="AJ399" s="1"/>
      <c r="AK399" s="1"/>
    </row>
    <row r="400" spans="1:37" x14ac:dyDescent="0.3">
      <c r="A400" s="14">
        <v>913</v>
      </c>
      <c r="B400" s="14">
        <v>2</v>
      </c>
      <c r="C400" s="9" t="s">
        <v>1659</v>
      </c>
      <c r="D400" s="9" t="s">
        <v>1457</v>
      </c>
      <c r="E400" s="9" t="s">
        <v>2979</v>
      </c>
      <c r="F400" s="9" t="s">
        <v>2980</v>
      </c>
      <c r="G400" s="9">
        <v>1</v>
      </c>
      <c r="H400" s="9"/>
      <c r="I400" s="9"/>
      <c r="J400" s="9"/>
      <c r="K400" s="9" t="b">
        <v>0</v>
      </c>
      <c r="L400" s="9"/>
      <c r="M400" s="9" t="b">
        <v>0</v>
      </c>
      <c r="N400" s="9" t="s">
        <v>2981</v>
      </c>
      <c r="O400" s="9" t="s">
        <v>4085</v>
      </c>
      <c r="P400" s="7">
        <v>1323</v>
      </c>
      <c r="Q400" s="7">
        <v>1191</v>
      </c>
      <c r="R400" s="7">
        <v>934</v>
      </c>
      <c r="S400" s="7">
        <v>230</v>
      </c>
      <c r="T400" s="8">
        <v>3.8</v>
      </c>
      <c r="U400" s="8">
        <v>2.5</v>
      </c>
      <c r="V400" s="17">
        <v>2.5</v>
      </c>
      <c r="AD400" s="1"/>
      <c r="AE400" s="3"/>
      <c r="AF400" s="2"/>
      <c r="AG400" s="3"/>
      <c r="AH400" s="3"/>
      <c r="AI400" s="3"/>
      <c r="AJ400" s="1"/>
      <c r="AK400" s="1"/>
    </row>
    <row r="401" spans="1:37" x14ac:dyDescent="0.3">
      <c r="A401" s="14">
        <v>487</v>
      </c>
      <c r="B401" s="14">
        <v>1</v>
      </c>
      <c r="C401" s="9" t="s">
        <v>1659</v>
      </c>
      <c r="D401" s="9" t="s">
        <v>1</v>
      </c>
      <c r="E401" s="9" t="s">
        <v>1681</v>
      </c>
      <c r="F401" s="9" t="s">
        <v>1682</v>
      </c>
      <c r="G401" s="9">
        <v>1</v>
      </c>
      <c r="H401" s="9"/>
      <c r="I401" s="9"/>
      <c r="J401" s="9"/>
      <c r="K401" s="9" t="b">
        <v>0</v>
      </c>
      <c r="L401" s="9" t="s">
        <v>7</v>
      </c>
      <c r="M401" s="9" t="b">
        <v>0</v>
      </c>
      <c r="N401" s="9" t="s">
        <v>1683</v>
      </c>
      <c r="O401" s="9" t="s">
        <v>3662</v>
      </c>
      <c r="P401" s="7">
        <v>1367</v>
      </c>
      <c r="Q401" s="7">
        <v>1225</v>
      </c>
      <c r="R401" s="7">
        <v>834</v>
      </c>
      <c r="S401" s="7">
        <v>235</v>
      </c>
      <c r="T401" s="8">
        <v>4.2</v>
      </c>
      <c r="U401" s="8">
        <v>2.5</v>
      </c>
      <c r="V401" s="17">
        <v>2.5</v>
      </c>
      <c r="AD401" s="1"/>
      <c r="AE401" s="3"/>
      <c r="AF401" s="2"/>
      <c r="AG401" s="2"/>
      <c r="AH401" s="2"/>
      <c r="AI401" s="3"/>
      <c r="AJ401" s="1"/>
      <c r="AK401" s="1"/>
    </row>
    <row r="402" spans="1:37" x14ac:dyDescent="0.3">
      <c r="A402" s="14">
        <v>563</v>
      </c>
      <c r="B402" s="14">
        <v>2</v>
      </c>
      <c r="C402" s="9" t="s">
        <v>1659</v>
      </c>
      <c r="D402" s="9" t="s">
        <v>180</v>
      </c>
      <c r="E402" s="9" t="s">
        <v>1910</v>
      </c>
      <c r="F402" s="9" t="s">
        <v>1911</v>
      </c>
      <c r="G402" s="9">
        <v>1</v>
      </c>
      <c r="H402" s="9"/>
      <c r="I402" s="9"/>
      <c r="J402" s="9"/>
      <c r="K402" s="9" t="b">
        <v>0</v>
      </c>
      <c r="L402" s="9" t="s">
        <v>296</v>
      </c>
      <c r="M402" s="9" t="b">
        <v>0</v>
      </c>
      <c r="N402" s="9" t="s">
        <v>1912</v>
      </c>
      <c r="O402" s="9" t="s">
        <v>3738</v>
      </c>
      <c r="P402" s="7">
        <v>1150</v>
      </c>
      <c r="Q402" s="7">
        <v>1000</v>
      </c>
      <c r="R402" s="7">
        <v>780</v>
      </c>
      <c r="S402" s="7">
        <v>198</v>
      </c>
      <c r="T402" s="8">
        <v>3.6</v>
      </c>
      <c r="U402" s="8">
        <v>2.5</v>
      </c>
      <c r="V402" s="17">
        <v>2.5</v>
      </c>
      <c r="AD402" s="1"/>
      <c r="AE402" s="3"/>
      <c r="AF402" s="2"/>
      <c r="AG402" s="3"/>
      <c r="AH402" s="3"/>
      <c r="AI402" s="3"/>
      <c r="AJ402" s="1"/>
      <c r="AK402" s="1"/>
    </row>
    <row r="403" spans="1:37" x14ac:dyDescent="0.3">
      <c r="A403" s="14">
        <v>899</v>
      </c>
      <c r="B403" s="14">
        <v>4</v>
      </c>
      <c r="C403" s="9" t="s">
        <v>1659</v>
      </c>
      <c r="D403" s="9" t="s">
        <v>1394</v>
      </c>
      <c r="E403" s="9" t="s">
        <v>2944</v>
      </c>
      <c r="F403" s="9" t="s">
        <v>2945</v>
      </c>
      <c r="G403" s="9">
        <v>4</v>
      </c>
      <c r="H403" s="9"/>
      <c r="I403" s="9"/>
      <c r="J403" s="9"/>
      <c r="K403" s="9" t="b">
        <v>0</v>
      </c>
      <c r="L403" s="9" t="s">
        <v>437</v>
      </c>
      <c r="M403" s="9" t="b">
        <v>0</v>
      </c>
      <c r="N403" s="9" t="s">
        <v>2946</v>
      </c>
      <c r="O403" s="9" t="s">
        <v>4073</v>
      </c>
      <c r="P403" s="7">
        <v>516</v>
      </c>
      <c r="Q403" s="7">
        <v>450</v>
      </c>
      <c r="R403" s="7">
        <v>321</v>
      </c>
      <c r="S403" s="7">
        <v>92</v>
      </c>
      <c r="T403" s="8">
        <v>3.7</v>
      </c>
      <c r="U403" s="8">
        <v>2.5</v>
      </c>
      <c r="V403" s="17">
        <v>2.5</v>
      </c>
      <c r="AD403" s="1"/>
      <c r="AE403" s="3"/>
      <c r="AF403" s="3"/>
      <c r="AG403" s="3"/>
      <c r="AH403" s="3"/>
      <c r="AI403" s="3"/>
      <c r="AJ403" s="1"/>
      <c r="AK403" s="1"/>
    </row>
    <row r="404" spans="1:37" x14ac:dyDescent="0.3">
      <c r="A404" s="14">
        <v>654</v>
      </c>
      <c r="B404" s="14">
        <v>3</v>
      </c>
      <c r="C404" s="9" t="s">
        <v>1659</v>
      </c>
      <c r="D404" s="9" t="s">
        <v>411</v>
      </c>
      <c r="E404" s="9" t="s">
        <v>2197</v>
      </c>
      <c r="F404" s="9" t="s">
        <v>2198</v>
      </c>
      <c r="G404" s="9">
        <v>3</v>
      </c>
      <c r="H404" s="9"/>
      <c r="I404" s="9"/>
      <c r="J404" s="9"/>
      <c r="K404" s="9" t="b">
        <v>0</v>
      </c>
      <c r="L404" s="9" t="s">
        <v>416</v>
      </c>
      <c r="M404" s="9" t="b">
        <v>1</v>
      </c>
      <c r="N404" s="9" t="s">
        <v>2199</v>
      </c>
      <c r="O404" s="9" t="s">
        <v>3829</v>
      </c>
      <c r="P404" s="7">
        <v>1020</v>
      </c>
      <c r="Q404" s="7">
        <v>961</v>
      </c>
      <c r="R404" s="7">
        <v>669</v>
      </c>
      <c r="S404" s="7">
        <v>180</v>
      </c>
      <c r="T404" s="8">
        <v>4</v>
      </c>
      <c r="U404" s="8">
        <v>2.5</v>
      </c>
      <c r="V404" s="17">
        <v>2.5</v>
      </c>
      <c r="AD404" s="1"/>
      <c r="AE404" s="3"/>
      <c r="AF404" s="2"/>
      <c r="AG404" s="3"/>
      <c r="AH404" s="3"/>
      <c r="AI404" s="3"/>
      <c r="AJ404" s="1"/>
      <c r="AK404" s="1"/>
    </row>
    <row r="405" spans="1:37" x14ac:dyDescent="0.3">
      <c r="A405" s="14">
        <v>670</v>
      </c>
      <c r="B405" s="14">
        <v>3</v>
      </c>
      <c r="C405" s="9" t="s">
        <v>1659</v>
      </c>
      <c r="D405" s="9" t="s">
        <v>411</v>
      </c>
      <c r="E405" s="9" t="s">
        <v>2246</v>
      </c>
      <c r="F405" s="9" t="s">
        <v>2247</v>
      </c>
      <c r="G405" s="9">
        <v>1</v>
      </c>
      <c r="H405" s="9"/>
      <c r="I405" s="9"/>
      <c r="J405" s="9"/>
      <c r="K405" s="9" t="b">
        <v>0</v>
      </c>
      <c r="L405" s="9" t="s">
        <v>420</v>
      </c>
      <c r="M405" s="9" t="b">
        <v>0</v>
      </c>
      <c r="N405" s="9" t="s">
        <v>2248</v>
      </c>
      <c r="O405" s="9" t="s">
        <v>3845</v>
      </c>
      <c r="P405" s="7">
        <v>742</v>
      </c>
      <c r="Q405" s="7">
        <v>562</v>
      </c>
      <c r="R405" s="7">
        <v>376</v>
      </c>
      <c r="S405" s="7">
        <v>131</v>
      </c>
      <c r="T405" s="8">
        <v>4.5999999999999996</v>
      </c>
      <c r="U405" s="8">
        <v>2.5</v>
      </c>
      <c r="V405" s="17">
        <v>2.5</v>
      </c>
      <c r="AD405" s="1"/>
      <c r="AE405" s="3"/>
      <c r="AF405" s="3"/>
      <c r="AG405" s="3"/>
      <c r="AH405" s="3"/>
      <c r="AI405" s="3"/>
      <c r="AJ405" s="1"/>
      <c r="AK405" s="1"/>
    </row>
    <row r="406" spans="1:37" x14ac:dyDescent="0.3">
      <c r="A406" s="14">
        <v>903</v>
      </c>
      <c r="B406" s="14">
        <v>4</v>
      </c>
      <c r="C406" s="9" t="s">
        <v>1659</v>
      </c>
      <c r="D406" s="9" t="s">
        <v>1394</v>
      </c>
      <c r="E406" s="9" t="s">
        <v>2949</v>
      </c>
      <c r="F406" s="9" t="s">
        <v>2950</v>
      </c>
      <c r="G406" s="9">
        <v>3</v>
      </c>
      <c r="H406" s="9"/>
      <c r="I406" s="9"/>
      <c r="J406" s="9"/>
      <c r="K406" s="9" t="b">
        <v>0</v>
      </c>
      <c r="L406" s="9"/>
      <c r="M406" s="9" t="b">
        <v>1</v>
      </c>
      <c r="N406" s="9" t="s">
        <v>2951</v>
      </c>
      <c r="O406" s="9" t="s">
        <v>4075</v>
      </c>
      <c r="P406" s="7">
        <v>1084</v>
      </c>
      <c r="Q406" s="7">
        <v>981</v>
      </c>
      <c r="R406" s="7">
        <v>799</v>
      </c>
      <c r="S406" s="7">
        <v>189</v>
      </c>
      <c r="T406" s="8">
        <v>3</v>
      </c>
      <c r="U406" s="8">
        <v>2.5</v>
      </c>
      <c r="V406" s="17">
        <v>2.5</v>
      </c>
      <c r="AD406" s="1"/>
      <c r="AE406" s="3"/>
      <c r="AF406" s="2"/>
      <c r="AG406" s="3"/>
      <c r="AH406" s="3"/>
      <c r="AI406" s="3"/>
      <c r="AJ406" s="1"/>
      <c r="AK406" s="1"/>
    </row>
    <row r="407" spans="1:37" x14ac:dyDescent="0.3">
      <c r="A407" s="14">
        <v>880</v>
      </c>
      <c r="B407" s="14">
        <v>4</v>
      </c>
      <c r="C407" s="9" t="s">
        <v>1659</v>
      </c>
      <c r="D407" s="9" t="s">
        <v>1338</v>
      </c>
      <c r="E407" s="9" t="s">
        <v>2886</v>
      </c>
      <c r="F407" s="9" t="s">
        <v>2887</v>
      </c>
      <c r="G407" s="9">
        <v>3</v>
      </c>
      <c r="H407" s="9"/>
      <c r="I407" s="9"/>
      <c r="J407" s="9"/>
      <c r="K407" s="9" t="b">
        <v>0</v>
      </c>
      <c r="L407" s="9" t="s">
        <v>437</v>
      </c>
      <c r="M407" s="9" t="b">
        <v>0</v>
      </c>
      <c r="N407" s="9" t="s">
        <v>2888</v>
      </c>
      <c r="O407" s="9" t="s">
        <v>4055</v>
      </c>
      <c r="P407" s="7">
        <v>381</v>
      </c>
      <c r="Q407" s="7">
        <v>216</v>
      </c>
      <c r="R407" s="7">
        <v>137</v>
      </c>
      <c r="S407" s="7">
        <v>51</v>
      </c>
      <c r="T407" s="8">
        <v>4.9000000000000004</v>
      </c>
      <c r="U407" s="8">
        <v>1.9</v>
      </c>
      <c r="V407" s="19">
        <v>2.5</v>
      </c>
      <c r="W407" s="20" t="s">
        <v>4146</v>
      </c>
      <c r="AD407" s="1"/>
      <c r="AE407" s="3"/>
      <c r="AF407" s="2"/>
      <c r="AG407" s="2"/>
      <c r="AH407" s="3"/>
      <c r="AI407" s="3"/>
      <c r="AJ407" s="1"/>
      <c r="AK407" s="1"/>
    </row>
    <row r="408" spans="1:37" x14ac:dyDescent="0.3">
      <c r="A408" s="14">
        <v>847</v>
      </c>
      <c r="B408" s="14">
        <v>1</v>
      </c>
      <c r="C408" s="9" t="s">
        <v>1659</v>
      </c>
      <c r="D408" s="9" t="s">
        <v>1208</v>
      </c>
      <c r="E408" s="9" t="s">
        <v>2785</v>
      </c>
      <c r="F408" s="9" t="s">
        <v>2786</v>
      </c>
      <c r="G408" s="9">
        <v>4</v>
      </c>
      <c r="H408" s="9"/>
      <c r="I408" s="9"/>
      <c r="J408" s="9"/>
      <c r="K408" s="9" t="b">
        <v>0</v>
      </c>
      <c r="L408" s="9" t="s">
        <v>7</v>
      </c>
      <c r="M408" s="9" t="b">
        <v>0</v>
      </c>
      <c r="N408" s="9" t="s">
        <v>2787</v>
      </c>
      <c r="O408" s="9" t="s">
        <v>4022</v>
      </c>
      <c r="P408" s="7">
        <v>1352</v>
      </c>
      <c r="Q408" s="7">
        <v>1225</v>
      </c>
      <c r="R408" s="7">
        <v>987</v>
      </c>
      <c r="S408" s="7">
        <v>241</v>
      </c>
      <c r="T408" s="8">
        <v>3.4</v>
      </c>
      <c r="U408" s="8">
        <v>2.5</v>
      </c>
      <c r="V408" s="17">
        <v>2.5</v>
      </c>
      <c r="AD408" s="1"/>
      <c r="AE408" s="3"/>
      <c r="AF408" s="2"/>
      <c r="AG408" s="2"/>
      <c r="AH408" s="3"/>
      <c r="AI408" s="3"/>
      <c r="AJ408" s="1"/>
      <c r="AK408" s="1"/>
    </row>
    <row r="409" spans="1:37" x14ac:dyDescent="0.3">
      <c r="A409" s="14">
        <v>702</v>
      </c>
      <c r="B409" s="14">
        <v>3</v>
      </c>
      <c r="C409" s="9" t="s">
        <v>1659</v>
      </c>
      <c r="D409" s="9" t="s">
        <v>411</v>
      </c>
      <c r="E409" s="9" t="s">
        <v>2345</v>
      </c>
      <c r="F409" s="9" t="s">
        <v>2346</v>
      </c>
      <c r="G409" s="9">
        <v>1</v>
      </c>
      <c r="H409" s="9"/>
      <c r="I409" s="9"/>
      <c r="J409" s="9"/>
      <c r="K409" s="9" t="b">
        <v>0</v>
      </c>
      <c r="L409" s="9" t="s">
        <v>777</v>
      </c>
      <c r="M409" s="9" t="b">
        <v>0</v>
      </c>
      <c r="N409" s="9" t="s">
        <v>2347</v>
      </c>
      <c r="O409" s="9" t="s">
        <v>3877</v>
      </c>
      <c r="P409" s="7">
        <v>1155</v>
      </c>
      <c r="Q409" s="7">
        <v>1041</v>
      </c>
      <c r="R409" s="7">
        <v>699</v>
      </c>
      <c r="S409" s="7">
        <v>206</v>
      </c>
      <c r="T409" s="8">
        <v>3.9</v>
      </c>
      <c r="U409" s="8">
        <v>2.5</v>
      </c>
      <c r="V409" s="17">
        <v>2.5</v>
      </c>
      <c r="AD409" s="1"/>
      <c r="AE409" s="3"/>
      <c r="AF409" s="2"/>
      <c r="AG409" s="3"/>
      <c r="AH409" s="3"/>
      <c r="AI409" s="3"/>
      <c r="AJ409" s="1"/>
      <c r="AK409" s="1"/>
    </row>
    <row r="410" spans="1:37" x14ac:dyDescent="0.3">
      <c r="A410" s="14">
        <v>586</v>
      </c>
      <c r="B410" s="14">
        <v>2</v>
      </c>
      <c r="C410" s="9" t="s">
        <v>1659</v>
      </c>
      <c r="D410" s="9" t="s">
        <v>180</v>
      </c>
      <c r="E410" s="9" t="s">
        <v>1983</v>
      </c>
      <c r="F410" s="9" t="s">
        <v>1984</v>
      </c>
      <c r="G410" s="9">
        <v>3</v>
      </c>
      <c r="H410" s="9"/>
      <c r="I410" s="9"/>
      <c r="J410" s="9"/>
      <c r="K410" s="9" t="b">
        <v>0</v>
      </c>
      <c r="L410" s="9" t="s">
        <v>205</v>
      </c>
      <c r="M410" s="9" t="b">
        <v>0</v>
      </c>
      <c r="N410" s="9" t="s">
        <v>1985</v>
      </c>
      <c r="O410" s="9" t="s">
        <v>3761</v>
      </c>
      <c r="P410" s="7">
        <v>1320</v>
      </c>
      <c r="Q410" s="7">
        <v>1228</v>
      </c>
      <c r="R410" s="7">
        <v>809</v>
      </c>
      <c r="S410" s="7">
        <v>230</v>
      </c>
      <c r="T410" s="8">
        <v>4.4000000000000004</v>
      </c>
      <c r="U410" s="8">
        <v>2.5</v>
      </c>
      <c r="V410" s="17">
        <v>2.5</v>
      </c>
      <c r="AD410" s="1"/>
      <c r="AE410" s="3"/>
      <c r="AF410" s="2"/>
      <c r="AG410" s="3"/>
      <c r="AH410" s="3"/>
      <c r="AI410" s="3"/>
      <c r="AJ410" s="1"/>
      <c r="AK410" s="1"/>
    </row>
    <row r="411" spans="1:37" x14ac:dyDescent="0.3">
      <c r="A411" s="14">
        <v>725</v>
      </c>
      <c r="B411" s="14">
        <v>3</v>
      </c>
      <c r="C411" s="9" t="s">
        <v>1659</v>
      </c>
      <c r="D411" s="9" t="s">
        <v>411</v>
      </c>
      <c r="E411" s="9" t="s">
        <v>2415</v>
      </c>
      <c r="F411" s="9" t="s">
        <v>2416</v>
      </c>
      <c r="G411" s="9">
        <v>1</v>
      </c>
      <c r="H411" s="9"/>
      <c r="I411" s="9"/>
      <c r="J411" s="9"/>
      <c r="K411" s="9" t="b">
        <v>0</v>
      </c>
      <c r="L411" s="9"/>
      <c r="M411" s="9" t="b">
        <v>0</v>
      </c>
      <c r="N411" s="9" t="s">
        <v>2417</v>
      </c>
      <c r="O411" s="9" t="s">
        <v>3900</v>
      </c>
      <c r="P411" s="7">
        <v>1131</v>
      </c>
      <c r="Q411" s="7">
        <v>1098</v>
      </c>
      <c r="R411" s="7">
        <v>952</v>
      </c>
      <c r="S411" s="7">
        <v>201</v>
      </c>
      <c r="T411" s="8">
        <v>3.2</v>
      </c>
      <c r="U411" s="8">
        <v>2.5</v>
      </c>
      <c r="V411" s="17">
        <v>2.5</v>
      </c>
      <c r="AD411" s="1"/>
      <c r="AE411" s="3"/>
      <c r="AF411" s="2"/>
      <c r="AG411" s="2"/>
      <c r="AH411" s="2"/>
      <c r="AI411" s="3"/>
      <c r="AJ411" s="1"/>
      <c r="AK411" s="1"/>
    </row>
    <row r="412" spans="1:37" x14ac:dyDescent="0.3">
      <c r="A412" s="14">
        <v>534</v>
      </c>
      <c r="B412" s="14">
        <v>1</v>
      </c>
      <c r="C412" s="9" t="s">
        <v>1659</v>
      </c>
      <c r="D412" s="9" t="s">
        <v>1</v>
      </c>
      <c r="E412" s="9" t="s">
        <v>1822</v>
      </c>
      <c r="F412" s="9" t="s">
        <v>1823</v>
      </c>
      <c r="G412" s="9">
        <v>1</v>
      </c>
      <c r="H412" s="9"/>
      <c r="I412" s="9"/>
      <c r="J412" s="9"/>
      <c r="K412" s="9" t="b">
        <v>0</v>
      </c>
      <c r="L412" s="9" t="s">
        <v>7</v>
      </c>
      <c r="M412" s="9" t="b">
        <v>0</v>
      </c>
      <c r="N412" s="9" t="s">
        <v>1824</v>
      </c>
      <c r="O412" s="9" t="s">
        <v>3709</v>
      </c>
      <c r="P412" s="7">
        <v>1376</v>
      </c>
      <c r="Q412" s="7">
        <v>1319</v>
      </c>
      <c r="R412" s="7">
        <v>1035</v>
      </c>
      <c r="S412" s="7">
        <v>239</v>
      </c>
      <c r="T412" s="8">
        <v>3.1</v>
      </c>
      <c r="U412" s="8">
        <v>2.5</v>
      </c>
      <c r="V412" s="17">
        <v>2.5</v>
      </c>
      <c r="AD412" s="1"/>
      <c r="AE412" s="3"/>
      <c r="AF412" s="2"/>
      <c r="AG412" s="2"/>
      <c r="AH412" s="3"/>
      <c r="AI412" s="3"/>
      <c r="AJ412" s="1"/>
      <c r="AK412" s="1"/>
    </row>
    <row r="413" spans="1:37" x14ac:dyDescent="0.3">
      <c r="A413" s="14">
        <v>858</v>
      </c>
      <c r="B413" s="14">
        <v>1</v>
      </c>
      <c r="C413" s="9" t="s">
        <v>1659</v>
      </c>
      <c r="D413" s="9" t="s">
        <v>1208</v>
      </c>
      <c r="E413" s="9" t="s">
        <v>2818</v>
      </c>
      <c r="F413" s="9" t="s">
        <v>2819</v>
      </c>
      <c r="G413" s="9">
        <v>3</v>
      </c>
      <c r="H413" s="9"/>
      <c r="I413" s="9"/>
      <c r="J413" s="9"/>
      <c r="K413" s="9" t="b">
        <v>0</v>
      </c>
      <c r="L413" s="9" t="s">
        <v>7</v>
      </c>
      <c r="M413" s="9" t="b">
        <v>0</v>
      </c>
      <c r="N413" s="9" t="s">
        <v>2820</v>
      </c>
      <c r="O413" s="9" t="s">
        <v>4033</v>
      </c>
      <c r="P413" s="7">
        <v>1389</v>
      </c>
      <c r="Q413" s="7">
        <v>1236</v>
      </c>
      <c r="R413" s="7">
        <v>1013</v>
      </c>
      <c r="S413" s="7">
        <v>245</v>
      </c>
      <c r="T413" s="8">
        <v>4.3</v>
      </c>
      <c r="U413" s="8">
        <v>2.5</v>
      </c>
      <c r="V413" s="17">
        <v>2.5</v>
      </c>
      <c r="AD413" s="1"/>
      <c r="AE413" s="3"/>
      <c r="AF413" s="3"/>
      <c r="AG413" s="3"/>
      <c r="AH413" s="3"/>
      <c r="AI413" s="3"/>
      <c r="AJ413" s="1"/>
      <c r="AK413" s="1"/>
    </row>
    <row r="414" spans="1:37" x14ac:dyDescent="0.3">
      <c r="A414" s="14">
        <v>765</v>
      </c>
      <c r="B414" s="14">
        <v>3</v>
      </c>
      <c r="C414" s="9" t="s">
        <v>1659</v>
      </c>
      <c r="D414" s="9" t="s">
        <v>411</v>
      </c>
      <c r="E414" s="9" t="s">
        <v>2538</v>
      </c>
      <c r="F414" s="9" t="s">
        <v>2539</v>
      </c>
      <c r="G414" s="9">
        <v>4</v>
      </c>
      <c r="H414" s="9"/>
      <c r="I414" s="9"/>
      <c r="J414" s="9"/>
      <c r="K414" s="9" t="b">
        <v>0</v>
      </c>
      <c r="L414" s="9" t="s">
        <v>437</v>
      </c>
      <c r="M414" s="9" t="b">
        <v>1</v>
      </c>
      <c r="N414" s="9" t="s">
        <v>2540</v>
      </c>
      <c r="O414" s="9" t="s">
        <v>3940</v>
      </c>
      <c r="P414" s="7">
        <v>367</v>
      </c>
      <c r="Q414" s="7">
        <v>308</v>
      </c>
      <c r="R414" s="7">
        <v>224</v>
      </c>
      <c r="S414" s="7">
        <v>65</v>
      </c>
      <c r="T414" s="8">
        <v>4.3</v>
      </c>
      <c r="U414" s="8">
        <v>2.5</v>
      </c>
      <c r="V414" s="17">
        <v>2.5</v>
      </c>
      <c r="AD414" s="1"/>
      <c r="AE414" s="3"/>
      <c r="AF414" s="2"/>
      <c r="AG414" s="2"/>
      <c r="AH414" s="3"/>
      <c r="AI414" s="3"/>
      <c r="AJ414" s="1"/>
      <c r="AK414" s="1"/>
    </row>
    <row r="415" spans="1:37" x14ac:dyDescent="0.3">
      <c r="A415" s="14">
        <v>57</v>
      </c>
      <c r="B415" s="14">
        <v>2</v>
      </c>
      <c r="C415" s="9" t="s">
        <v>0</v>
      </c>
      <c r="D415" s="9" t="s">
        <v>180</v>
      </c>
      <c r="E415" s="9" t="s">
        <v>206</v>
      </c>
      <c r="F415" s="9" t="s">
        <v>207</v>
      </c>
      <c r="G415" s="9">
        <v>1</v>
      </c>
      <c r="H415" s="9"/>
      <c r="I415" s="9" t="s">
        <v>208</v>
      </c>
      <c r="J415" s="9"/>
      <c r="K415" s="9" t="b">
        <v>0</v>
      </c>
      <c r="L415" s="9" t="s">
        <v>210</v>
      </c>
      <c r="M415" s="9" t="b">
        <v>1</v>
      </c>
      <c r="N415" s="9" t="s">
        <v>209</v>
      </c>
      <c r="O415" s="9" t="s">
        <v>3233</v>
      </c>
      <c r="P415" s="7">
        <v>1341</v>
      </c>
      <c r="Q415" s="7">
        <v>1267</v>
      </c>
      <c r="R415" s="7">
        <v>951</v>
      </c>
      <c r="S415" s="7">
        <v>237</v>
      </c>
      <c r="T415" s="8">
        <v>3.3</v>
      </c>
      <c r="U415" s="8">
        <v>2.5</v>
      </c>
      <c r="V415" s="17">
        <v>2.5</v>
      </c>
      <c r="AD415" s="1"/>
      <c r="AE415" s="3"/>
      <c r="AF415" s="2"/>
      <c r="AG415" s="3"/>
      <c r="AH415" s="3"/>
      <c r="AI415" s="3"/>
      <c r="AJ415" s="1"/>
      <c r="AK415" s="1"/>
    </row>
    <row r="416" spans="1:37" x14ac:dyDescent="0.3">
      <c r="A416" s="14">
        <v>8</v>
      </c>
      <c r="B416" s="14">
        <v>1</v>
      </c>
      <c r="C416" s="9" t="s">
        <v>0</v>
      </c>
      <c r="D416" s="9" t="s">
        <v>1</v>
      </c>
      <c r="E416" s="9" t="s">
        <v>31</v>
      </c>
      <c r="F416" s="9" t="s">
        <v>32</v>
      </c>
      <c r="G416" s="9">
        <v>1</v>
      </c>
      <c r="H416" s="9"/>
      <c r="I416" s="9"/>
      <c r="J416" s="9"/>
      <c r="K416" s="9" t="b">
        <v>1</v>
      </c>
      <c r="L416" s="9" t="s">
        <v>7</v>
      </c>
      <c r="M416" s="9" t="b">
        <v>0</v>
      </c>
      <c r="N416" s="9" t="s">
        <v>33</v>
      </c>
      <c r="O416" s="9" t="s">
        <v>3184</v>
      </c>
      <c r="P416" s="7">
        <v>1390</v>
      </c>
      <c r="Q416" s="7">
        <v>1060</v>
      </c>
      <c r="R416" s="7">
        <v>897</v>
      </c>
      <c r="S416" s="7">
        <v>246</v>
      </c>
      <c r="T416" s="8">
        <v>5.4</v>
      </c>
      <c r="U416" s="8">
        <v>2.5</v>
      </c>
      <c r="V416" s="17">
        <v>2.5</v>
      </c>
      <c r="AD416" s="1"/>
      <c r="AE416" s="3"/>
      <c r="AF416" s="3"/>
      <c r="AG416" s="3"/>
      <c r="AH416" s="3"/>
      <c r="AI416" s="3"/>
      <c r="AJ416" s="1"/>
      <c r="AK416" s="1"/>
    </row>
    <row r="417" spans="1:37" x14ac:dyDescent="0.3">
      <c r="A417" s="14">
        <v>431</v>
      </c>
      <c r="B417" s="14">
        <v>2</v>
      </c>
      <c r="C417" s="9" t="s">
        <v>0</v>
      </c>
      <c r="D417" s="9" t="s">
        <v>1457</v>
      </c>
      <c r="E417" s="9" t="s">
        <v>1497</v>
      </c>
      <c r="F417" s="9" t="s">
        <v>1498</v>
      </c>
      <c r="G417" s="9">
        <v>1</v>
      </c>
      <c r="H417" s="9" t="s">
        <v>26</v>
      </c>
      <c r="I417" s="9"/>
      <c r="J417" s="9"/>
      <c r="K417" s="9" t="b">
        <v>0</v>
      </c>
      <c r="L417" s="9" t="s">
        <v>1465</v>
      </c>
      <c r="M417" s="9" t="b">
        <v>0</v>
      </c>
      <c r="N417" s="9" t="s">
        <v>1499</v>
      </c>
      <c r="O417" s="9" t="s">
        <v>3606</v>
      </c>
      <c r="P417" s="7">
        <v>1369</v>
      </c>
      <c r="Q417" s="7">
        <v>1153</v>
      </c>
      <c r="R417" s="7">
        <v>951</v>
      </c>
      <c r="S417" s="7">
        <v>236</v>
      </c>
      <c r="T417" s="8">
        <v>4.3</v>
      </c>
      <c r="U417" s="8">
        <v>2.5</v>
      </c>
      <c r="V417" s="17">
        <v>2.5</v>
      </c>
      <c r="AD417" s="1"/>
      <c r="AE417" s="3"/>
      <c r="AF417" s="2"/>
      <c r="AG417" s="3"/>
      <c r="AH417" s="3"/>
      <c r="AI417" s="3"/>
      <c r="AJ417" s="1"/>
      <c r="AK417" s="1"/>
    </row>
    <row r="418" spans="1:37" x14ac:dyDescent="0.3">
      <c r="A418" s="14">
        <v>355</v>
      </c>
      <c r="B418" s="14">
        <v>1</v>
      </c>
      <c r="C418" s="9" t="s">
        <v>0</v>
      </c>
      <c r="D418" s="9" t="s">
        <v>1208</v>
      </c>
      <c r="E418" s="9" t="s">
        <v>1254</v>
      </c>
      <c r="F418" s="9" t="s">
        <v>1255</v>
      </c>
      <c r="G418" s="9">
        <v>1</v>
      </c>
      <c r="H418" s="9" t="s">
        <v>10</v>
      </c>
      <c r="I418" s="9" t="s">
        <v>171</v>
      </c>
      <c r="J418" s="9"/>
      <c r="K418" s="9" t="b">
        <v>0</v>
      </c>
      <c r="L418" s="9" t="s">
        <v>7</v>
      </c>
      <c r="M418" s="9" t="b">
        <v>0</v>
      </c>
      <c r="N418" s="9" t="s">
        <v>1256</v>
      </c>
      <c r="O418" s="9" t="s">
        <v>3531</v>
      </c>
      <c r="P418" s="7">
        <v>1517</v>
      </c>
      <c r="Q418" s="7">
        <v>1353</v>
      </c>
      <c r="R418" s="7">
        <v>1124</v>
      </c>
      <c r="S418" s="7">
        <v>262</v>
      </c>
      <c r="T418" s="8">
        <v>3.4</v>
      </c>
      <c r="U418" s="8">
        <v>2.5</v>
      </c>
      <c r="V418" s="17">
        <v>2.5</v>
      </c>
      <c r="AD418" s="1"/>
      <c r="AE418" s="3"/>
      <c r="AF418" s="2"/>
      <c r="AG418" s="3"/>
      <c r="AH418" s="3"/>
      <c r="AI418" s="3"/>
      <c r="AJ418" s="1"/>
      <c r="AK418" s="1"/>
    </row>
    <row r="419" spans="1:37" x14ac:dyDescent="0.3">
      <c r="A419" s="14">
        <v>161</v>
      </c>
      <c r="B419" s="14">
        <v>3</v>
      </c>
      <c r="C419" s="9" t="s">
        <v>0</v>
      </c>
      <c r="D419" s="9" t="s">
        <v>411</v>
      </c>
      <c r="E419" s="9" t="s">
        <v>609</v>
      </c>
      <c r="F419" s="9" t="s">
        <v>610</v>
      </c>
      <c r="G419" s="9">
        <v>1</v>
      </c>
      <c r="H419" s="9" t="s">
        <v>10</v>
      </c>
      <c r="I419" s="9"/>
      <c r="J419" s="9"/>
      <c r="K419" s="9" t="b">
        <v>0</v>
      </c>
      <c r="L419" s="9" t="s">
        <v>497</v>
      </c>
      <c r="M419" s="9" t="b">
        <v>0</v>
      </c>
      <c r="N419" s="9" t="s">
        <v>611</v>
      </c>
      <c r="O419" s="9" t="s">
        <v>3337</v>
      </c>
      <c r="P419" s="7">
        <v>1189</v>
      </c>
      <c r="Q419" s="7">
        <v>1029</v>
      </c>
      <c r="R419" s="7">
        <v>856</v>
      </c>
      <c r="S419" s="7">
        <v>209</v>
      </c>
      <c r="T419" s="8">
        <v>4.5999999999999996</v>
      </c>
      <c r="U419" s="8">
        <v>2.5</v>
      </c>
      <c r="V419" s="17">
        <v>2.5</v>
      </c>
      <c r="AD419" s="1"/>
      <c r="AE419" s="3"/>
      <c r="AF419" s="2"/>
      <c r="AG419" s="3"/>
      <c r="AH419" s="3"/>
      <c r="AI419" s="3"/>
      <c r="AJ419" s="1"/>
      <c r="AK419" s="1"/>
    </row>
    <row r="420" spans="1:37" x14ac:dyDescent="0.3">
      <c r="A420" s="14">
        <v>163</v>
      </c>
      <c r="B420" s="14">
        <v>3</v>
      </c>
      <c r="C420" s="9" t="s">
        <v>0</v>
      </c>
      <c r="D420" s="9" t="s">
        <v>411</v>
      </c>
      <c r="E420" s="9" t="s">
        <v>616</v>
      </c>
      <c r="F420" s="9" t="s">
        <v>617</v>
      </c>
      <c r="G420" s="9">
        <v>1</v>
      </c>
      <c r="H420" s="9" t="s">
        <v>26</v>
      </c>
      <c r="I420" s="9"/>
      <c r="J420" s="9"/>
      <c r="K420" s="9" t="b">
        <v>0</v>
      </c>
      <c r="L420" s="9" t="s">
        <v>223</v>
      </c>
      <c r="M420" s="9" t="b">
        <v>1</v>
      </c>
      <c r="N420" s="9" t="s">
        <v>618</v>
      </c>
      <c r="O420" s="9" t="s">
        <v>3339</v>
      </c>
      <c r="P420" s="7">
        <v>820</v>
      </c>
      <c r="Q420" s="7">
        <v>683</v>
      </c>
      <c r="R420" s="7">
        <v>530</v>
      </c>
      <c r="S420" s="7">
        <v>144</v>
      </c>
      <c r="T420" s="8">
        <v>4.2</v>
      </c>
      <c r="U420" s="8">
        <v>2.5</v>
      </c>
      <c r="V420" s="17">
        <v>2.5</v>
      </c>
      <c r="AD420" s="1"/>
      <c r="AE420" s="3"/>
      <c r="AF420" s="2"/>
      <c r="AG420" s="2"/>
      <c r="AH420" s="3"/>
      <c r="AI420" s="3"/>
      <c r="AJ420" s="1"/>
      <c r="AK420" s="1"/>
    </row>
    <row r="421" spans="1:37" x14ac:dyDescent="0.3">
      <c r="A421" s="14">
        <v>171</v>
      </c>
      <c r="B421" s="14">
        <v>3</v>
      </c>
      <c r="C421" s="9" t="s">
        <v>0</v>
      </c>
      <c r="D421" s="9" t="s">
        <v>411</v>
      </c>
      <c r="E421" s="9" t="s">
        <v>644</v>
      </c>
      <c r="F421" s="9" t="s">
        <v>645</v>
      </c>
      <c r="G421" s="9">
        <v>1</v>
      </c>
      <c r="H421" s="9" t="s">
        <v>646</v>
      </c>
      <c r="I421" s="9"/>
      <c r="J421" s="9">
        <v>1</v>
      </c>
      <c r="K421" s="9" t="b">
        <v>0</v>
      </c>
      <c r="L421" s="9" t="s">
        <v>437</v>
      </c>
      <c r="M421" s="9" t="b">
        <v>0</v>
      </c>
      <c r="N421" s="9" t="s">
        <v>647</v>
      </c>
      <c r="O421" s="9" t="s">
        <v>3347</v>
      </c>
      <c r="P421" s="7">
        <v>8</v>
      </c>
      <c r="Q421" s="7">
        <v>8</v>
      </c>
      <c r="R421" s="7">
        <v>7</v>
      </c>
      <c r="S421" s="7">
        <v>1</v>
      </c>
      <c r="T421" s="8">
        <v>2.6</v>
      </c>
      <c r="U421" s="18">
        <v>1.8</v>
      </c>
      <c r="V421" s="19">
        <v>2.5</v>
      </c>
      <c r="W421" s="20" t="s">
        <v>4176</v>
      </c>
      <c r="AD421" s="1"/>
      <c r="AE421" s="3"/>
      <c r="AF421" s="2"/>
      <c r="AG421" s="3"/>
      <c r="AH421" s="3"/>
      <c r="AI421" s="3"/>
      <c r="AJ421" s="1"/>
      <c r="AK421" s="1"/>
    </row>
    <row r="422" spans="1:37" x14ac:dyDescent="0.3">
      <c r="A422" s="14">
        <v>174</v>
      </c>
      <c r="B422" s="14">
        <v>3</v>
      </c>
      <c r="C422" s="9" t="s">
        <v>0</v>
      </c>
      <c r="D422" s="9" t="s">
        <v>411</v>
      </c>
      <c r="E422" s="9" t="s">
        <v>654</v>
      </c>
      <c r="F422" s="9" t="s">
        <v>655</v>
      </c>
      <c r="G422" s="9">
        <v>1</v>
      </c>
      <c r="H422" s="9" t="s">
        <v>26</v>
      </c>
      <c r="I422" s="9"/>
      <c r="J422" s="9"/>
      <c r="K422" s="9" t="b">
        <v>0</v>
      </c>
      <c r="L422" s="9" t="s">
        <v>437</v>
      </c>
      <c r="M422" s="9" t="b">
        <v>0</v>
      </c>
      <c r="N422" s="9" t="s">
        <v>656</v>
      </c>
      <c r="O422" s="9" t="s">
        <v>3350</v>
      </c>
      <c r="P422" s="7">
        <v>1064</v>
      </c>
      <c r="Q422" s="7">
        <v>913</v>
      </c>
      <c r="R422" s="7">
        <v>732</v>
      </c>
      <c r="S422" s="7">
        <v>184</v>
      </c>
      <c r="T422" s="8">
        <v>4.5</v>
      </c>
      <c r="U422" s="8">
        <v>2.5</v>
      </c>
      <c r="V422" s="17">
        <v>2.5</v>
      </c>
      <c r="AD422" s="1"/>
      <c r="AE422" s="3"/>
      <c r="AF422" s="2"/>
      <c r="AG422" s="2"/>
      <c r="AH422" s="2"/>
      <c r="AI422" s="3"/>
      <c r="AJ422" s="1"/>
      <c r="AK422" s="1"/>
    </row>
    <row r="423" spans="1:37" x14ac:dyDescent="0.3">
      <c r="A423" s="14">
        <v>190</v>
      </c>
      <c r="B423" s="14">
        <v>3</v>
      </c>
      <c r="C423" s="9" t="s">
        <v>0</v>
      </c>
      <c r="D423" s="9" t="s">
        <v>411</v>
      </c>
      <c r="E423" s="9" t="s">
        <v>707</v>
      </c>
      <c r="F423" s="9" t="s">
        <v>708</v>
      </c>
      <c r="G423" s="9">
        <v>1</v>
      </c>
      <c r="H423" s="9" t="s">
        <v>513</v>
      </c>
      <c r="I423" s="9" t="s">
        <v>118</v>
      </c>
      <c r="J423" s="9"/>
      <c r="K423" s="9" t="b">
        <v>0</v>
      </c>
      <c r="L423" s="9" t="s">
        <v>437</v>
      </c>
      <c r="M423" s="9" t="b">
        <v>0</v>
      </c>
      <c r="N423" s="9" t="s">
        <v>709</v>
      </c>
      <c r="O423" s="9" t="s">
        <v>3366</v>
      </c>
      <c r="P423" s="7">
        <v>989</v>
      </c>
      <c r="Q423" s="7">
        <v>863</v>
      </c>
      <c r="R423" s="7">
        <v>582</v>
      </c>
      <c r="S423" s="7">
        <v>174</v>
      </c>
      <c r="T423" s="8">
        <v>3.6</v>
      </c>
      <c r="U423" s="8">
        <v>2.5</v>
      </c>
      <c r="V423" s="17">
        <v>2.5</v>
      </c>
      <c r="AD423" s="1"/>
      <c r="AE423" s="3"/>
      <c r="AF423" s="2"/>
      <c r="AG423" s="2"/>
      <c r="AH423" s="3"/>
      <c r="AI423" s="3"/>
      <c r="AJ423" s="1"/>
      <c r="AK423" s="1"/>
    </row>
    <row r="424" spans="1:37" x14ac:dyDescent="0.3">
      <c r="A424" s="14">
        <v>360</v>
      </c>
      <c r="B424" s="14">
        <v>1</v>
      </c>
      <c r="C424" s="9" t="s">
        <v>0</v>
      </c>
      <c r="D424" s="9" t="s">
        <v>1208</v>
      </c>
      <c r="E424" s="9" t="s">
        <v>1268</v>
      </c>
      <c r="F424" s="9" t="s">
        <v>1269</v>
      </c>
      <c r="G424" s="9">
        <v>1</v>
      </c>
      <c r="H424" s="9" t="s">
        <v>635</v>
      </c>
      <c r="I424" s="9"/>
      <c r="J424" s="9">
        <v>1</v>
      </c>
      <c r="K424" s="9" t="b">
        <v>0</v>
      </c>
      <c r="L424" s="9" t="s">
        <v>7</v>
      </c>
      <c r="M424" s="9" t="b">
        <v>0</v>
      </c>
      <c r="N424" s="9" t="s">
        <v>1270</v>
      </c>
      <c r="O424" s="9" t="s">
        <v>3536</v>
      </c>
      <c r="P424" s="7">
        <v>1371</v>
      </c>
      <c r="Q424" s="7">
        <v>1266</v>
      </c>
      <c r="R424" s="7">
        <v>838</v>
      </c>
      <c r="S424" s="7">
        <v>237</v>
      </c>
      <c r="T424" s="8">
        <v>4.0999999999999996</v>
      </c>
      <c r="U424" s="8">
        <v>2.5</v>
      </c>
      <c r="V424" s="17">
        <v>2.5</v>
      </c>
      <c r="AD424" s="1"/>
      <c r="AE424" s="3"/>
      <c r="AF424" s="2"/>
      <c r="AG424" s="2"/>
      <c r="AH424" s="2"/>
      <c r="AI424" s="3"/>
      <c r="AJ424" s="1"/>
      <c r="AK424" s="1"/>
    </row>
    <row r="425" spans="1:37" x14ac:dyDescent="0.3">
      <c r="A425" s="14">
        <v>361</v>
      </c>
      <c r="B425" s="14">
        <v>1</v>
      </c>
      <c r="C425" s="9" t="s">
        <v>0</v>
      </c>
      <c r="D425" s="9" t="s">
        <v>1208</v>
      </c>
      <c r="E425" s="9" t="s">
        <v>1271</v>
      </c>
      <c r="F425" s="9" t="s">
        <v>1272</v>
      </c>
      <c r="G425" s="9">
        <v>1</v>
      </c>
      <c r="H425" s="9"/>
      <c r="I425" s="9"/>
      <c r="J425" s="9"/>
      <c r="K425" s="9" t="b">
        <v>0</v>
      </c>
      <c r="L425" s="9" t="s">
        <v>7</v>
      </c>
      <c r="M425" s="9" t="b">
        <v>1</v>
      </c>
      <c r="N425" s="9" t="s">
        <v>1273</v>
      </c>
      <c r="O425" s="9" t="s">
        <v>3537</v>
      </c>
      <c r="P425" s="7">
        <v>1421</v>
      </c>
      <c r="Q425" s="7">
        <v>967</v>
      </c>
      <c r="R425" s="7">
        <v>835</v>
      </c>
      <c r="S425" s="7">
        <v>253</v>
      </c>
      <c r="T425" s="8">
        <v>5</v>
      </c>
      <c r="U425" s="8">
        <v>2.5</v>
      </c>
      <c r="V425" s="17">
        <v>2.5</v>
      </c>
      <c r="AD425" s="1"/>
      <c r="AE425" s="3"/>
      <c r="AF425" s="3"/>
      <c r="AG425" s="3"/>
      <c r="AH425" s="3"/>
      <c r="AI425" s="3"/>
      <c r="AJ425" s="1"/>
      <c r="AK425" s="1"/>
    </row>
    <row r="426" spans="1:37" x14ac:dyDescent="0.3">
      <c r="A426" s="14">
        <v>407</v>
      </c>
      <c r="B426" s="14">
        <v>4</v>
      </c>
      <c r="C426" s="9" t="s">
        <v>0</v>
      </c>
      <c r="D426" s="9" t="s">
        <v>1394</v>
      </c>
      <c r="E426" s="9" t="s">
        <v>1418</v>
      </c>
      <c r="F426" s="9" t="s">
        <v>1419</v>
      </c>
      <c r="G426" s="9">
        <v>1</v>
      </c>
      <c r="H426" s="9"/>
      <c r="I426" s="9" t="s">
        <v>5</v>
      </c>
      <c r="J426" s="9">
        <v>1</v>
      </c>
      <c r="K426" s="9" t="b">
        <v>0</v>
      </c>
      <c r="L426" s="9"/>
      <c r="M426" s="9" t="b">
        <v>0</v>
      </c>
      <c r="N426" s="9" t="s">
        <v>1420</v>
      </c>
      <c r="O426" s="9" t="s">
        <v>3583</v>
      </c>
      <c r="P426" s="7">
        <v>176</v>
      </c>
      <c r="Q426" s="7">
        <v>160</v>
      </c>
      <c r="R426" s="7">
        <v>126</v>
      </c>
      <c r="S426" s="7">
        <v>31</v>
      </c>
      <c r="T426" s="8">
        <v>3.4</v>
      </c>
      <c r="U426" s="8">
        <v>2.5</v>
      </c>
      <c r="V426" s="17">
        <v>2.5</v>
      </c>
      <c r="AD426" s="1"/>
      <c r="AE426" s="3"/>
      <c r="AF426" s="3"/>
      <c r="AG426" s="3"/>
      <c r="AH426" s="3"/>
      <c r="AI426" s="3"/>
      <c r="AJ426" s="1"/>
      <c r="AK426" s="1"/>
    </row>
    <row r="427" spans="1:37" x14ac:dyDescent="0.3">
      <c r="A427" s="14">
        <v>395</v>
      </c>
      <c r="B427" s="14">
        <v>4</v>
      </c>
      <c r="C427" s="9" t="s">
        <v>0</v>
      </c>
      <c r="D427" s="9" t="s">
        <v>1338</v>
      </c>
      <c r="E427" s="9" t="s">
        <v>1379</v>
      </c>
      <c r="F427" s="9" t="s">
        <v>1380</v>
      </c>
      <c r="G427" s="9">
        <v>1</v>
      </c>
      <c r="H427" s="9"/>
      <c r="I427" s="9" t="s">
        <v>5</v>
      </c>
      <c r="J427" s="9"/>
      <c r="K427" s="9" t="b">
        <v>0</v>
      </c>
      <c r="L427" s="9" t="s">
        <v>437</v>
      </c>
      <c r="M427" s="9" t="b">
        <v>0</v>
      </c>
      <c r="N427" s="9" t="s">
        <v>1381</v>
      </c>
      <c r="O427" s="9" t="s">
        <v>3571</v>
      </c>
      <c r="P427" s="7">
        <v>92</v>
      </c>
      <c r="Q427" s="7">
        <v>60</v>
      </c>
      <c r="R427" s="7">
        <v>46</v>
      </c>
      <c r="S427" s="7">
        <v>11</v>
      </c>
      <c r="T427" s="8">
        <v>4.3</v>
      </c>
      <c r="U427" s="18">
        <v>1.7</v>
      </c>
      <c r="V427" s="19">
        <v>2.5</v>
      </c>
      <c r="W427" s="23" t="s">
        <v>4183</v>
      </c>
      <c r="AD427" s="1"/>
      <c r="AE427" s="3"/>
      <c r="AF427" s="2"/>
      <c r="AG427" s="2"/>
      <c r="AH427" s="3"/>
      <c r="AI427" s="3"/>
      <c r="AJ427" s="1"/>
      <c r="AK427" s="1"/>
    </row>
    <row r="428" spans="1:37" x14ac:dyDescent="0.3">
      <c r="A428" s="14">
        <v>217</v>
      </c>
      <c r="B428" s="14">
        <v>3</v>
      </c>
      <c r="C428" s="9" t="s">
        <v>0</v>
      </c>
      <c r="D428" s="9" t="s">
        <v>411</v>
      </c>
      <c r="E428" s="9" t="s">
        <v>801</v>
      </c>
      <c r="F428" s="9" t="s">
        <v>802</v>
      </c>
      <c r="G428" s="9">
        <v>1</v>
      </c>
      <c r="H428" s="9"/>
      <c r="I428" s="9" t="s">
        <v>22</v>
      </c>
      <c r="J428" s="9"/>
      <c r="K428" s="9" t="b">
        <v>0</v>
      </c>
      <c r="L428" s="9" t="s">
        <v>407</v>
      </c>
      <c r="M428" s="9" t="b">
        <v>0</v>
      </c>
      <c r="N428" s="9" t="s">
        <v>803</v>
      </c>
      <c r="O428" s="9" t="s">
        <v>3393</v>
      </c>
      <c r="P428" s="7">
        <v>1185</v>
      </c>
      <c r="Q428" s="7">
        <v>1119</v>
      </c>
      <c r="R428" s="7">
        <v>830</v>
      </c>
      <c r="S428" s="7">
        <v>209</v>
      </c>
      <c r="T428" s="8">
        <v>3.6</v>
      </c>
      <c r="U428" s="8">
        <v>2.5</v>
      </c>
      <c r="V428" s="17">
        <v>2.5</v>
      </c>
      <c r="AD428" s="1"/>
      <c r="AE428" s="3"/>
      <c r="AF428" s="2"/>
      <c r="AG428" s="2"/>
      <c r="AH428" s="2"/>
      <c r="AI428" s="3"/>
      <c r="AJ428" s="1"/>
      <c r="AK428" s="1"/>
    </row>
    <row r="429" spans="1:37" x14ac:dyDescent="0.3">
      <c r="A429" s="14">
        <v>221</v>
      </c>
      <c r="B429" s="14">
        <v>3</v>
      </c>
      <c r="C429" s="9" t="s">
        <v>0</v>
      </c>
      <c r="D429" s="9" t="s">
        <v>411</v>
      </c>
      <c r="E429" s="9" t="s">
        <v>813</v>
      </c>
      <c r="F429" s="9" t="s">
        <v>814</v>
      </c>
      <c r="G429" s="9">
        <v>1</v>
      </c>
      <c r="H429" s="9" t="s">
        <v>4</v>
      </c>
      <c r="I429" s="9" t="s">
        <v>815</v>
      </c>
      <c r="J429" s="9">
        <v>3</v>
      </c>
      <c r="K429" s="9" t="b">
        <v>0</v>
      </c>
      <c r="L429" s="9" t="s">
        <v>416</v>
      </c>
      <c r="M429" s="9" t="b">
        <v>0</v>
      </c>
      <c r="N429" s="9" t="s">
        <v>816</v>
      </c>
      <c r="O429" s="9" t="s">
        <v>3397</v>
      </c>
      <c r="P429" s="7">
        <v>923</v>
      </c>
      <c r="Q429" s="7">
        <v>863</v>
      </c>
      <c r="R429" s="7">
        <v>548</v>
      </c>
      <c r="S429" s="7">
        <v>164</v>
      </c>
      <c r="T429" s="8">
        <v>3.6</v>
      </c>
      <c r="U429" s="8">
        <v>2.5</v>
      </c>
      <c r="V429" s="17">
        <v>2.5</v>
      </c>
      <c r="AD429" s="1"/>
      <c r="AE429" s="3"/>
      <c r="AF429" s="3"/>
      <c r="AG429" s="3"/>
      <c r="AH429" s="3"/>
      <c r="AI429" s="3"/>
      <c r="AJ429" s="1"/>
      <c r="AK429" s="1"/>
    </row>
    <row r="430" spans="1:37" x14ac:dyDescent="0.3">
      <c r="A430" s="14">
        <v>250</v>
      </c>
      <c r="B430" s="14">
        <v>3</v>
      </c>
      <c r="C430" s="9" t="s">
        <v>0</v>
      </c>
      <c r="D430" s="9" t="s">
        <v>411</v>
      </c>
      <c r="E430" s="9" t="s">
        <v>909</v>
      </c>
      <c r="F430" s="9" t="s">
        <v>910</v>
      </c>
      <c r="G430" s="9">
        <v>1</v>
      </c>
      <c r="H430" s="9" t="s">
        <v>911</v>
      </c>
      <c r="I430" s="9" t="s">
        <v>912</v>
      </c>
      <c r="J430" s="9">
        <v>2</v>
      </c>
      <c r="K430" s="9" t="b">
        <v>0</v>
      </c>
      <c r="L430" s="9" t="s">
        <v>416</v>
      </c>
      <c r="M430" s="9" t="b">
        <v>0</v>
      </c>
      <c r="N430" s="9" t="s">
        <v>913</v>
      </c>
      <c r="O430" s="9" t="s">
        <v>3426</v>
      </c>
      <c r="P430" s="7">
        <v>979</v>
      </c>
      <c r="Q430" s="7">
        <v>907</v>
      </c>
      <c r="R430" s="7">
        <v>569</v>
      </c>
      <c r="S430" s="7">
        <v>171</v>
      </c>
      <c r="T430" s="8">
        <v>3.8</v>
      </c>
      <c r="U430" s="8">
        <v>2.5</v>
      </c>
      <c r="V430" s="17">
        <v>2.5</v>
      </c>
      <c r="AD430" s="1"/>
      <c r="AE430" s="3"/>
      <c r="AF430" s="2"/>
      <c r="AG430" s="3"/>
      <c r="AH430" s="3"/>
      <c r="AI430" s="3"/>
      <c r="AJ430" s="1"/>
      <c r="AK430" s="1"/>
    </row>
    <row r="431" spans="1:37" x14ac:dyDescent="0.3">
      <c r="A431" s="14">
        <v>253</v>
      </c>
      <c r="B431" s="14">
        <v>3</v>
      </c>
      <c r="C431" s="9" t="s">
        <v>0</v>
      </c>
      <c r="D431" s="9" t="s">
        <v>411</v>
      </c>
      <c r="E431" s="9" t="s">
        <v>920</v>
      </c>
      <c r="F431" s="9" t="s">
        <v>921</v>
      </c>
      <c r="G431" s="9">
        <v>1</v>
      </c>
      <c r="H431" s="9"/>
      <c r="I431" s="9" t="s">
        <v>5</v>
      </c>
      <c r="J431" s="9">
        <v>1</v>
      </c>
      <c r="K431" s="9" t="b">
        <v>0</v>
      </c>
      <c r="L431" s="9" t="s">
        <v>420</v>
      </c>
      <c r="M431" s="9" t="b">
        <v>0</v>
      </c>
      <c r="N431" s="9" t="s">
        <v>530</v>
      </c>
      <c r="O431" s="9" t="s">
        <v>3429</v>
      </c>
      <c r="P431" s="7">
        <v>1246</v>
      </c>
      <c r="Q431" s="7">
        <v>1047</v>
      </c>
      <c r="R431" s="7">
        <v>780</v>
      </c>
      <c r="S431" s="7">
        <v>215</v>
      </c>
      <c r="T431" s="8">
        <v>4</v>
      </c>
      <c r="U431" s="8">
        <v>2.5</v>
      </c>
      <c r="V431" s="17">
        <v>2.5</v>
      </c>
      <c r="AD431" s="1"/>
      <c r="AE431" s="3"/>
      <c r="AF431" s="2"/>
      <c r="AG431" s="2"/>
      <c r="AH431" s="2"/>
      <c r="AI431" s="3"/>
      <c r="AJ431" s="1"/>
      <c r="AK431" s="1"/>
    </row>
    <row r="432" spans="1:37" x14ac:dyDescent="0.3">
      <c r="A432" s="14">
        <v>265</v>
      </c>
      <c r="B432" s="14">
        <v>3</v>
      </c>
      <c r="C432" s="9" t="s">
        <v>0</v>
      </c>
      <c r="D432" s="9" t="s">
        <v>411</v>
      </c>
      <c r="E432" s="9" t="s">
        <v>960</v>
      </c>
      <c r="F432" s="9" t="s">
        <v>961</v>
      </c>
      <c r="G432" s="9">
        <v>1</v>
      </c>
      <c r="H432" s="9"/>
      <c r="I432" s="9" t="s">
        <v>22</v>
      </c>
      <c r="J432" s="9"/>
      <c r="K432" s="9" t="b">
        <v>0</v>
      </c>
      <c r="L432" s="9" t="s">
        <v>238</v>
      </c>
      <c r="M432" s="9" t="b">
        <v>0</v>
      </c>
      <c r="N432" s="9" t="s">
        <v>962</v>
      </c>
      <c r="O432" s="9" t="s">
        <v>3441</v>
      </c>
      <c r="P432" s="7">
        <v>1203</v>
      </c>
      <c r="Q432" s="7">
        <v>1073</v>
      </c>
      <c r="R432" s="7">
        <v>825</v>
      </c>
      <c r="S432" s="7">
        <v>212</v>
      </c>
      <c r="T432" s="8">
        <v>4</v>
      </c>
      <c r="U432" s="8">
        <v>2.5</v>
      </c>
      <c r="V432" s="17">
        <v>2.5</v>
      </c>
      <c r="AD432" s="1"/>
      <c r="AE432" s="3"/>
      <c r="AF432" s="2"/>
      <c r="AG432" s="2"/>
      <c r="AH432" s="3"/>
      <c r="AI432" s="3"/>
      <c r="AJ432" s="1"/>
      <c r="AK432" s="1"/>
    </row>
    <row r="433" spans="1:37" x14ac:dyDescent="0.3">
      <c r="A433" s="14">
        <v>416</v>
      </c>
      <c r="B433" s="14">
        <v>4</v>
      </c>
      <c r="C433" s="9" t="s">
        <v>0</v>
      </c>
      <c r="D433" s="9" t="s">
        <v>1394</v>
      </c>
      <c r="E433" s="9" t="s">
        <v>1445</v>
      </c>
      <c r="F433" s="9" t="s">
        <v>1446</v>
      </c>
      <c r="G433" s="9">
        <v>1</v>
      </c>
      <c r="H433" s="9" t="s">
        <v>10</v>
      </c>
      <c r="I433" s="9" t="s">
        <v>114</v>
      </c>
      <c r="J433" s="9"/>
      <c r="K433" s="9" t="b">
        <v>0</v>
      </c>
      <c r="L433" s="9"/>
      <c r="M433" s="9" t="b">
        <v>0</v>
      </c>
      <c r="N433" s="9" t="s">
        <v>1447</v>
      </c>
      <c r="O433" s="9" t="s">
        <v>3591</v>
      </c>
      <c r="P433" s="7">
        <v>907</v>
      </c>
      <c r="Q433" s="7">
        <v>738</v>
      </c>
      <c r="R433" s="7">
        <v>601</v>
      </c>
      <c r="S433" s="7">
        <v>160</v>
      </c>
      <c r="T433" s="8">
        <v>4.4000000000000004</v>
      </c>
      <c r="U433" s="8">
        <v>2.5</v>
      </c>
      <c r="V433" s="17">
        <v>2.5</v>
      </c>
      <c r="AD433" s="1"/>
      <c r="AE433" s="3"/>
      <c r="AF433" s="2"/>
      <c r="AG433" s="2"/>
      <c r="AH433" s="3"/>
      <c r="AI433" s="3"/>
      <c r="AJ433" s="1"/>
      <c r="AK433" s="1"/>
    </row>
    <row r="434" spans="1:37" x14ac:dyDescent="0.3">
      <c r="A434" s="14">
        <v>274</v>
      </c>
      <c r="B434" s="14">
        <v>3</v>
      </c>
      <c r="C434" s="9" t="s">
        <v>0</v>
      </c>
      <c r="D434" s="9" t="s">
        <v>411</v>
      </c>
      <c r="E434" s="9" t="s">
        <v>987</v>
      </c>
      <c r="F434" s="10" t="s">
        <v>988</v>
      </c>
      <c r="G434" s="9">
        <v>1</v>
      </c>
      <c r="H434" s="9" t="s">
        <v>26</v>
      </c>
      <c r="I434" s="9" t="s">
        <v>123</v>
      </c>
      <c r="J434" s="9">
        <v>1</v>
      </c>
      <c r="K434" s="9" t="b">
        <v>0</v>
      </c>
      <c r="L434" s="9" t="s">
        <v>194</v>
      </c>
      <c r="M434" s="9" t="b">
        <v>0</v>
      </c>
      <c r="N434" s="9" t="s">
        <v>989</v>
      </c>
      <c r="O434" s="9" t="s">
        <v>3450</v>
      </c>
      <c r="P434" s="7">
        <v>1195</v>
      </c>
      <c r="Q434" s="7">
        <v>1042</v>
      </c>
      <c r="R434" s="7">
        <v>766</v>
      </c>
      <c r="S434" s="7">
        <v>210</v>
      </c>
      <c r="T434" s="8">
        <v>4.0999999999999996</v>
      </c>
      <c r="U434" s="8">
        <v>2.5</v>
      </c>
      <c r="V434" s="17">
        <v>2.5</v>
      </c>
      <c r="AD434" s="1"/>
      <c r="AE434" s="3"/>
      <c r="AF434" s="3"/>
      <c r="AG434" s="3"/>
      <c r="AH434" s="3"/>
      <c r="AI434" s="3"/>
      <c r="AJ434" s="1"/>
      <c r="AK434" s="1"/>
    </row>
    <row r="435" spans="1:37" x14ac:dyDescent="0.3">
      <c r="A435" s="14">
        <v>46</v>
      </c>
      <c r="B435" s="14">
        <v>1</v>
      </c>
      <c r="C435" s="9" t="s">
        <v>0</v>
      </c>
      <c r="D435" s="9" t="s">
        <v>1</v>
      </c>
      <c r="E435" s="9" t="s">
        <v>162</v>
      </c>
      <c r="F435" s="9" t="s">
        <v>163</v>
      </c>
      <c r="G435" s="9">
        <v>1</v>
      </c>
      <c r="H435" s="9"/>
      <c r="I435" s="9" t="s">
        <v>164</v>
      </c>
      <c r="J435" s="9"/>
      <c r="K435" s="9" t="b">
        <v>1</v>
      </c>
      <c r="L435" s="9" t="s">
        <v>7</v>
      </c>
      <c r="M435" s="9" t="b">
        <v>0</v>
      </c>
      <c r="N435" s="9" t="s">
        <v>165</v>
      </c>
      <c r="O435" s="9" t="s">
        <v>3222</v>
      </c>
      <c r="P435" s="7">
        <v>1396</v>
      </c>
      <c r="Q435" s="7">
        <v>1251</v>
      </c>
      <c r="R435" s="7">
        <v>785</v>
      </c>
      <c r="S435" s="7">
        <v>246</v>
      </c>
      <c r="T435" s="8">
        <v>3.6</v>
      </c>
      <c r="U435" s="8">
        <v>2.5</v>
      </c>
      <c r="V435" s="17">
        <v>2.5</v>
      </c>
      <c r="AD435" s="1"/>
      <c r="AE435" s="3"/>
      <c r="AF435" s="2"/>
      <c r="AG435" s="2"/>
      <c r="AH435" s="3"/>
      <c r="AI435" s="3"/>
      <c r="AJ435" s="1"/>
      <c r="AK435" s="1"/>
    </row>
    <row r="436" spans="1:37" x14ac:dyDescent="0.3">
      <c r="A436" s="14">
        <v>277</v>
      </c>
      <c r="B436" s="14">
        <v>3</v>
      </c>
      <c r="C436" s="9" t="s">
        <v>0</v>
      </c>
      <c r="D436" s="9" t="s">
        <v>411</v>
      </c>
      <c r="E436" s="9" t="s">
        <v>996</v>
      </c>
      <c r="F436" s="9" t="s">
        <v>997</v>
      </c>
      <c r="G436" s="9">
        <v>1</v>
      </c>
      <c r="H436" s="9" t="s">
        <v>26</v>
      </c>
      <c r="I436" s="9" t="s">
        <v>114</v>
      </c>
      <c r="J436" s="9">
        <v>1</v>
      </c>
      <c r="K436" s="9" t="b">
        <v>0</v>
      </c>
      <c r="L436" s="9" t="s">
        <v>194</v>
      </c>
      <c r="M436" s="9" t="b">
        <v>0</v>
      </c>
      <c r="N436" s="9" t="s">
        <v>998</v>
      </c>
      <c r="O436" s="9" t="s">
        <v>3453</v>
      </c>
      <c r="P436" s="7">
        <v>1239</v>
      </c>
      <c r="Q436" s="7">
        <v>1180</v>
      </c>
      <c r="R436" s="7">
        <v>917</v>
      </c>
      <c r="S436" s="7">
        <v>217</v>
      </c>
      <c r="T436" s="8">
        <v>3.6</v>
      </c>
      <c r="U436" s="8">
        <v>2.5</v>
      </c>
      <c r="V436" s="17">
        <v>2.5</v>
      </c>
      <c r="AD436" s="1"/>
      <c r="AE436" s="3"/>
      <c r="AF436" s="3"/>
      <c r="AG436" s="3"/>
      <c r="AH436" s="3"/>
      <c r="AI436" s="3"/>
      <c r="AJ436" s="1"/>
      <c r="AK436" s="1"/>
    </row>
    <row r="437" spans="1:37" x14ac:dyDescent="0.3">
      <c r="A437" s="14">
        <v>332</v>
      </c>
      <c r="B437" s="14">
        <v>1</v>
      </c>
      <c r="C437" s="9" t="s">
        <v>0</v>
      </c>
      <c r="D437" s="9" t="s">
        <v>1077</v>
      </c>
      <c r="E437" s="9" t="s">
        <v>1177</v>
      </c>
      <c r="F437" s="9" t="s">
        <v>1178</v>
      </c>
      <c r="G437" s="9">
        <v>1</v>
      </c>
      <c r="H437" s="9" t="s">
        <v>1179</v>
      </c>
      <c r="I437" s="9"/>
      <c r="J437" s="9">
        <v>1</v>
      </c>
      <c r="K437" s="9" t="b">
        <v>0</v>
      </c>
      <c r="L437" s="9" t="s">
        <v>7</v>
      </c>
      <c r="M437" s="9" t="b">
        <v>0</v>
      </c>
      <c r="N437" s="9" t="s">
        <v>1180</v>
      </c>
      <c r="O437" s="9" t="s">
        <v>3508</v>
      </c>
      <c r="P437" s="7">
        <v>1352</v>
      </c>
      <c r="Q437" s="7">
        <v>1146</v>
      </c>
      <c r="R437" s="7">
        <v>688</v>
      </c>
      <c r="S437" s="7">
        <v>233</v>
      </c>
      <c r="T437" s="8">
        <v>3.9</v>
      </c>
      <c r="U437" s="8">
        <v>2.5</v>
      </c>
      <c r="V437" s="17">
        <v>2.5</v>
      </c>
      <c r="AD437" s="1"/>
      <c r="AE437" s="3"/>
      <c r="AF437" s="2"/>
      <c r="AG437" s="2"/>
      <c r="AH437" s="3"/>
      <c r="AI437" s="3"/>
      <c r="AJ437" s="1"/>
      <c r="AK437" s="1"/>
    </row>
    <row r="438" spans="1:37" x14ac:dyDescent="0.3">
      <c r="A438" s="14">
        <v>830</v>
      </c>
      <c r="B438" s="14">
        <v>1</v>
      </c>
      <c r="C438" s="9" t="s">
        <v>1659</v>
      </c>
      <c r="D438" s="9" t="s">
        <v>1208</v>
      </c>
      <c r="E438" s="9" t="s">
        <v>2734</v>
      </c>
      <c r="F438" s="10" t="s">
        <v>2735</v>
      </c>
      <c r="G438" s="9">
        <v>1</v>
      </c>
      <c r="H438" s="9"/>
      <c r="I438" s="9"/>
      <c r="J438" s="9"/>
      <c r="K438" s="9" t="b">
        <v>0</v>
      </c>
      <c r="L438" s="9" t="s">
        <v>7</v>
      </c>
      <c r="M438" s="9" t="b">
        <v>0</v>
      </c>
      <c r="N438" s="9" t="s">
        <v>2736</v>
      </c>
      <c r="O438" s="9" t="s">
        <v>4005</v>
      </c>
      <c r="P438" s="7">
        <v>1353</v>
      </c>
      <c r="Q438" s="7">
        <v>1032</v>
      </c>
      <c r="R438" s="7">
        <v>690</v>
      </c>
      <c r="S438" s="7">
        <v>224</v>
      </c>
      <c r="T438" s="8">
        <v>5.2</v>
      </c>
      <c r="U438" s="8">
        <v>2.4</v>
      </c>
      <c r="V438" s="17">
        <v>2.4</v>
      </c>
      <c r="AD438" s="1"/>
      <c r="AE438" s="3"/>
      <c r="AF438" s="2"/>
      <c r="AG438" s="3"/>
      <c r="AH438" s="3"/>
      <c r="AI438" s="3"/>
      <c r="AJ438" s="1"/>
      <c r="AK438" s="1"/>
    </row>
    <row r="439" spans="1:37" x14ac:dyDescent="0.3">
      <c r="A439" s="14">
        <v>876</v>
      </c>
      <c r="B439" s="14">
        <v>4</v>
      </c>
      <c r="C439" s="9" t="s">
        <v>1659</v>
      </c>
      <c r="D439" s="9" t="s">
        <v>1338</v>
      </c>
      <c r="E439" s="9" t="s">
        <v>2873</v>
      </c>
      <c r="F439" s="9" t="s">
        <v>2874</v>
      </c>
      <c r="G439" s="9">
        <v>1</v>
      </c>
      <c r="H439" s="9"/>
      <c r="I439" s="9"/>
      <c r="J439" s="9"/>
      <c r="K439" s="9" t="b">
        <v>0</v>
      </c>
      <c r="L439" s="9" t="s">
        <v>1351</v>
      </c>
      <c r="M439" s="9" t="b">
        <v>0</v>
      </c>
      <c r="N439" s="9" t="s">
        <v>2875</v>
      </c>
      <c r="O439" s="9" t="s">
        <v>4051</v>
      </c>
      <c r="P439" s="7">
        <v>521</v>
      </c>
      <c r="Q439" s="7">
        <v>448</v>
      </c>
      <c r="R439" s="7">
        <v>272</v>
      </c>
      <c r="S439" s="7">
        <v>86</v>
      </c>
      <c r="T439" s="8">
        <v>4.0999999999999996</v>
      </c>
      <c r="U439" s="8">
        <v>2.4</v>
      </c>
      <c r="V439" s="17">
        <v>2.4</v>
      </c>
      <c r="AD439" s="1"/>
      <c r="AE439" s="3"/>
      <c r="AF439" s="2"/>
      <c r="AG439" s="2"/>
      <c r="AH439" s="3"/>
      <c r="AI439" s="3"/>
      <c r="AJ439" s="1"/>
      <c r="AK439" s="1"/>
    </row>
    <row r="440" spans="1:37" x14ac:dyDescent="0.3">
      <c r="A440" s="14">
        <v>926</v>
      </c>
      <c r="B440" s="14">
        <v>2</v>
      </c>
      <c r="C440" s="9" t="s">
        <v>1659</v>
      </c>
      <c r="D440" s="9" t="s">
        <v>1457</v>
      </c>
      <c r="E440" s="9" t="s">
        <v>3025</v>
      </c>
      <c r="F440" s="9" t="s">
        <v>3026</v>
      </c>
      <c r="G440" s="9">
        <v>3</v>
      </c>
      <c r="H440" s="9"/>
      <c r="I440" s="9"/>
      <c r="J440" s="9"/>
      <c r="K440" s="9" t="b">
        <v>0</v>
      </c>
      <c r="L440" s="9"/>
      <c r="M440" s="9" t="b">
        <v>0</v>
      </c>
      <c r="N440" s="9" t="s">
        <v>3027</v>
      </c>
      <c r="O440" s="9" t="s">
        <v>4098</v>
      </c>
      <c r="P440" s="7">
        <v>1400</v>
      </c>
      <c r="Q440" s="7">
        <v>1290</v>
      </c>
      <c r="R440" s="7">
        <v>930</v>
      </c>
      <c r="S440" s="7">
        <v>234</v>
      </c>
      <c r="T440" s="8">
        <v>4.2</v>
      </c>
      <c r="U440" s="8">
        <v>2.4</v>
      </c>
      <c r="V440" s="17">
        <v>2.4</v>
      </c>
      <c r="AD440" s="1"/>
      <c r="AE440" s="3"/>
      <c r="AF440" s="2"/>
      <c r="AG440" s="2"/>
      <c r="AH440" s="3"/>
      <c r="AI440" s="3"/>
      <c r="AJ440" s="1"/>
      <c r="AK440" s="1"/>
    </row>
    <row r="441" spans="1:37" x14ac:dyDescent="0.3">
      <c r="A441" s="14">
        <v>932</v>
      </c>
      <c r="B441" s="14">
        <v>2</v>
      </c>
      <c r="C441" s="9" t="s">
        <v>1659</v>
      </c>
      <c r="D441" s="9" t="s">
        <v>1457</v>
      </c>
      <c r="E441" s="9" t="s">
        <v>3043</v>
      </c>
      <c r="F441" s="9" t="s">
        <v>3044</v>
      </c>
      <c r="G441" s="9">
        <v>1</v>
      </c>
      <c r="H441" s="9"/>
      <c r="I441" s="9"/>
      <c r="J441" s="9"/>
      <c r="K441" s="9" t="b">
        <v>0</v>
      </c>
      <c r="L441" s="9"/>
      <c r="M441" s="9" t="b">
        <v>0</v>
      </c>
      <c r="N441" s="9" t="s">
        <v>3045</v>
      </c>
      <c r="O441" s="9" t="s">
        <v>4104</v>
      </c>
      <c r="P441" s="7">
        <v>1329</v>
      </c>
      <c r="Q441" s="7">
        <v>1220</v>
      </c>
      <c r="R441" s="7">
        <v>1004</v>
      </c>
      <c r="S441" s="7">
        <v>220</v>
      </c>
      <c r="T441" s="8">
        <v>3.6</v>
      </c>
      <c r="U441" s="8">
        <v>2.4</v>
      </c>
      <c r="V441" s="17">
        <v>2.4</v>
      </c>
      <c r="AD441" s="1"/>
      <c r="AE441" s="3"/>
      <c r="AF441" s="2"/>
      <c r="AG441" s="2"/>
      <c r="AH441" s="3"/>
      <c r="AI441" s="3"/>
      <c r="AJ441" s="1"/>
      <c r="AK441" s="1"/>
    </row>
    <row r="442" spans="1:37" x14ac:dyDescent="0.3">
      <c r="A442" s="14">
        <v>505</v>
      </c>
      <c r="B442" s="14">
        <v>1</v>
      </c>
      <c r="C442" s="9" t="s">
        <v>1659</v>
      </c>
      <c r="D442" s="9" t="s">
        <v>1</v>
      </c>
      <c r="E442" s="9" t="s">
        <v>1735</v>
      </c>
      <c r="F442" s="9" t="s">
        <v>1736</v>
      </c>
      <c r="G442" s="9">
        <v>3</v>
      </c>
      <c r="H442" s="9"/>
      <c r="I442" s="9"/>
      <c r="J442" s="9"/>
      <c r="K442" s="9" t="b">
        <v>0</v>
      </c>
      <c r="L442" s="9" t="s">
        <v>7</v>
      </c>
      <c r="M442" s="9" t="b">
        <v>0</v>
      </c>
      <c r="N442" s="9" t="s">
        <v>1737</v>
      </c>
      <c r="O442" s="9" t="s">
        <v>3680</v>
      </c>
      <c r="P442" s="7">
        <v>1373</v>
      </c>
      <c r="Q442" s="7">
        <v>1249</v>
      </c>
      <c r="R442" s="7">
        <v>992</v>
      </c>
      <c r="S442" s="7">
        <v>226</v>
      </c>
      <c r="T442" s="8">
        <v>3.9</v>
      </c>
      <c r="U442" s="8">
        <v>2.4</v>
      </c>
      <c r="V442" s="17">
        <v>2.4</v>
      </c>
      <c r="AD442" s="1"/>
      <c r="AE442" s="3"/>
      <c r="AF442" s="2"/>
      <c r="AG442" s="2"/>
      <c r="AH442" s="2"/>
      <c r="AI442" s="3"/>
      <c r="AJ442" s="1"/>
      <c r="AK442" s="1"/>
    </row>
    <row r="443" spans="1:37" x14ac:dyDescent="0.3">
      <c r="A443" s="14">
        <v>576</v>
      </c>
      <c r="B443" s="14">
        <v>2</v>
      </c>
      <c r="C443" s="9" t="s">
        <v>1659</v>
      </c>
      <c r="D443" s="9" t="s">
        <v>180</v>
      </c>
      <c r="E443" s="9" t="s">
        <v>1951</v>
      </c>
      <c r="F443" s="9" t="s">
        <v>1952</v>
      </c>
      <c r="G443" s="9">
        <v>3</v>
      </c>
      <c r="H443" s="9"/>
      <c r="I443" s="9"/>
      <c r="J443" s="9"/>
      <c r="K443" s="9" t="b">
        <v>0</v>
      </c>
      <c r="L443" s="9" t="s">
        <v>194</v>
      </c>
      <c r="M443" s="9" t="b">
        <v>0</v>
      </c>
      <c r="N443" s="9" t="s">
        <v>1953</v>
      </c>
      <c r="O443" s="9" t="s">
        <v>3751</v>
      </c>
      <c r="P443" s="7">
        <v>1265</v>
      </c>
      <c r="Q443" s="7">
        <v>1081</v>
      </c>
      <c r="R443" s="7">
        <v>606</v>
      </c>
      <c r="S443" s="7">
        <v>213</v>
      </c>
      <c r="T443" s="8">
        <v>4.5</v>
      </c>
      <c r="U443" s="8">
        <v>2.4</v>
      </c>
      <c r="V443" s="17">
        <v>2.4</v>
      </c>
      <c r="AD443" s="1"/>
      <c r="AE443" s="3"/>
      <c r="AF443" s="2"/>
      <c r="AG443" s="2"/>
      <c r="AH443" s="3"/>
      <c r="AI443" s="3"/>
      <c r="AJ443" s="1"/>
      <c r="AK443" s="1"/>
    </row>
    <row r="444" spans="1:37" x14ac:dyDescent="0.3">
      <c r="A444" s="14">
        <v>719</v>
      </c>
      <c r="B444" s="14">
        <v>3</v>
      </c>
      <c r="C444" s="9" t="s">
        <v>1659</v>
      </c>
      <c r="D444" s="9" t="s">
        <v>411</v>
      </c>
      <c r="E444" s="9" t="s">
        <v>2397</v>
      </c>
      <c r="F444" s="9" t="s">
        <v>2398</v>
      </c>
      <c r="G444" s="9">
        <v>1</v>
      </c>
      <c r="H444" s="9"/>
      <c r="I444" s="9"/>
      <c r="J444" s="9"/>
      <c r="K444" s="9" t="b">
        <v>0</v>
      </c>
      <c r="L444" s="9" t="s">
        <v>453</v>
      </c>
      <c r="M444" s="9" t="b">
        <v>0</v>
      </c>
      <c r="N444" s="9" t="s">
        <v>2399</v>
      </c>
      <c r="O444" s="9" t="s">
        <v>3894</v>
      </c>
      <c r="P444" s="7">
        <v>1197</v>
      </c>
      <c r="Q444" s="7">
        <v>1085</v>
      </c>
      <c r="R444" s="7">
        <v>686</v>
      </c>
      <c r="S444" s="7">
        <v>204</v>
      </c>
      <c r="T444" s="8">
        <v>4.4000000000000004</v>
      </c>
      <c r="U444" s="8">
        <v>2.4</v>
      </c>
      <c r="V444" s="17">
        <v>2.4</v>
      </c>
      <c r="AD444" s="1"/>
      <c r="AE444" s="3"/>
      <c r="AF444" s="2"/>
      <c r="AG444" s="2"/>
      <c r="AH444" s="3"/>
      <c r="AI444" s="3"/>
      <c r="AJ444" s="1"/>
      <c r="AK444" s="1"/>
    </row>
    <row r="445" spans="1:37" x14ac:dyDescent="0.3">
      <c r="A445" s="14">
        <v>723</v>
      </c>
      <c r="B445" s="14">
        <v>3</v>
      </c>
      <c r="C445" s="9" t="s">
        <v>1659</v>
      </c>
      <c r="D445" s="9" t="s">
        <v>411</v>
      </c>
      <c r="E445" s="9" t="s">
        <v>2409</v>
      </c>
      <c r="F445" s="9" t="s">
        <v>2410</v>
      </c>
      <c r="G445" s="9">
        <v>3</v>
      </c>
      <c r="H445" s="9"/>
      <c r="I445" s="9"/>
      <c r="J445" s="9"/>
      <c r="K445" s="9" t="b">
        <v>0</v>
      </c>
      <c r="L445" s="9" t="s">
        <v>407</v>
      </c>
      <c r="M445" s="9" t="b">
        <v>0</v>
      </c>
      <c r="N445" s="9" t="s">
        <v>2411</v>
      </c>
      <c r="O445" s="9" t="s">
        <v>3898</v>
      </c>
      <c r="P445" s="7">
        <v>1242</v>
      </c>
      <c r="Q445" s="7">
        <v>1087</v>
      </c>
      <c r="R445" s="7">
        <v>851</v>
      </c>
      <c r="S445" s="7">
        <v>211</v>
      </c>
      <c r="T445" s="8">
        <v>3.8</v>
      </c>
      <c r="U445" s="8">
        <v>2.4</v>
      </c>
      <c r="V445" s="17">
        <v>2.4</v>
      </c>
      <c r="AD445" s="1"/>
      <c r="AE445" s="3"/>
      <c r="AF445" s="3"/>
      <c r="AG445" s="3"/>
      <c r="AH445" s="3"/>
      <c r="AI445" s="3"/>
      <c r="AJ445" s="1"/>
      <c r="AK445" s="1"/>
    </row>
    <row r="446" spans="1:37" x14ac:dyDescent="0.3">
      <c r="A446" s="14">
        <v>729</v>
      </c>
      <c r="B446" s="14">
        <v>3</v>
      </c>
      <c r="C446" s="9" t="s">
        <v>1659</v>
      </c>
      <c r="D446" s="9" t="s">
        <v>411</v>
      </c>
      <c r="E446" s="9" t="s">
        <v>2427</v>
      </c>
      <c r="F446" s="9" t="s">
        <v>2428</v>
      </c>
      <c r="G446" s="9">
        <v>1</v>
      </c>
      <c r="H446" s="9"/>
      <c r="I446" s="9"/>
      <c r="J446" s="9"/>
      <c r="K446" s="9" t="b">
        <v>0</v>
      </c>
      <c r="L446" s="9" t="s">
        <v>194</v>
      </c>
      <c r="M446" s="9" t="b">
        <v>0</v>
      </c>
      <c r="N446" s="9" t="s">
        <v>2429</v>
      </c>
      <c r="O446" s="9" t="s">
        <v>3904</v>
      </c>
      <c r="P446" s="7">
        <v>1168</v>
      </c>
      <c r="Q446" s="7">
        <v>1086</v>
      </c>
      <c r="R446" s="7">
        <v>753</v>
      </c>
      <c r="S446" s="7">
        <v>193</v>
      </c>
      <c r="T446" s="8">
        <v>4.0999999999999996</v>
      </c>
      <c r="U446" s="8">
        <v>2.4</v>
      </c>
      <c r="V446" s="17">
        <v>2.4</v>
      </c>
      <c r="AD446" s="1"/>
      <c r="AE446" s="3"/>
      <c r="AF446" s="3"/>
      <c r="AG446" s="3"/>
      <c r="AH446" s="3"/>
      <c r="AI446" s="3"/>
      <c r="AJ446" s="1"/>
      <c r="AK446" s="1"/>
    </row>
    <row r="447" spans="1:37" x14ac:dyDescent="0.3">
      <c r="A447" s="14">
        <v>738</v>
      </c>
      <c r="B447" s="14">
        <v>3</v>
      </c>
      <c r="C447" s="9" t="s">
        <v>1659</v>
      </c>
      <c r="D447" s="9" t="s">
        <v>411</v>
      </c>
      <c r="E447" s="9" t="s">
        <v>2455</v>
      </c>
      <c r="F447" s="9" t="s">
        <v>2456</v>
      </c>
      <c r="G447" s="9">
        <v>1</v>
      </c>
      <c r="H447" s="9"/>
      <c r="I447" s="9"/>
      <c r="J447" s="9"/>
      <c r="K447" s="9" t="b">
        <v>0</v>
      </c>
      <c r="L447" s="9" t="s">
        <v>416</v>
      </c>
      <c r="M447" s="9" t="b">
        <v>0</v>
      </c>
      <c r="N447" s="9" t="s">
        <v>2457</v>
      </c>
      <c r="O447" s="9" t="s">
        <v>3913</v>
      </c>
      <c r="P447" s="7">
        <v>946</v>
      </c>
      <c r="Q447" s="7">
        <v>709</v>
      </c>
      <c r="R447" s="7">
        <v>461</v>
      </c>
      <c r="S447" s="7">
        <v>156</v>
      </c>
      <c r="T447" s="8">
        <v>5.2</v>
      </c>
      <c r="U447" s="8">
        <v>2.4</v>
      </c>
      <c r="V447" s="17">
        <v>2.4</v>
      </c>
      <c r="AD447" s="1"/>
      <c r="AE447" s="3"/>
      <c r="AF447" s="3"/>
      <c r="AG447" s="3"/>
      <c r="AH447" s="3"/>
      <c r="AI447" s="3"/>
      <c r="AJ447" s="1"/>
      <c r="AK447" s="1"/>
    </row>
    <row r="448" spans="1:37" x14ac:dyDescent="0.3">
      <c r="A448" s="14">
        <v>740</v>
      </c>
      <c r="B448" s="14">
        <v>3</v>
      </c>
      <c r="C448" s="9" t="s">
        <v>1659</v>
      </c>
      <c r="D448" s="9" t="s">
        <v>411</v>
      </c>
      <c r="E448" s="9" t="s">
        <v>2461</v>
      </c>
      <c r="F448" s="9" t="s">
        <v>2462</v>
      </c>
      <c r="G448" s="9">
        <v>1</v>
      </c>
      <c r="H448" s="9"/>
      <c r="I448" s="9"/>
      <c r="J448" s="9"/>
      <c r="K448" s="9" t="b">
        <v>0</v>
      </c>
      <c r="L448" s="9" t="s">
        <v>2464</v>
      </c>
      <c r="M448" s="9" t="b">
        <v>1</v>
      </c>
      <c r="N448" s="9" t="s">
        <v>2463</v>
      </c>
      <c r="O448" s="9" t="s">
        <v>3915</v>
      </c>
      <c r="P448" s="7">
        <v>1206</v>
      </c>
      <c r="Q448" s="7">
        <v>1125</v>
      </c>
      <c r="R448" s="7">
        <v>650</v>
      </c>
      <c r="S448" s="7">
        <v>199</v>
      </c>
      <c r="T448" s="8">
        <v>4.0999999999999996</v>
      </c>
      <c r="U448" s="8">
        <v>2.4</v>
      </c>
      <c r="V448" s="17">
        <v>2.4</v>
      </c>
      <c r="AD448" s="1"/>
      <c r="AE448" s="3"/>
      <c r="AF448" s="2"/>
      <c r="AG448" s="3"/>
      <c r="AH448" s="3"/>
      <c r="AI448" s="3"/>
      <c r="AJ448" s="1"/>
      <c r="AK448" s="1"/>
    </row>
    <row r="449" spans="1:37" x14ac:dyDescent="0.3">
      <c r="A449" s="14">
        <v>109</v>
      </c>
      <c r="B449" s="14">
        <v>3</v>
      </c>
      <c r="C449" s="9" t="s">
        <v>0</v>
      </c>
      <c r="D449" s="9" t="s">
        <v>411</v>
      </c>
      <c r="E449" s="9" t="s">
        <v>412</v>
      </c>
      <c r="F449" s="9" t="s">
        <v>413</v>
      </c>
      <c r="G449" s="9">
        <v>1</v>
      </c>
      <c r="H449" s="9"/>
      <c r="I449" s="9" t="s">
        <v>414</v>
      </c>
      <c r="J449" s="9">
        <v>1</v>
      </c>
      <c r="K449" s="9" t="b">
        <v>0</v>
      </c>
      <c r="L449" s="9" t="s">
        <v>416</v>
      </c>
      <c r="M449" s="9" t="b">
        <v>0</v>
      </c>
      <c r="N449" s="9" t="s">
        <v>415</v>
      </c>
      <c r="O449" s="9" t="s">
        <v>3285</v>
      </c>
      <c r="P449" s="7">
        <v>1054</v>
      </c>
      <c r="Q449" s="7">
        <v>946</v>
      </c>
      <c r="R449" s="7">
        <v>529</v>
      </c>
      <c r="S449" s="7">
        <v>174</v>
      </c>
      <c r="T449" s="8">
        <v>4.2</v>
      </c>
      <c r="U449" s="8">
        <v>2.4</v>
      </c>
      <c r="V449" s="17">
        <v>2.4</v>
      </c>
      <c r="AD449" s="1"/>
      <c r="AE449" s="3"/>
      <c r="AF449" s="3"/>
      <c r="AG449" s="3"/>
      <c r="AH449" s="3"/>
      <c r="AI449" s="3"/>
      <c r="AJ449" s="1"/>
      <c r="AK449" s="1"/>
    </row>
    <row r="450" spans="1:37" x14ac:dyDescent="0.3">
      <c r="A450" s="14">
        <v>116</v>
      </c>
      <c r="B450" s="14">
        <v>3</v>
      </c>
      <c r="C450" s="9" t="s">
        <v>0</v>
      </c>
      <c r="D450" s="9" t="s">
        <v>411</v>
      </c>
      <c r="E450" s="9" t="s">
        <v>441</v>
      </c>
      <c r="F450" s="9" t="s">
        <v>442</v>
      </c>
      <c r="G450" s="9">
        <v>1</v>
      </c>
      <c r="H450" s="9" t="s">
        <v>351</v>
      </c>
      <c r="I450" s="9" t="s">
        <v>443</v>
      </c>
      <c r="J450" s="9">
        <v>3</v>
      </c>
      <c r="K450" s="9" t="b">
        <v>0</v>
      </c>
      <c r="L450" s="9" t="s">
        <v>292</v>
      </c>
      <c r="M450" s="9" t="b">
        <v>0</v>
      </c>
      <c r="N450" s="9" t="s">
        <v>444</v>
      </c>
      <c r="O450" s="9" t="s">
        <v>3292</v>
      </c>
      <c r="P450" s="7">
        <v>606</v>
      </c>
      <c r="Q450" s="7">
        <v>555</v>
      </c>
      <c r="R450" s="7">
        <v>319</v>
      </c>
      <c r="S450" s="7">
        <v>103</v>
      </c>
      <c r="T450" s="8">
        <v>3.9</v>
      </c>
      <c r="U450" s="8">
        <v>2.4</v>
      </c>
      <c r="V450" s="17">
        <v>2.4</v>
      </c>
      <c r="AD450" s="1"/>
      <c r="AE450" s="3"/>
      <c r="AF450" s="3"/>
      <c r="AG450" s="3"/>
      <c r="AH450" s="3"/>
      <c r="AI450" s="3"/>
      <c r="AJ450" s="1"/>
      <c r="AK450" s="1"/>
    </row>
    <row r="451" spans="1:37" x14ac:dyDescent="0.3">
      <c r="A451" s="14">
        <v>128</v>
      </c>
      <c r="B451" s="14">
        <v>3</v>
      </c>
      <c r="C451" s="9" t="s">
        <v>0</v>
      </c>
      <c r="D451" s="9" t="s">
        <v>411</v>
      </c>
      <c r="E451" s="9" t="s">
        <v>486</v>
      </c>
      <c r="F451" s="9" t="s">
        <v>487</v>
      </c>
      <c r="G451" s="9">
        <v>1</v>
      </c>
      <c r="H451" s="9" t="s">
        <v>84</v>
      </c>
      <c r="I451" s="9"/>
      <c r="J451" s="9"/>
      <c r="K451" s="9" t="b">
        <v>0</v>
      </c>
      <c r="L451" s="9" t="s">
        <v>420</v>
      </c>
      <c r="M451" s="9" t="b">
        <v>0</v>
      </c>
      <c r="N451" s="9" t="s">
        <v>488</v>
      </c>
      <c r="O451" s="9" t="s">
        <v>3304</v>
      </c>
      <c r="P451" s="7">
        <v>725</v>
      </c>
      <c r="Q451" s="7">
        <v>584</v>
      </c>
      <c r="R451" s="7">
        <v>425</v>
      </c>
      <c r="S451" s="7">
        <v>120</v>
      </c>
      <c r="T451" s="8">
        <v>4.5</v>
      </c>
      <c r="U451" s="8">
        <v>2.4</v>
      </c>
      <c r="V451" s="17">
        <v>2.4</v>
      </c>
      <c r="AD451" s="1"/>
      <c r="AE451" s="3"/>
      <c r="AF451" s="3"/>
      <c r="AG451" s="3"/>
      <c r="AH451" s="3"/>
      <c r="AI451" s="3"/>
      <c r="AJ451" s="1"/>
      <c r="AK451" s="1"/>
    </row>
    <row r="452" spans="1:37" x14ac:dyDescent="0.3">
      <c r="A452" s="14">
        <v>403</v>
      </c>
      <c r="B452" s="14">
        <v>4</v>
      </c>
      <c r="C452" s="9" t="s">
        <v>0</v>
      </c>
      <c r="D452" s="9" t="s">
        <v>1394</v>
      </c>
      <c r="E452" s="9" t="s">
        <v>1405</v>
      </c>
      <c r="F452" s="9" t="s">
        <v>1406</v>
      </c>
      <c r="G452" s="9">
        <v>1</v>
      </c>
      <c r="H452" s="9"/>
      <c r="I452" s="9" t="s">
        <v>572</v>
      </c>
      <c r="J452" s="9">
        <v>1</v>
      </c>
      <c r="K452" s="9" t="b">
        <v>0</v>
      </c>
      <c r="L452" s="9"/>
      <c r="M452" s="9" t="b">
        <v>0</v>
      </c>
      <c r="N452" s="9" t="s">
        <v>1407</v>
      </c>
      <c r="O452" s="9" t="s">
        <v>3579</v>
      </c>
      <c r="P452" s="7">
        <v>215</v>
      </c>
      <c r="Q452" s="7">
        <v>175</v>
      </c>
      <c r="R452" s="7">
        <v>143</v>
      </c>
      <c r="S452" s="7">
        <v>36</v>
      </c>
      <c r="T452" s="8">
        <v>3.9</v>
      </c>
      <c r="U452" s="8">
        <v>2.4</v>
      </c>
      <c r="V452" s="17">
        <v>2.4</v>
      </c>
      <c r="AD452" s="1"/>
      <c r="AE452" s="3"/>
      <c r="AF452" s="2"/>
      <c r="AG452" s="2"/>
      <c r="AH452" s="2"/>
      <c r="AI452" s="3"/>
      <c r="AJ452" s="1"/>
      <c r="AK452" s="1"/>
    </row>
    <row r="453" spans="1:37" x14ac:dyDescent="0.3">
      <c r="A453" s="14">
        <v>156</v>
      </c>
      <c r="B453" s="14">
        <v>3</v>
      </c>
      <c r="C453" s="9" t="s">
        <v>0</v>
      </c>
      <c r="D453" s="9" t="s">
        <v>411</v>
      </c>
      <c r="E453" s="9" t="s">
        <v>591</v>
      </c>
      <c r="F453" s="9" t="s">
        <v>592</v>
      </c>
      <c r="G453" s="9">
        <v>1</v>
      </c>
      <c r="H453" s="9"/>
      <c r="I453" s="9" t="s">
        <v>593</v>
      </c>
      <c r="J453" s="9"/>
      <c r="K453" s="9" t="b">
        <v>0</v>
      </c>
      <c r="L453" s="9" t="s">
        <v>238</v>
      </c>
      <c r="M453" s="9" t="b">
        <v>0</v>
      </c>
      <c r="N453" s="9" t="s">
        <v>594</v>
      </c>
      <c r="O453" s="9" t="s">
        <v>3332</v>
      </c>
      <c r="P453" s="7">
        <v>1187</v>
      </c>
      <c r="Q453" s="7">
        <v>1034</v>
      </c>
      <c r="R453" s="7">
        <v>707</v>
      </c>
      <c r="S453" s="7">
        <v>196</v>
      </c>
      <c r="T453" s="8">
        <v>3.8</v>
      </c>
      <c r="U453" s="8">
        <v>2.4</v>
      </c>
      <c r="V453" s="17">
        <v>2.4</v>
      </c>
      <c r="AD453" s="1"/>
      <c r="AE453" s="3"/>
      <c r="AF453" s="2"/>
      <c r="AG453" s="3"/>
      <c r="AH453" s="3"/>
      <c r="AI453" s="3"/>
      <c r="AJ453" s="1"/>
      <c r="AK453" s="1"/>
    </row>
    <row r="454" spans="1:37" x14ac:dyDescent="0.3">
      <c r="A454" s="14">
        <v>67</v>
      </c>
      <c r="B454" s="14">
        <v>2</v>
      </c>
      <c r="C454" s="9" t="s">
        <v>0</v>
      </c>
      <c r="D454" s="9" t="s">
        <v>180</v>
      </c>
      <c r="E454" s="9" t="s">
        <v>246</v>
      </c>
      <c r="F454" s="9" t="s">
        <v>247</v>
      </c>
      <c r="G454" s="9">
        <v>1</v>
      </c>
      <c r="H454" s="9"/>
      <c r="I454" s="9" t="s">
        <v>248</v>
      </c>
      <c r="J454" s="9">
        <v>2</v>
      </c>
      <c r="K454" s="9" t="b">
        <v>0</v>
      </c>
      <c r="L454" s="9" t="s">
        <v>205</v>
      </c>
      <c r="M454" s="9" t="b">
        <v>0</v>
      </c>
      <c r="N454" s="9" t="s">
        <v>249</v>
      </c>
      <c r="O454" s="9" t="s">
        <v>3243</v>
      </c>
      <c r="P454" s="7">
        <v>1369</v>
      </c>
      <c r="Q454" s="7">
        <v>959</v>
      </c>
      <c r="R454" s="7">
        <v>637</v>
      </c>
      <c r="S454" s="7">
        <v>233</v>
      </c>
      <c r="T454" s="8">
        <v>5</v>
      </c>
      <c r="U454" s="8">
        <v>2.4</v>
      </c>
      <c r="V454" s="17">
        <v>2.4</v>
      </c>
      <c r="AD454" s="1"/>
      <c r="AE454" s="3"/>
      <c r="AF454" s="3"/>
      <c r="AG454" s="3"/>
      <c r="AH454" s="3"/>
      <c r="AI454" s="3"/>
      <c r="AJ454" s="1"/>
      <c r="AK454" s="1"/>
    </row>
    <row r="455" spans="1:37" x14ac:dyDescent="0.3">
      <c r="A455" s="14">
        <v>75</v>
      </c>
      <c r="B455" s="14">
        <v>2</v>
      </c>
      <c r="C455" s="9" t="s">
        <v>0</v>
      </c>
      <c r="D455" s="9" t="s">
        <v>180</v>
      </c>
      <c r="E455" s="9" t="s">
        <v>280</v>
      </c>
      <c r="F455" s="10" t="s">
        <v>281</v>
      </c>
      <c r="G455" s="9">
        <v>1</v>
      </c>
      <c r="H455" s="9" t="s">
        <v>26</v>
      </c>
      <c r="I455" s="9"/>
      <c r="J455" s="9"/>
      <c r="K455" s="9" t="b">
        <v>0</v>
      </c>
      <c r="L455" s="9" t="s">
        <v>234</v>
      </c>
      <c r="M455" s="9" t="b">
        <v>0</v>
      </c>
      <c r="N455" s="9" t="s">
        <v>282</v>
      </c>
      <c r="O455" s="9" t="s">
        <v>3251</v>
      </c>
      <c r="P455" s="7">
        <v>1353</v>
      </c>
      <c r="Q455" s="7">
        <v>1209</v>
      </c>
      <c r="R455" s="7">
        <v>971</v>
      </c>
      <c r="S455" s="7">
        <v>228</v>
      </c>
      <c r="T455" s="8">
        <v>3.2</v>
      </c>
      <c r="U455" s="8">
        <v>2.4</v>
      </c>
      <c r="V455" s="17">
        <v>2.4</v>
      </c>
      <c r="AD455" s="1"/>
      <c r="AE455" s="3"/>
      <c r="AF455" s="2"/>
      <c r="AG455" s="2"/>
      <c r="AH455" s="3"/>
      <c r="AI455" s="3"/>
      <c r="AJ455" s="1"/>
      <c r="AK455" s="1"/>
    </row>
    <row r="456" spans="1:37" x14ac:dyDescent="0.3">
      <c r="A456" s="14">
        <v>200</v>
      </c>
      <c r="B456" s="14">
        <v>3</v>
      </c>
      <c r="C456" s="9" t="s">
        <v>0</v>
      </c>
      <c r="D456" s="9" t="s">
        <v>411</v>
      </c>
      <c r="E456" s="9" t="s">
        <v>740</v>
      </c>
      <c r="F456" s="9" t="s">
        <v>741</v>
      </c>
      <c r="G456" s="9">
        <v>1</v>
      </c>
      <c r="H456" s="9" t="s">
        <v>742</v>
      </c>
      <c r="I456" s="9" t="s">
        <v>22</v>
      </c>
      <c r="J456" s="9">
        <v>1</v>
      </c>
      <c r="K456" s="9" t="b">
        <v>0</v>
      </c>
      <c r="L456" s="9" t="s">
        <v>416</v>
      </c>
      <c r="M456" s="9" t="b">
        <v>0</v>
      </c>
      <c r="N456" s="9" t="s">
        <v>743</v>
      </c>
      <c r="O456" s="9" t="s">
        <v>3376</v>
      </c>
      <c r="P456" s="7">
        <v>990</v>
      </c>
      <c r="Q456" s="7">
        <v>889</v>
      </c>
      <c r="R456" s="7">
        <v>574</v>
      </c>
      <c r="S456" s="7">
        <v>169</v>
      </c>
      <c r="T456" s="8">
        <v>3.9</v>
      </c>
      <c r="U456" s="8">
        <v>2.4</v>
      </c>
      <c r="V456" s="17">
        <v>2.4</v>
      </c>
      <c r="AD456" s="1"/>
      <c r="AE456" s="3"/>
      <c r="AF456" s="2"/>
      <c r="AG456" s="3"/>
      <c r="AH456" s="3"/>
      <c r="AI456" s="3"/>
      <c r="AJ456" s="1"/>
      <c r="AK456" s="1"/>
    </row>
    <row r="457" spans="1:37" x14ac:dyDescent="0.3">
      <c r="A457" s="14">
        <v>213</v>
      </c>
      <c r="B457" s="14">
        <v>3</v>
      </c>
      <c r="C457" s="9" t="s">
        <v>0</v>
      </c>
      <c r="D457" s="9" t="s">
        <v>411</v>
      </c>
      <c r="E457" s="9" t="s">
        <v>788</v>
      </c>
      <c r="F457" s="9" t="s">
        <v>789</v>
      </c>
      <c r="G457" s="9">
        <v>1</v>
      </c>
      <c r="H457" s="9"/>
      <c r="I457" s="9" t="s">
        <v>312</v>
      </c>
      <c r="J457" s="9"/>
      <c r="K457" s="9" t="b">
        <v>0</v>
      </c>
      <c r="L457" s="9" t="s">
        <v>791</v>
      </c>
      <c r="M457" s="9" t="b">
        <v>0</v>
      </c>
      <c r="N457" s="9" t="s">
        <v>790</v>
      </c>
      <c r="O457" s="9" t="s">
        <v>3389</v>
      </c>
      <c r="P457" s="7">
        <v>1228</v>
      </c>
      <c r="Q457" s="7">
        <v>1075</v>
      </c>
      <c r="R457" s="7">
        <v>827</v>
      </c>
      <c r="S457" s="7">
        <v>203</v>
      </c>
      <c r="T457" s="8">
        <v>3.5</v>
      </c>
      <c r="U457" s="8">
        <v>2.4</v>
      </c>
      <c r="V457" s="17">
        <v>2.4</v>
      </c>
      <c r="AD457" s="1"/>
      <c r="AE457" s="3"/>
      <c r="AF457" s="2"/>
      <c r="AG457" s="2"/>
      <c r="AH457" s="2"/>
      <c r="AI457" s="3"/>
      <c r="AJ457" s="1"/>
      <c r="AK457" s="1"/>
    </row>
    <row r="458" spans="1:37" x14ac:dyDescent="0.3">
      <c r="A458" s="14">
        <v>226</v>
      </c>
      <c r="B458" s="14">
        <v>3</v>
      </c>
      <c r="C458" s="9" t="s">
        <v>0</v>
      </c>
      <c r="D458" s="9" t="s">
        <v>411</v>
      </c>
      <c r="E458" s="9" t="s">
        <v>830</v>
      </c>
      <c r="F458" s="9" t="s">
        <v>831</v>
      </c>
      <c r="G458" s="9">
        <v>1</v>
      </c>
      <c r="H458" s="9"/>
      <c r="I458" s="9"/>
      <c r="J458" s="9"/>
      <c r="K458" s="9" t="b">
        <v>1</v>
      </c>
      <c r="L458" s="9" t="s">
        <v>420</v>
      </c>
      <c r="M458" s="9" t="b">
        <v>0</v>
      </c>
      <c r="N458" s="9" t="s">
        <v>832</v>
      </c>
      <c r="O458" s="9" t="s">
        <v>3402</v>
      </c>
      <c r="P458" s="7">
        <v>1191</v>
      </c>
      <c r="Q458" s="7">
        <v>854</v>
      </c>
      <c r="R458" s="7">
        <v>622</v>
      </c>
      <c r="S458" s="7">
        <v>202</v>
      </c>
      <c r="T458" s="8">
        <v>5.4</v>
      </c>
      <c r="U458" s="8">
        <v>2.4</v>
      </c>
      <c r="V458" s="17">
        <v>2.4</v>
      </c>
      <c r="AD458" s="1"/>
      <c r="AE458" s="3"/>
      <c r="AF458" s="2"/>
      <c r="AG458" s="3"/>
      <c r="AH458" s="3"/>
      <c r="AI458" s="3"/>
      <c r="AJ458" s="1"/>
      <c r="AK458" s="1"/>
    </row>
    <row r="459" spans="1:37" x14ac:dyDescent="0.3">
      <c r="A459" s="14">
        <v>322</v>
      </c>
      <c r="B459" s="14">
        <v>1</v>
      </c>
      <c r="C459" s="9" t="s">
        <v>0</v>
      </c>
      <c r="D459" s="9" t="s">
        <v>1077</v>
      </c>
      <c r="E459" s="9" t="s">
        <v>1144</v>
      </c>
      <c r="F459" s="9" t="s">
        <v>1145</v>
      </c>
      <c r="G459" s="9">
        <v>1</v>
      </c>
      <c r="H459" s="9" t="s">
        <v>10</v>
      </c>
      <c r="I459" s="9" t="s">
        <v>5</v>
      </c>
      <c r="J459" s="9"/>
      <c r="K459" s="9" t="b">
        <v>0</v>
      </c>
      <c r="L459" s="9" t="s">
        <v>7</v>
      </c>
      <c r="M459" s="9" t="b">
        <v>0</v>
      </c>
      <c r="N459" s="9" t="s">
        <v>1146</v>
      </c>
      <c r="O459" s="9" t="s">
        <v>3498</v>
      </c>
      <c r="P459" s="7">
        <v>1401</v>
      </c>
      <c r="Q459" s="7">
        <v>1199</v>
      </c>
      <c r="R459" s="7">
        <v>1034</v>
      </c>
      <c r="S459" s="7">
        <v>240</v>
      </c>
      <c r="T459" s="8">
        <v>3.6</v>
      </c>
      <c r="U459" s="8">
        <v>2.4</v>
      </c>
      <c r="V459" s="17">
        <v>2.4</v>
      </c>
      <c r="AD459" s="1"/>
      <c r="AE459" s="3"/>
      <c r="AF459" s="2"/>
      <c r="AG459" s="3"/>
      <c r="AH459" s="3"/>
      <c r="AI459" s="3"/>
      <c r="AJ459" s="1"/>
      <c r="AK459" s="1"/>
    </row>
    <row r="460" spans="1:37" x14ac:dyDescent="0.3">
      <c r="A460" s="14">
        <v>461</v>
      </c>
      <c r="B460" s="14">
        <v>2</v>
      </c>
      <c r="C460" s="9" t="s">
        <v>0</v>
      </c>
      <c r="D460" s="9" t="s">
        <v>1457</v>
      </c>
      <c r="E460" s="9" t="s">
        <v>1596</v>
      </c>
      <c r="F460" s="9" t="s">
        <v>1597</v>
      </c>
      <c r="G460" s="9">
        <v>1</v>
      </c>
      <c r="H460" s="9"/>
      <c r="I460" s="9" t="s">
        <v>114</v>
      </c>
      <c r="J460" s="9">
        <v>1</v>
      </c>
      <c r="K460" s="9" t="b">
        <v>0</v>
      </c>
      <c r="L460" s="9" t="s">
        <v>1599</v>
      </c>
      <c r="M460" s="9" t="b">
        <v>1</v>
      </c>
      <c r="N460" s="9" t="s">
        <v>1598</v>
      </c>
      <c r="O460" s="9" t="s">
        <v>3636</v>
      </c>
      <c r="P460" s="7">
        <v>1414</v>
      </c>
      <c r="Q460" s="7">
        <v>1220</v>
      </c>
      <c r="R460" s="7">
        <v>862</v>
      </c>
      <c r="S460" s="7">
        <v>235</v>
      </c>
      <c r="T460" s="8">
        <v>4.4000000000000004</v>
      </c>
      <c r="U460" s="8">
        <v>2.4</v>
      </c>
      <c r="V460" s="17">
        <v>2.4</v>
      </c>
      <c r="AD460" s="1"/>
      <c r="AE460" s="3"/>
      <c r="AF460" s="2"/>
      <c r="AG460" s="2"/>
      <c r="AH460" s="3"/>
      <c r="AI460" s="3"/>
      <c r="AJ460" s="1"/>
      <c r="AK460" s="1"/>
    </row>
    <row r="461" spans="1:37" x14ac:dyDescent="0.3">
      <c r="A461" s="14">
        <v>242</v>
      </c>
      <c r="B461" s="14">
        <v>3</v>
      </c>
      <c r="C461" s="9" t="s">
        <v>0</v>
      </c>
      <c r="D461" s="9" t="s">
        <v>411</v>
      </c>
      <c r="E461" s="9" t="s">
        <v>882</v>
      </c>
      <c r="F461" s="9" t="s">
        <v>883</v>
      </c>
      <c r="G461" s="9">
        <v>1</v>
      </c>
      <c r="H461" s="9"/>
      <c r="I461" s="9"/>
      <c r="J461" s="9"/>
      <c r="K461" s="9" t="b">
        <v>0</v>
      </c>
      <c r="L461" s="9" t="s">
        <v>430</v>
      </c>
      <c r="M461" s="9" t="b">
        <v>0</v>
      </c>
      <c r="N461" s="9" t="s">
        <v>884</v>
      </c>
      <c r="O461" s="9" t="s">
        <v>3418</v>
      </c>
      <c r="P461" s="7">
        <v>1250</v>
      </c>
      <c r="Q461" s="7">
        <v>976</v>
      </c>
      <c r="R461" s="7">
        <v>753</v>
      </c>
      <c r="S461" s="7">
        <v>211</v>
      </c>
      <c r="T461" s="8">
        <v>4.0999999999999996</v>
      </c>
      <c r="U461" s="8">
        <v>2.4</v>
      </c>
      <c r="V461" s="17">
        <v>2.4</v>
      </c>
      <c r="AD461" s="1"/>
      <c r="AE461" s="3"/>
      <c r="AF461" s="2"/>
      <c r="AG461" s="3"/>
      <c r="AH461" s="3"/>
      <c r="AI461" s="3"/>
      <c r="AJ461" s="1"/>
      <c r="AK461" s="1"/>
    </row>
    <row r="462" spans="1:37" x14ac:dyDescent="0.3">
      <c r="A462" s="14">
        <v>470</v>
      </c>
      <c r="B462" s="14">
        <v>2</v>
      </c>
      <c r="C462" s="9" t="s">
        <v>0</v>
      </c>
      <c r="D462" s="9" t="s">
        <v>1457</v>
      </c>
      <c r="E462" s="9" t="s">
        <v>1627</v>
      </c>
      <c r="F462" s="9" t="s">
        <v>1628</v>
      </c>
      <c r="G462" s="9">
        <v>1</v>
      </c>
      <c r="H462" s="9"/>
      <c r="I462" s="9" t="s">
        <v>248</v>
      </c>
      <c r="J462" s="9">
        <v>3</v>
      </c>
      <c r="K462" s="9" t="b">
        <v>0</v>
      </c>
      <c r="L462" s="9" t="s">
        <v>1465</v>
      </c>
      <c r="M462" s="9" t="b">
        <v>0</v>
      </c>
      <c r="N462" s="9" t="s">
        <v>1629</v>
      </c>
      <c r="O462" s="9" t="s">
        <v>3645</v>
      </c>
      <c r="P462" s="7">
        <v>1440</v>
      </c>
      <c r="Q462" s="7">
        <v>1174</v>
      </c>
      <c r="R462" s="7">
        <v>708</v>
      </c>
      <c r="S462" s="7">
        <v>238</v>
      </c>
      <c r="T462" s="8">
        <v>4.5999999999999996</v>
      </c>
      <c r="U462" s="8">
        <v>2.4</v>
      </c>
      <c r="V462" s="17">
        <v>2.4</v>
      </c>
      <c r="AD462" s="1"/>
      <c r="AE462" s="3"/>
      <c r="AF462" s="2"/>
      <c r="AG462" s="3"/>
      <c r="AH462" s="3"/>
      <c r="AI462" s="3"/>
      <c r="AJ462" s="1"/>
      <c r="AK462" s="1"/>
    </row>
    <row r="463" spans="1:37" x14ac:dyDescent="0.3">
      <c r="A463" s="14">
        <v>261</v>
      </c>
      <c r="B463" s="14">
        <v>3</v>
      </c>
      <c r="C463" s="9" t="s">
        <v>0</v>
      </c>
      <c r="D463" s="9" t="s">
        <v>411</v>
      </c>
      <c r="E463" s="9" t="s">
        <v>948</v>
      </c>
      <c r="F463" s="9" t="s">
        <v>949</v>
      </c>
      <c r="G463" s="9">
        <v>1</v>
      </c>
      <c r="H463" s="9"/>
      <c r="I463" s="9" t="s">
        <v>67</v>
      </c>
      <c r="J463" s="9">
        <v>1</v>
      </c>
      <c r="K463" s="9" t="b">
        <v>0</v>
      </c>
      <c r="L463" s="9" t="s">
        <v>437</v>
      </c>
      <c r="M463" s="9" t="b">
        <v>0</v>
      </c>
      <c r="N463" s="9" t="s">
        <v>950</v>
      </c>
      <c r="O463" s="9" t="s">
        <v>3437</v>
      </c>
      <c r="P463" s="7">
        <v>984</v>
      </c>
      <c r="Q463" s="7">
        <v>901</v>
      </c>
      <c r="R463" s="7">
        <v>561</v>
      </c>
      <c r="S463" s="7">
        <v>165</v>
      </c>
      <c r="T463" s="8">
        <v>4.0999999999999996</v>
      </c>
      <c r="U463" s="8">
        <v>2.4</v>
      </c>
      <c r="V463" s="17">
        <v>2.4</v>
      </c>
      <c r="AD463" s="1"/>
      <c r="AE463" s="3"/>
      <c r="AF463" s="3"/>
      <c r="AG463" s="3"/>
      <c r="AH463" s="3"/>
      <c r="AI463" s="3"/>
      <c r="AJ463" s="1"/>
      <c r="AK463" s="1"/>
    </row>
    <row r="464" spans="1:37" x14ac:dyDescent="0.3">
      <c r="A464" s="14">
        <v>91</v>
      </c>
      <c r="B464" s="14">
        <v>2</v>
      </c>
      <c r="C464" s="9" t="s">
        <v>0</v>
      </c>
      <c r="D464" s="9" t="s">
        <v>180</v>
      </c>
      <c r="E464" s="9" t="s">
        <v>345</v>
      </c>
      <c r="F464" s="9" t="s">
        <v>346</v>
      </c>
      <c r="G464" s="9">
        <v>1</v>
      </c>
      <c r="H464" s="9"/>
      <c r="I464" s="9" t="s">
        <v>312</v>
      </c>
      <c r="J464" s="9"/>
      <c r="K464" s="9" t="b">
        <v>0</v>
      </c>
      <c r="L464" s="9" t="s">
        <v>348</v>
      </c>
      <c r="M464" s="9" t="b">
        <v>1</v>
      </c>
      <c r="N464" s="9" t="s">
        <v>347</v>
      </c>
      <c r="O464" s="9" t="s">
        <v>3267</v>
      </c>
      <c r="P464" s="7">
        <v>1353</v>
      </c>
      <c r="Q464" s="7">
        <v>1030</v>
      </c>
      <c r="R464" s="7">
        <v>698</v>
      </c>
      <c r="S464" s="7">
        <v>223</v>
      </c>
      <c r="T464" s="8">
        <v>4.3</v>
      </c>
      <c r="U464" s="8">
        <v>2.4</v>
      </c>
      <c r="V464" s="17">
        <v>2.4</v>
      </c>
      <c r="AD464" s="1"/>
      <c r="AE464" s="3"/>
      <c r="AF464" s="2"/>
      <c r="AG464" s="3"/>
      <c r="AH464" s="3"/>
      <c r="AI464" s="3"/>
      <c r="AJ464" s="1"/>
      <c r="AK464" s="1"/>
    </row>
    <row r="465" spans="1:37" x14ac:dyDescent="0.3">
      <c r="A465" s="14">
        <v>286</v>
      </c>
      <c r="B465" s="14">
        <v>3</v>
      </c>
      <c r="C465" s="9" t="s">
        <v>0</v>
      </c>
      <c r="D465" s="9" t="s">
        <v>411</v>
      </c>
      <c r="E465" s="9" t="s">
        <v>1026</v>
      </c>
      <c r="F465" s="9" t="s">
        <v>1027</v>
      </c>
      <c r="G465" s="9">
        <v>1</v>
      </c>
      <c r="H465" s="9"/>
      <c r="I465" s="9" t="s">
        <v>738</v>
      </c>
      <c r="J465" s="9">
        <v>2</v>
      </c>
      <c r="K465" s="9" t="b">
        <v>0</v>
      </c>
      <c r="L465" s="9" t="s">
        <v>238</v>
      </c>
      <c r="M465" s="9" t="b">
        <v>0</v>
      </c>
      <c r="N465" s="9" t="s">
        <v>1028</v>
      </c>
      <c r="O465" s="9" t="s">
        <v>3462</v>
      </c>
      <c r="P465" s="7">
        <v>1208</v>
      </c>
      <c r="Q465" s="7">
        <v>1017</v>
      </c>
      <c r="R465" s="7">
        <v>645</v>
      </c>
      <c r="S465" s="7">
        <v>201</v>
      </c>
      <c r="T465" s="8">
        <v>4.5</v>
      </c>
      <c r="U465" s="8">
        <v>2.4</v>
      </c>
      <c r="V465" s="17">
        <v>2.4</v>
      </c>
      <c r="AD465" s="1"/>
      <c r="AE465" s="3"/>
      <c r="AF465" s="2"/>
      <c r="AG465" s="3"/>
      <c r="AH465" s="3"/>
      <c r="AI465" s="3"/>
      <c r="AJ465" s="1"/>
      <c r="AK465" s="1"/>
    </row>
    <row r="466" spans="1:37" x14ac:dyDescent="0.3">
      <c r="A466" s="14">
        <v>102</v>
      </c>
      <c r="B466" s="14">
        <v>2</v>
      </c>
      <c r="C466" s="9" t="s">
        <v>0</v>
      </c>
      <c r="D466" s="9" t="s">
        <v>180</v>
      </c>
      <c r="E466" s="9" t="s">
        <v>383</v>
      </c>
      <c r="F466" s="9" t="s">
        <v>384</v>
      </c>
      <c r="G466" s="9">
        <v>1</v>
      </c>
      <c r="H466" s="9" t="s">
        <v>4</v>
      </c>
      <c r="I466" s="9" t="s">
        <v>385</v>
      </c>
      <c r="J466" s="9">
        <v>1</v>
      </c>
      <c r="K466" s="9" t="b">
        <v>0</v>
      </c>
      <c r="L466" s="9" t="s">
        <v>387</v>
      </c>
      <c r="M466" s="9" t="b">
        <v>0</v>
      </c>
      <c r="N466" s="9" t="s">
        <v>386</v>
      </c>
      <c r="O466" s="9" t="s">
        <v>3278</v>
      </c>
      <c r="P466" s="7">
        <v>1324</v>
      </c>
      <c r="Q466" s="7">
        <v>1171</v>
      </c>
      <c r="R466" s="7">
        <v>811</v>
      </c>
      <c r="S466" s="7">
        <v>226</v>
      </c>
      <c r="T466" s="8">
        <v>3.4</v>
      </c>
      <c r="U466" s="8">
        <v>2.4</v>
      </c>
      <c r="V466" s="17">
        <v>2.4</v>
      </c>
      <c r="AD466" s="1"/>
      <c r="AE466" s="3"/>
      <c r="AF466" s="2"/>
      <c r="AG466" s="2"/>
      <c r="AH466" s="3"/>
      <c r="AI466" s="3"/>
      <c r="AJ466" s="1"/>
      <c r="AK466" s="1"/>
    </row>
    <row r="467" spans="1:37" x14ac:dyDescent="0.3">
      <c r="A467" s="14">
        <v>297</v>
      </c>
      <c r="B467" s="14">
        <v>3</v>
      </c>
      <c r="C467" s="9" t="s">
        <v>0</v>
      </c>
      <c r="D467" s="9" t="s">
        <v>411</v>
      </c>
      <c r="E467" s="9" t="s">
        <v>1060</v>
      </c>
      <c r="F467" s="9" t="s">
        <v>1061</v>
      </c>
      <c r="G467" s="9">
        <v>1</v>
      </c>
      <c r="H467" s="9"/>
      <c r="I467" s="9"/>
      <c r="J467" s="9"/>
      <c r="K467" s="9" t="b">
        <v>0</v>
      </c>
      <c r="L467" s="9" t="s">
        <v>420</v>
      </c>
      <c r="M467" s="9" t="b">
        <v>0</v>
      </c>
      <c r="N467" s="9" t="s">
        <v>1062</v>
      </c>
      <c r="O467" s="9" t="s">
        <v>3473</v>
      </c>
      <c r="P467" s="7">
        <v>1152</v>
      </c>
      <c r="Q467" s="7">
        <v>884</v>
      </c>
      <c r="R467" s="7">
        <v>710</v>
      </c>
      <c r="S467" s="7">
        <v>193</v>
      </c>
      <c r="T467" s="8">
        <v>5</v>
      </c>
      <c r="U467" s="8">
        <v>2.4</v>
      </c>
      <c r="V467" s="17">
        <v>2.4</v>
      </c>
      <c r="AD467" s="1"/>
      <c r="AE467" s="3"/>
      <c r="AF467" s="2"/>
      <c r="AG467" s="3"/>
      <c r="AH467" s="3"/>
      <c r="AI467" s="3"/>
      <c r="AJ467" s="1"/>
      <c r="AK467" s="1"/>
    </row>
    <row r="468" spans="1:37" x14ac:dyDescent="0.3">
      <c r="A468" s="14">
        <v>638</v>
      </c>
      <c r="B468" s="14">
        <v>3</v>
      </c>
      <c r="C468" s="9" t="s">
        <v>1659</v>
      </c>
      <c r="D468" s="9" t="s">
        <v>411</v>
      </c>
      <c r="E468" s="9" t="s">
        <v>2145</v>
      </c>
      <c r="F468" s="9" t="s">
        <v>2146</v>
      </c>
      <c r="G468" s="9">
        <v>4</v>
      </c>
      <c r="H468" s="9"/>
      <c r="I468" s="9"/>
      <c r="J468" s="9"/>
      <c r="K468" s="9" t="b">
        <v>0</v>
      </c>
      <c r="L468" s="9" t="s">
        <v>777</v>
      </c>
      <c r="M468" s="9" t="b">
        <v>0</v>
      </c>
      <c r="N468" s="9" t="s">
        <v>2147</v>
      </c>
      <c r="O468" s="9" t="s">
        <v>3813</v>
      </c>
      <c r="P468" s="7">
        <v>1001</v>
      </c>
      <c r="Q468" s="7">
        <v>955</v>
      </c>
      <c r="R468" s="7">
        <v>660</v>
      </c>
      <c r="S468" s="7">
        <v>159</v>
      </c>
      <c r="T468" s="8">
        <v>3.3</v>
      </c>
      <c r="U468" s="8">
        <v>2.2999999999999998</v>
      </c>
      <c r="V468" s="17">
        <v>2.2999999999999998</v>
      </c>
      <c r="AD468" s="1"/>
      <c r="AE468" s="3"/>
      <c r="AF468" s="2"/>
      <c r="AG468" s="3"/>
      <c r="AH468" s="3"/>
      <c r="AI468" s="3"/>
      <c r="AJ468" s="1"/>
      <c r="AK468" s="1"/>
    </row>
    <row r="469" spans="1:37" x14ac:dyDescent="0.3">
      <c r="A469" s="14">
        <v>674</v>
      </c>
      <c r="B469" s="14">
        <v>3</v>
      </c>
      <c r="C469" s="9" t="s">
        <v>1659</v>
      </c>
      <c r="D469" s="9" t="s">
        <v>411</v>
      </c>
      <c r="E469" s="9" t="s">
        <v>2259</v>
      </c>
      <c r="F469" s="9" t="s">
        <v>2260</v>
      </c>
      <c r="G469" s="9">
        <v>1</v>
      </c>
      <c r="H469" s="9"/>
      <c r="I469" s="9"/>
      <c r="J469" s="9"/>
      <c r="K469" s="9" t="b">
        <v>0</v>
      </c>
      <c r="L469" s="9" t="s">
        <v>772</v>
      </c>
      <c r="M469" s="9" t="b">
        <v>0</v>
      </c>
      <c r="N469" s="9" t="s">
        <v>2261</v>
      </c>
      <c r="O469" s="9" t="s">
        <v>3849</v>
      </c>
      <c r="P469" s="7">
        <v>926</v>
      </c>
      <c r="Q469" s="7">
        <v>889</v>
      </c>
      <c r="R469" s="7">
        <v>480</v>
      </c>
      <c r="S469" s="7">
        <v>146</v>
      </c>
      <c r="T469" s="8">
        <v>3.6</v>
      </c>
      <c r="U469" s="8">
        <v>2.2999999999999998</v>
      </c>
      <c r="V469" s="17">
        <v>2.2999999999999998</v>
      </c>
      <c r="AD469" s="1"/>
      <c r="AE469" s="3"/>
      <c r="AF469" s="3"/>
      <c r="AG469" s="3"/>
      <c r="AH469" s="3"/>
      <c r="AI469" s="3"/>
      <c r="AJ469" s="1"/>
      <c r="AK469" s="1"/>
    </row>
    <row r="470" spans="1:37" x14ac:dyDescent="0.3">
      <c r="A470" s="14">
        <v>518</v>
      </c>
      <c r="B470" s="14">
        <v>1</v>
      </c>
      <c r="C470" s="9" t="s">
        <v>1659</v>
      </c>
      <c r="D470" s="9" t="s">
        <v>1</v>
      </c>
      <c r="E470" s="9" t="s">
        <v>1774</v>
      </c>
      <c r="F470" s="9" t="s">
        <v>1775</v>
      </c>
      <c r="G470" s="9">
        <v>1</v>
      </c>
      <c r="H470" s="9"/>
      <c r="I470" s="9"/>
      <c r="J470" s="9"/>
      <c r="K470" s="9" t="b">
        <v>0</v>
      </c>
      <c r="L470" s="9" t="s">
        <v>7</v>
      </c>
      <c r="M470" s="9" t="b">
        <v>0</v>
      </c>
      <c r="N470" s="9" t="s">
        <v>1776</v>
      </c>
      <c r="O470" s="9" t="s">
        <v>3693</v>
      </c>
      <c r="P470" s="7">
        <v>1328</v>
      </c>
      <c r="Q470" s="7">
        <v>888</v>
      </c>
      <c r="R470" s="7">
        <v>523</v>
      </c>
      <c r="S470" s="7">
        <v>213</v>
      </c>
      <c r="T470" s="8">
        <v>5.2</v>
      </c>
      <c r="U470" s="8">
        <v>2.2999999999999998</v>
      </c>
      <c r="V470" s="17">
        <v>2.2999999999999998</v>
      </c>
      <c r="AD470" s="1"/>
      <c r="AE470" s="3"/>
      <c r="AF470" s="2"/>
      <c r="AG470" s="3"/>
      <c r="AH470" s="3"/>
      <c r="AI470" s="3"/>
      <c r="AJ470" s="1"/>
      <c r="AK470" s="1"/>
    </row>
    <row r="471" spans="1:37" x14ac:dyDescent="0.3">
      <c r="A471" s="14">
        <v>582</v>
      </c>
      <c r="B471" s="14">
        <v>2</v>
      </c>
      <c r="C471" s="9" t="s">
        <v>1659</v>
      </c>
      <c r="D471" s="9" t="s">
        <v>180</v>
      </c>
      <c r="E471" s="9" t="s">
        <v>1971</v>
      </c>
      <c r="F471" s="9" t="s">
        <v>1972</v>
      </c>
      <c r="G471" s="9">
        <v>3</v>
      </c>
      <c r="H471" s="9"/>
      <c r="I471" s="9"/>
      <c r="J471" s="9"/>
      <c r="K471" s="9" t="b">
        <v>0</v>
      </c>
      <c r="L471" s="9" t="s">
        <v>198</v>
      </c>
      <c r="M471" s="9" t="b">
        <v>0</v>
      </c>
      <c r="N471" s="9" t="s">
        <v>1973</v>
      </c>
      <c r="O471" s="9" t="s">
        <v>3757</v>
      </c>
      <c r="P471" s="7">
        <v>1302</v>
      </c>
      <c r="Q471" s="7">
        <v>1088</v>
      </c>
      <c r="R471" s="7">
        <v>706</v>
      </c>
      <c r="S471" s="7">
        <v>211</v>
      </c>
      <c r="T471" s="8">
        <v>4.5</v>
      </c>
      <c r="U471" s="8">
        <v>2.2999999999999998</v>
      </c>
      <c r="V471" s="17">
        <v>2.2999999999999998</v>
      </c>
      <c r="AD471" s="1"/>
      <c r="AE471" s="3"/>
      <c r="AF471" s="2"/>
      <c r="AG471" s="3"/>
      <c r="AH471" s="3"/>
      <c r="AI471" s="3"/>
      <c r="AJ471" s="1"/>
      <c r="AK471" s="1"/>
    </row>
    <row r="472" spans="1:37" x14ac:dyDescent="0.3">
      <c r="A472" s="14">
        <v>713</v>
      </c>
      <c r="B472" s="14">
        <v>3</v>
      </c>
      <c r="C472" s="9" t="s">
        <v>1659</v>
      </c>
      <c r="D472" s="9" t="s">
        <v>411</v>
      </c>
      <c r="E472" s="9" t="s">
        <v>2378</v>
      </c>
      <c r="F472" s="9" t="s">
        <v>2379</v>
      </c>
      <c r="G472" s="9">
        <v>1</v>
      </c>
      <c r="H472" s="9"/>
      <c r="I472" s="9"/>
      <c r="J472" s="9"/>
      <c r="K472" s="9" t="b">
        <v>0</v>
      </c>
      <c r="L472" s="9" t="s">
        <v>497</v>
      </c>
      <c r="M472" s="9" t="b">
        <v>0</v>
      </c>
      <c r="N472" s="9" t="s">
        <v>2380</v>
      </c>
      <c r="O472" s="9" t="s">
        <v>3888</v>
      </c>
      <c r="P472" s="7">
        <v>978</v>
      </c>
      <c r="Q472" s="7">
        <v>826</v>
      </c>
      <c r="R472" s="7">
        <v>523</v>
      </c>
      <c r="S472" s="7">
        <v>156</v>
      </c>
      <c r="T472" s="8">
        <v>4.5</v>
      </c>
      <c r="U472" s="8">
        <v>2.2999999999999998</v>
      </c>
      <c r="V472" s="17">
        <v>2.2999999999999998</v>
      </c>
      <c r="AD472" s="1"/>
      <c r="AE472" s="3"/>
      <c r="AF472" s="2"/>
      <c r="AG472" s="3"/>
      <c r="AH472" s="3"/>
      <c r="AI472" s="3"/>
      <c r="AJ472" s="1"/>
      <c r="AK472" s="1"/>
    </row>
    <row r="473" spans="1:37" x14ac:dyDescent="0.3">
      <c r="A473" s="14">
        <v>885</v>
      </c>
      <c r="B473" s="14">
        <v>4</v>
      </c>
      <c r="C473" s="9" t="s">
        <v>1659</v>
      </c>
      <c r="D473" s="9" t="s">
        <v>1338</v>
      </c>
      <c r="E473" s="9" t="s">
        <v>2901</v>
      </c>
      <c r="F473" s="9" t="s">
        <v>2902</v>
      </c>
      <c r="G473" s="9">
        <v>4</v>
      </c>
      <c r="H473" s="9"/>
      <c r="I473" s="9"/>
      <c r="J473" s="9"/>
      <c r="K473" s="9" t="b">
        <v>0</v>
      </c>
      <c r="L473" s="9" t="s">
        <v>416</v>
      </c>
      <c r="M473" s="9" t="b">
        <v>0</v>
      </c>
      <c r="N473" s="9" t="s">
        <v>2903</v>
      </c>
      <c r="O473" s="9" t="s">
        <v>4060</v>
      </c>
      <c r="P473" s="7">
        <v>528</v>
      </c>
      <c r="Q473" s="7">
        <v>476</v>
      </c>
      <c r="R473" s="7">
        <v>388</v>
      </c>
      <c r="S473" s="7">
        <v>86</v>
      </c>
      <c r="T473" s="8">
        <v>3.5</v>
      </c>
      <c r="U473" s="8">
        <v>2.2999999999999998</v>
      </c>
      <c r="V473" s="17">
        <v>2.2999999999999998</v>
      </c>
      <c r="AD473" s="1"/>
      <c r="AE473" s="3"/>
      <c r="AF473" s="3"/>
      <c r="AG473" s="3"/>
      <c r="AH473" s="3"/>
      <c r="AI473" s="3"/>
      <c r="AJ473" s="1"/>
      <c r="AK473" s="1"/>
    </row>
    <row r="474" spans="1:37" x14ac:dyDescent="0.3">
      <c r="A474" s="14">
        <v>585</v>
      </c>
      <c r="B474" s="14">
        <v>2</v>
      </c>
      <c r="C474" s="9" t="s">
        <v>1659</v>
      </c>
      <c r="D474" s="9" t="s">
        <v>180</v>
      </c>
      <c r="E474" s="9" t="s">
        <v>1980</v>
      </c>
      <c r="F474" s="9" t="s">
        <v>1981</v>
      </c>
      <c r="G474" s="9">
        <v>1</v>
      </c>
      <c r="H474" s="9"/>
      <c r="I474" s="9"/>
      <c r="J474" s="9"/>
      <c r="K474" s="9" t="b">
        <v>0</v>
      </c>
      <c r="L474" s="9" t="s">
        <v>194</v>
      </c>
      <c r="M474" s="9" t="b">
        <v>0</v>
      </c>
      <c r="N474" s="9" t="s">
        <v>1982</v>
      </c>
      <c r="O474" s="9" t="s">
        <v>3760</v>
      </c>
      <c r="P474" s="7">
        <v>1296</v>
      </c>
      <c r="Q474" s="7">
        <v>983</v>
      </c>
      <c r="R474" s="7">
        <v>677</v>
      </c>
      <c r="S474" s="7">
        <v>212</v>
      </c>
      <c r="T474" s="8">
        <v>5.0999999999999996</v>
      </c>
      <c r="U474" s="8">
        <v>2.2999999999999998</v>
      </c>
      <c r="V474" s="17">
        <v>2.2999999999999998</v>
      </c>
      <c r="AD474" s="1"/>
      <c r="AE474" s="3"/>
      <c r="AF474" s="2"/>
      <c r="AG474" s="3"/>
      <c r="AH474" s="3"/>
      <c r="AI474" s="3"/>
      <c r="AJ474" s="1"/>
      <c r="AK474" s="1"/>
    </row>
    <row r="475" spans="1:37" x14ac:dyDescent="0.3">
      <c r="A475" s="14">
        <v>854</v>
      </c>
      <c r="B475" s="14">
        <v>1</v>
      </c>
      <c r="C475" s="9" t="s">
        <v>1659</v>
      </c>
      <c r="D475" s="9" t="s">
        <v>1208</v>
      </c>
      <c r="E475" s="9" t="s">
        <v>2806</v>
      </c>
      <c r="F475" s="9" t="s">
        <v>2807</v>
      </c>
      <c r="G475" s="9">
        <v>1</v>
      </c>
      <c r="H475" s="9"/>
      <c r="I475" s="9"/>
      <c r="J475" s="9"/>
      <c r="K475" s="9" t="b">
        <v>0</v>
      </c>
      <c r="L475" s="9" t="s">
        <v>7</v>
      </c>
      <c r="M475" s="9" t="b">
        <v>0</v>
      </c>
      <c r="N475" s="9" t="s">
        <v>2808</v>
      </c>
      <c r="O475" s="9" t="s">
        <v>4029</v>
      </c>
      <c r="P475" s="7">
        <v>1305</v>
      </c>
      <c r="Q475" s="7">
        <v>1116</v>
      </c>
      <c r="R475" s="7">
        <v>804</v>
      </c>
      <c r="S475" s="7">
        <v>207</v>
      </c>
      <c r="T475" s="8">
        <v>4.3</v>
      </c>
      <c r="U475" s="8">
        <v>2.2999999999999998</v>
      </c>
      <c r="V475" s="17">
        <v>2.2999999999999998</v>
      </c>
      <c r="AD475" s="1"/>
      <c r="AE475" s="3"/>
      <c r="AF475" s="3"/>
      <c r="AG475" s="3"/>
      <c r="AH475" s="3"/>
      <c r="AI475" s="3"/>
      <c r="AJ475" s="1"/>
      <c r="AK475" s="1"/>
    </row>
    <row r="476" spans="1:37" x14ac:dyDescent="0.3">
      <c r="A476" s="14">
        <v>545</v>
      </c>
      <c r="B476" s="14">
        <v>1</v>
      </c>
      <c r="C476" s="9" t="s">
        <v>1659</v>
      </c>
      <c r="D476" s="9" t="s">
        <v>1</v>
      </c>
      <c r="E476" s="9" t="s">
        <v>1854</v>
      </c>
      <c r="F476" s="9" t="s">
        <v>1855</v>
      </c>
      <c r="G476" s="9">
        <v>4</v>
      </c>
      <c r="H476" s="9"/>
      <c r="I476" s="9"/>
      <c r="J476" s="9"/>
      <c r="K476" s="9" t="b">
        <v>0</v>
      </c>
      <c r="L476" s="9" t="s">
        <v>7</v>
      </c>
      <c r="M476" s="9" t="b">
        <v>0</v>
      </c>
      <c r="N476" s="9" t="s">
        <v>1856</v>
      </c>
      <c r="O476" s="9" t="s">
        <v>3720</v>
      </c>
      <c r="P476" s="7">
        <v>1334</v>
      </c>
      <c r="Q476" s="7">
        <v>1229</v>
      </c>
      <c r="R476" s="7">
        <v>865</v>
      </c>
      <c r="S476" s="7">
        <v>212</v>
      </c>
      <c r="T476" s="8">
        <v>3.7</v>
      </c>
      <c r="U476" s="8">
        <v>2.2999999999999998</v>
      </c>
      <c r="V476" s="17">
        <v>2.2999999999999998</v>
      </c>
      <c r="AD476" s="1"/>
      <c r="AE476" s="3"/>
      <c r="AF476" s="2"/>
      <c r="AG476" s="2"/>
      <c r="AH476" s="2"/>
      <c r="AI476" s="3"/>
      <c r="AJ476" s="1"/>
      <c r="AK476" s="1"/>
    </row>
    <row r="477" spans="1:37" x14ac:dyDescent="0.3">
      <c r="A477" s="14">
        <v>17</v>
      </c>
      <c r="B477" s="14">
        <v>1</v>
      </c>
      <c r="C477" s="9" t="s">
        <v>0</v>
      </c>
      <c r="D477" s="9" t="s">
        <v>1</v>
      </c>
      <c r="E477" s="9" t="s">
        <v>62</v>
      </c>
      <c r="F477" s="9" t="s">
        <v>63</v>
      </c>
      <c r="G477" s="9">
        <v>1</v>
      </c>
      <c r="H477" s="9"/>
      <c r="I477" s="9" t="s">
        <v>22</v>
      </c>
      <c r="J477" s="9"/>
      <c r="K477" s="9" t="b">
        <v>0</v>
      </c>
      <c r="L477" s="9" t="s">
        <v>7</v>
      </c>
      <c r="M477" s="9" t="b">
        <v>0</v>
      </c>
      <c r="N477" s="9" t="s">
        <v>64</v>
      </c>
      <c r="O477" s="9" t="s">
        <v>3193</v>
      </c>
      <c r="P477" s="7">
        <v>1394</v>
      </c>
      <c r="Q477" s="7">
        <v>1170</v>
      </c>
      <c r="R477" s="7">
        <v>911</v>
      </c>
      <c r="S477" s="7">
        <v>223</v>
      </c>
      <c r="T477" s="8">
        <v>4</v>
      </c>
      <c r="U477" s="8">
        <v>2.2999999999999998</v>
      </c>
      <c r="V477" s="17">
        <v>2.2999999999999998</v>
      </c>
      <c r="AD477" s="1"/>
      <c r="AE477" s="3"/>
      <c r="AF477" s="2"/>
      <c r="AG477" s="2"/>
      <c r="AH477" s="3"/>
      <c r="AI477" s="3"/>
      <c r="AJ477" s="1"/>
      <c r="AK477" s="1"/>
    </row>
    <row r="478" spans="1:37" x14ac:dyDescent="0.3">
      <c r="A478" s="14">
        <v>157</v>
      </c>
      <c r="B478" s="14">
        <v>3</v>
      </c>
      <c r="C478" s="9" t="s">
        <v>0</v>
      </c>
      <c r="D478" s="9" t="s">
        <v>411</v>
      </c>
      <c r="E478" s="9" t="s">
        <v>595</v>
      </c>
      <c r="F478" s="9" t="s">
        <v>596</v>
      </c>
      <c r="G478" s="9">
        <v>1</v>
      </c>
      <c r="H478" s="9"/>
      <c r="I478" s="9" t="s">
        <v>5</v>
      </c>
      <c r="J478" s="9">
        <v>1</v>
      </c>
      <c r="K478" s="9" t="b">
        <v>0</v>
      </c>
      <c r="L478" s="9" t="s">
        <v>598</v>
      </c>
      <c r="M478" s="9" t="b">
        <v>1</v>
      </c>
      <c r="N478" s="9" t="s">
        <v>597</v>
      </c>
      <c r="O478" s="9" t="s">
        <v>3333</v>
      </c>
      <c r="P478" s="7">
        <v>1235</v>
      </c>
      <c r="Q478" s="7">
        <v>1043</v>
      </c>
      <c r="R478" s="7">
        <v>706</v>
      </c>
      <c r="S478" s="7">
        <v>202</v>
      </c>
      <c r="T478" s="8">
        <v>3.8</v>
      </c>
      <c r="U478" s="8">
        <v>2.2999999999999998</v>
      </c>
      <c r="V478" s="17">
        <v>2.2999999999999998</v>
      </c>
      <c r="AD478" s="1"/>
      <c r="AE478" s="3"/>
      <c r="AF478" s="2"/>
      <c r="AG478" s="3"/>
      <c r="AH478" s="3"/>
      <c r="AI478" s="3"/>
      <c r="AJ478" s="1"/>
      <c r="AK478" s="1"/>
    </row>
    <row r="479" spans="1:37" x14ac:dyDescent="0.3">
      <c r="A479" s="14">
        <v>196</v>
      </c>
      <c r="B479" s="14">
        <v>3</v>
      </c>
      <c r="C479" s="9" t="s">
        <v>0</v>
      </c>
      <c r="D479" s="9" t="s">
        <v>411</v>
      </c>
      <c r="E479" s="9" t="s">
        <v>726</v>
      </c>
      <c r="F479" s="9" t="s">
        <v>727</v>
      </c>
      <c r="G479" s="9">
        <v>1</v>
      </c>
      <c r="H479" s="9"/>
      <c r="I479" s="9" t="s">
        <v>312</v>
      </c>
      <c r="J479" s="9">
        <v>1</v>
      </c>
      <c r="K479" s="9" t="b">
        <v>0</v>
      </c>
      <c r="L479" s="9" t="s">
        <v>194</v>
      </c>
      <c r="M479" s="9" t="b">
        <v>0</v>
      </c>
      <c r="N479" s="9" t="s">
        <v>728</v>
      </c>
      <c r="O479" s="9" t="s">
        <v>3372</v>
      </c>
      <c r="P479" s="7">
        <v>1245</v>
      </c>
      <c r="Q479" s="7">
        <v>1081</v>
      </c>
      <c r="R479" s="7">
        <v>776</v>
      </c>
      <c r="S479" s="7">
        <v>197</v>
      </c>
      <c r="T479" s="8">
        <v>4.0999999999999996</v>
      </c>
      <c r="U479" s="8">
        <v>2.2999999999999998</v>
      </c>
      <c r="V479" s="17">
        <v>2.2999999999999998</v>
      </c>
      <c r="AD479" s="1"/>
      <c r="AE479" s="3"/>
      <c r="AF479" s="2"/>
      <c r="AG479" s="3"/>
      <c r="AH479" s="3"/>
      <c r="AI479" s="3"/>
      <c r="AJ479" s="1"/>
      <c r="AK479" s="1"/>
    </row>
    <row r="480" spans="1:37" x14ac:dyDescent="0.3">
      <c r="A480" s="14">
        <v>84</v>
      </c>
      <c r="B480" s="14">
        <v>2</v>
      </c>
      <c r="C480" s="9" t="s">
        <v>0</v>
      </c>
      <c r="D480" s="9" t="s">
        <v>180</v>
      </c>
      <c r="E480" s="9" t="s">
        <v>317</v>
      </c>
      <c r="F480" s="9" t="s">
        <v>318</v>
      </c>
      <c r="G480" s="9">
        <v>1</v>
      </c>
      <c r="H480" s="9" t="s">
        <v>319</v>
      </c>
      <c r="I480" s="9" t="s">
        <v>320</v>
      </c>
      <c r="J480" s="9">
        <v>2</v>
      </c>
      <c r="K480" s="9" t="b">
        <v>0</v>
      </c>
      <c r="L480" s="9" t="s">
        <v>322</v>
      </c>
      <c r="M480" s="9" t="b">
        <v>0</v>
      </c>
      <c r="N480" s="9" t="s">
        <v>321</v>
      </c>
      <c r="O480" s="9" t="s">
        <v>3260</v>
      </c>
      <c r="P480" s="7">
        <v>1371</v>
      </c>
      <c r="Q480" s="7">
        <v>1145</v>
      </c>
      <c r="R480" s="7">
        <v>819</v>
      </c>
      <c r="S480" s="7">
        <v>217</v>
      </c>
      <c r="T480" s="8">
        <v>3.1</v>
      </c>
      <c r="U480" s="8">
        <v>2.2999999999999998</v>
      </c>
      <c r="V480" s="17">
        <v>2.2999999999999998</v>
      </c>
      <c r="AD480" s="1"/>
      <c r="AE480" s="3"/>
      <c r="AF480" s="2"/>
      <c r="AG480" s="3"/>
      <c r="AH480" s="3"/>
      <c r="AI480" s="3"/>
      <c r="AJ480" s="1"/>
      <c r="AK480" s="1"/>
    </row>
    <row r="481" spans="1:37" x14ac:dyDescent="0.3">
      <c r="A481" s="14">
        <v>291</v>
      </c>
      <c r="B481" s="14">
        <v>3</v>
      </c>
      <c r="C481" s="9" t="s">
        <v>0</v>
      </c>
      <c r="D481" s="9" t="s">
        <v>411</v>
      </c>
      <c r="E481" s="9" t="s">
        <v>1042</v>
      </c>
      <c r="F481" s="9" t="s">
        <v>1043</v>
      </c>
      <c r="G481" s="9">
        <v>1</v>
      </c>
      <c r="H481" s="9"/>
      <c r="I481" s="9"/>
      <c r="J481" s="9"/>
      <c r="K481" s="9" t="b">
        <v>1</v>
      </c>
      <c r="L481" s="9" t="s">
        <v>407</v>
      </c>
      <c r="M481" s="9" t="b">
        <v>0</v>
      </c>
      <c r="N481" s="9" t="s">
        <v>1044</v>
      </c>
      <c r="O481" s="9" t="s">
        <v>3467</v>
      </c>
      <c r="P481" s="7">
        <v>1215</v>
      </c>
      <c r="Q481" s="7">
        <v>807</v>
      </c>
      <c r="R481" s="7">
        <v>706</v>
      </c>
      <c r="S481" s="7">
        <v>199</v>
      </c>
      <c r="T481" s="8">
        <v>5.2</v>
      </c>
      <c r="U481" s="8">
        <v>2.2999999999999998</v>
      </c>
      <c r="V481" s="17">
        <v>2.2999999999999998</v>
      </c>
      <c r="AD481" s="1"/>
      <c r="AE481" s="3"/>
      <c r="AF481" s="2"/>
      <c r="AG481" s="3"/>
      <c r="AH481" s="3"/>
      <c r="AI481" s="3"/>
      <c r="AJ481" s="1"/>
      <c r="AK481" s="1"/>
    </row>
    <row r="482" spans="1:37" x14ac:dyDescent="0.3">
      <c r="A482" s="14">
        <v>293</v>
      </c>
      <c r="B482" s="14">
        <v>3</v>
      </c>
      <c r="C482" s="9" t="s">
        <v>0</v>
      </c>
      <c r="D482" s="9" t="s">
        <v>411</v>
      </c>
      <c r="E482" s="9" t="s">
        <v>1048</v>
      </c>
      <c r="F482" s="9" t="s">
        <v>1049</v>
      </c>
      <c r="G482" s="9">
        <v>1</v>
      </c>
      <c r="H482" s="9" t="s">
        <v>26</v>
      </c>
      <c r="I482" s="9" t="s">
        <v>5</v>
      </c>
      <c r="J482" s="9"/>
      <c r="K482" s="9" t="b">
        <v>0</v>
      </c>
      <c r="L482" s="9" t="s">
        <v>437</v>
      </c>
      <c r="M482" s="9" t="b">
        <v>0</v>
      </c>
      <c r="N482" s="9" t="s">
        <v>1050</v>
      </c>
      <c r="O482" s="9" t="s">
        <v>3469</v>
      </c>
      <c r="P482" s="7">
        <v>529</v>
      </c>
      <c r="Q482" s="7">
        <v>467</v>
      </c>
      <c r="R482" s="7">
        <v>334</v>
      </c>
      <c r="S482" s="7">
        <v>85</v>
      </c>
      <c r="T482" s="8">
        <v>3.4</v>
      </c>
      <c r="U482" s="8">
        <v>2.2999999999999998</v>
      </c>
      <c r="V482" s="17">
        <v>2.2999999999999998</v>
      </c>
      <c r="AD482" s="1"/>
      <c r="AE482" s="3"/>
      <c r="AF482" s="2"/>
      <c r="AG482" s="3"/>
      <c r="AH482" s="3"/>
      <c r="AI482" s="3"/>
      <c r="AJ482" s="1"/>
      <c r="AK482" s="1"/>
    </row>
    <row r="483" spans="1:37" x14ac:dyDescent="0.3">
      <c r="A483" s="14">
        <v>295</v>
      </c>
      <c r="B483" s="14">
        <v>3</v>
      </c>
      <c r="C483" s="9" t="s">
        <v>0</v>
      </c>
      <c r="D483" s="9" t="s">
        <v>411</v>
      </c>
      <c r="E483" s="9" t="s">
        <v>1054</v>
      </c>
      <c r="F483" s="9" t="s">
        <v>1055</v>
      </c>
      <c r="G483" s="9">
        <v>1</v>
      </c>
      <c r="H483" s="9"/>
      <c r="I483" s="9" t="s">
        <v>22</v>
      </c>
      <c r="J483" s="9"/>
      <c r="K483" s="9" t="b">
        <v>0</v>
      </c>
      <c r="L483" s="9" t="s">
        <v>238</v>
      </c>
      <c r="M483" s="9" t="b">
        <v>0</v>
      </c>
      <c r="N483" s="9" t="s">
        <v>1056</v>
      </c>
      <c r="O483" s="9" t="s">
        <v>3471</v>
      </c>
      <c r="P483" s="7">
        <v>1238</v>
      </c>
      <c r="Q483" s="7">
        <v>917</v>
      </c>
      <c r="R483" s="7">
        <v>679</v>
      </c>
      <c r="S483" s="7">
        <v>202</v>
      </c>
      <c r="T483" s="8">
        <v>4.5999999999999996</v>
      </c>
      <c r="U483" s="8">
        <v>2.2999999999999998</v>
      </c>
      <c r="V483" s="17">
        <v>2.2999999999999998</v>
      </c>
      <c r="AD483" s="1"/>
      <c r="AE483" s="3"/>
      <c r="AF483" s="2"/>
      <c r="AG483" s="3"/>
      <c r="AH483" s="3"/>
      <c r="AI483" s="3"/>
      <c r="AJ483" s="1"/>
      <c r="AK483" s="1"/>
    </row>
    <row r="484" spans="1:37" x14ac:dyDescent="0.3">
      <c r="A484" s="14">
        <v>380</v>
      </c>
      <c r="B484" s="14">
        <v>1</v>
      </c>
      <c r="C484" s="9" t="s">
        <v>0</v>
      </c>
      <c r="D484" s="9" t="s">
        <v>1208</v>
      </c>
      <c r="E484" s="9" t="s">
        <v>1332</v>
      </c>
      <c r="F484" s="9" t="s">
        <v>1333</v>
      </c>
      <c r="G484" s="9">
        <v>1</v>
      </c>
      <c r="H484" s="9"/>
      <c r="I484" s="9" t="s">
        <v>22</v>
      </c>
      <c r="J484" s="9"/>
      <c r="K484" s="9" t="b">
        <v>0</v>
      </c>
      <c r="L484" s="9" t="s">
        <v>7</v>
      </c>
      <c r="M484" s="9" t="b">
        <v>1</v>
      </c>
      <c r="N484" s="9" t="s">
        <v>1334</v>
      </c>
      <c r="O484" s="9" t="s">
        <v>3556</v>
      </c>
      <c r="P484" s="7">
        <v>1437</v>
      </c>
      <c r="Q484" s="7">
        <v>936</v>
      </c>
      <c r="R484" s="7">
        <v>652</v>
      </c>
      <c r="S484" s="7">
        <v>231</v>
      </c>
      <c r="T484" s="8">
        <v>4.5999999999999996</v>
      </c>
      <c r="U484" s="8">
        <v>2.2999999999999998</v>
      </c>
      <c r="V484" s="17">
        <v>2.2999999999999998</v>
      </c>
      <c r="AD484" s="1"/>
      <c r="AE484" s="3"/>
      <c r="AF484" s="3"/>
      <c r="AG484" s="3"/>
      <c r="AH484" s="3"/>
      <c r="AI484" s="3"/>
      <c r="AJ484" s="1"/>
      <c r="AK484" s="1"/>
    </row>
    <row r="485" spans="1:37" x14ac:dyDescent="0.3">
      <c r="A485" s="14">
        <v>877</v>
      </c>
      <c r="B485" s="14">
        <v>4</v>
      </c>
      <c r="C485" s="9" t="s">
        <v>1659</v>
      </c>
      <c r="D485" s="9" t="s">
        <v>1338</v>
      </c>
      <c r="E485" s="9" t="s">
        <v>2876</v>
      </c>
      <c r="F485" s="9" t="s">
        <v>2877</v>
      </c>
      <c r="G485" s="9">
        <v>4</v>
      </c>
      <c r="H485" s="9"/>
      <c r="I485" s="9"/>
      <c r="J485" s="9"/>
      <c r="K485" s="9" t="b">
        <v>0</v>
      </c>
      <c r="L485" s="9" t="s">
        <v>437</v>
      </c>
      <c r="M485" s="9" t="b">
        <v>0</v>
      </c>
      <c r="N485" s="9" t="s">
        <v>2878</v>
      </c>
      <c r="O485" s="9" t="s">
        <v>4052</v>
      </c>
      <c r="P485" s="7">
        <v>474</v>
      </c>
      <c r="Q485" s="7">
        <v>383</v>
      </c>
      <c r="R485" s="7">
        <v>299</v>
      </c>
      <c r="S485" s="7">
        <v>85</v>
      </c>
      <c r="T485" s="8">
        <v>4.3</v>
      </c>
      <c r="U485" s="8">
        <v>2.6</v>
      </c>
      <c r="V485" s="26">
        <v>2.25</v>
      </c>
      <c r="W485" s="20" t="s">
        <v>4145</v>
      </c>
      <c r="AD485" s="1"/>
      <c r="AE485" s="3"/>
      <c r="AF485" s="2"/>
      <c r="AG485" s="2"/>
      <c r="AH485" s="2"/>
      <c r="AI485" s="3"/>
      <c r="AJ485" s="1"/>
      <c r="AK485" s="1"/>
    </row>
    <row r="486" spans="1:37" x14ac:dyDescent="0.3">
      <c r="A486" s="14">
        <v>712</v>
      </c>
      <c r="B486" s="14">
        <v>3</v>
      </c>
      <c r="C486" s="9" t="s">
        <v>1659</v>
      </c>
      <c r="D486" s="9" t="s">
        <v>411</v>
      </c>
      <c r="E486" s="9" t="s">
        <v>2375</v>
      </c>
      <c r="F486" s="9" t="s">
        <v>2376</v>
      </c>
      <c r="G486" s="9">
        <v>4</v>
      </c>
      <c r="H486" s="9"/>
      <c r="I486" s="9"/>
      <c r="J486" s="9"/>
      <c r="K486" s="9" t="b">
        <v>0</v>
      </c>
      <c r="L486" s="9"/>
      <c r="M486" s="9" t="b">
        <v>0</v>
      </c>
      <c r="N486" s="9" t="s">
        <v>2377</v>
      </c>
      <c r="O486" s="9" t="s">
        <v>3887</v>
      </c>
      <c r="P486" s="7">
        <v>450</v>
      </c>
      <c r="Q486" s="7">
        <v>437</v>
      </c>
      <c r="R486" s="7">
        <v>425</v>
      </c>
      <c r="S486" s="7">
        <v>152</v>
      </c>
      <c r="T486" s="8">
        <v>1.6</v>
      </c>
      <c r="U486" s="8">
        <v>4.8</v>
      </c>
      <c r="V486" s="26">
        <v>2.25</v>
      </c>
      <c r="W486" s="23" t="s">
        <v>4152</v>
      </c>
      <c r="AD486" s="1"/>
      <c r="AE486" s="3"/>
      <c r="AF486" s="2"/>
      <c r="AG486" s="3"/>
      <c r="AH486" s="3"/>
      <c r="AI486" s="3"/>
      <c r="AJ486" s="1"/>
      <c r="AK486" s="1"/>
    </row>
    <row r="487" spans="1:37" x14ac:dyDescent="0.3">
      <c r="A487" s="14">
        <v>753</v>
      </c>
      <c r="B487" s="14">
        <v>3</v>
      </c>
      <c r="C487" s="9" t="s">
        <v>1659</v>
      </c>
      <c r="D487" s="9" t="s">
        <v>411</v>
      </c>
      <c r="E487" s="9" t="s">
        <v>2501</v>
      </c>
      <c r="F487" s="9" t="s">
        <v>2502</v>
      </c>
      <c r="G487" s="9">
        <v>1</v>
      </c>
      <c r="H487" s="9"/>
      <c r="I487" s="9"/>
      <c r="J487" s="9"/>
      <c r="K487" s="9" t="b">
        <v>0</v>
      </c>
      <c r="L487" s="9"/>
      <c r="M487" s="9" t="b">
        <v>0</v>
      </c>
      <c r="N487" s="9" t="s">
        <v>2503</v>
      </c>
      <c r="O487" s="9" t="s">
        <v>3928</v>
      </c>
      <c r="P487" s="7" t="e">
        <v>#N/A</v>
      </c>
      <c r="Q487" s="7" t="e">
        <v>#N/A</v>
      </c>
      <c r="R487" s="7" t="e">
        <v>#N/A</v>
      </c>
      <c r="S487" s="7" t="e">
        <v>#N/A</v>
      </c>
      <c r="T487" s="8" t="e">
        <v>#N/A</v>
      </c>
      <c r="U487" s="18" t="e">
        <v>#N/A</v>
      </c>
      <c r="V487" s="26">
        <v>2.25</v>
      </c>
      <c r="W487" s="23" t="s">
        <v>4158</v>
      </c>
      <c r="AD487" s="1"/>
      <c r="AE487" s="3"/>
      <c r="AF487" s="2"/>
      <c r="AG487" s="3"/>
      <c r="AH487" s="3"/>
      <c r="AI487" s="3"/>
      <c r="AJ487" s="1"/>
      <c r="AK487" s="1"/>
    </row>
    <row r="488" spans="1:37" x14ac:dyDescent="0.3">
      <c r="A488" s="14">
        <v>891</v>
      </c>
      <c r="B488" s="14">
        <v>4</v>
      </c>
      <c r="C488" s="9" t="s">
        <v>1659</v>
      </c>
      <c r="D488" s="9" t="s">
        <v>1338</v>
      </c>
      <c r="E488" s="9" t="s">
        <v>2919</v>
      </c>
      <c r="F488" s="9" t="s">
        <v>2920</v>
      </c>
      <c r="G488" s="9">
        <v>1</v>
      </c>
      <c r="H488" s="9"/>
      <c r="I488" s="9"/>
      <c r="J488" s="9"/>
      <c r="K488" s="9" t="b">
        <v>0</v>
      </c>
      <c r="L488" s="9" t="s">
        <v>2922</v>
      </c>
      <c r="M488" s="9" t="b">
        <v>0</v>
      </c>
      <c r="N488" s="9" t="s">
        <v>2921</v>
      </c>
      <c r="O488" s="9" t="s">
        <v>4065</v>
      </c>
      <c r="P488" s="7">
        <v>402</v>
      </c>
      <c r="Q488" s="7">
        <v>317</v>
      </c>
      <c r="R488" s="7">
        <v>269</v>
      </c>
      <c r="S488" s="7">
        <v>105</v>
      </c>
      <c r="T488" s="8">
        <v>4.3</v>
      </c>
      <c r="U488" s="8">
        <v>3.7</v>
      </c>
      <c r="V488" s="26">
        <v>2.25</v>
      </c>
      <c r="W488" s="23" t="s">
        <v>4161</v>
      </c>
      <c r="AD488" s="1"/>
      <c r="AE488" s="3"/>
      <c r="AF488" s="2"/>
      <c r="AG488" s="3"/>
      <c r="AH488" s="3"/>
      <c r="AI488" s="3"/>
      <c r="AJ488" s="1"/>
      <c r="AK488" s="1"/>
    </row>
    <row r="489" spans="1:37" x14ac:dyDescent="0.3">
      <c r="A489" s="14">
        <v>131</v>
      </c>
      <c r="B489" s="14">
        <v>3</v>
      </c>
      <c r="C489" s="9" t="s">
        <v>0</v>
      </c>
      <c r="D489" s="9" t="s">
        <v>411</v>
      </c>
      <c r="E489" s="9" t="s">
        <v>498</v>
      </c>
      <c r="F489" s="9" t="s">
        <v>499</v>
      </c>
      <c r="G489" s="9">
        <v>1</v>
      </c>
      <c r="H489" s="9"/>
      <c r="I489" s="9" t="s">
        <v>22</v>
      </c>
      <c r="J489" s="9"/>
      <c r="K489" s="9" t="b">
        <v>0</v>
      </c>
      <c r="L489" s="9" t="s">
        <v>194</v>
      </c>
      <c r="M489" s="9" t="b">
        <v>0</v>
      </c>
      <c r="N489" s="9" t="s">
        <v>500</v>
      </c>
      <c r="O489" s="9" t="s">
        <v>3307</v>
      </c>
      <c r="P489" s="7">
        <v>1326</v>
      </c>
      <c r="Q489" s="7">
        <v>1227</v>
      </c>
      <c r="R489" s="7">
        <v>984</v>
      </c>
      <c r="S489" s="7">
        <v>325</v>
      </c>
      <c r="T489" s="8">
        <v>3.2</v>
      </c>
      <c r="U489" s="8">
        <v>3.5</v>
      </c>
      <c r="V489" s="26">
        <v>2.25</v>
      </c>
      <c r="W489" s="23" t="s">
        <v>4168</v>
      </c>
      <c r="AD489" s="1"/>
      <c r="AE489" s="3"/>
      <c r="AF489" s="2"/>
      <c r="AG489" s="2"/>
      <c r="AH489" s="2"/>
      <c r="AI489" s="3"/>
      <c r="AJ489" s="1"/>
      <c r="AK489" s="1"/>
    </row>
    <row r="490" spans="1:37" x14ac:dyDescent="0.3">
      <c r="A490" s="14">
        <v>389</v>
      </c>
      <c r="B490" s="14">
        <v>4</v>
      </c>
      <c r="C490" s="9" t="s">
        <v>0</v>
      </c>
      <c r="D490" s="9" t="s">
        <v>1338</v>
      </c>
      <c r="E490" s="9" t="s">
        <v>1360</v>
      </c>
      <c r="F490" s="9" t="s">
        <v>1361</v>
      </c>
      <c r="G490" s="9">
        <v>1</v>
      </c>
      <c r="H490" s="9"/>
      <c r="I490" s="9" t="s">
        <v>51</v>
      </c>
      <c r="J490" s="9">
        <v>1</v>
      </c>
      <c r="K490" s="9" t="b">
        <v>0</v>
      </c>
      <c r="L490" s="9" t="s">
        <v>437</v>
      </c>
      <c r="M490" s="9" t="b">
        <v>0</v>
      </c>
      <c r="N490" s="9" t="s">
        <v>1362</v>
      </c>
      <c r="O490" s="9" t="s">
        <v>3565</v>
      </c>
      <c r="P490" s="7">
        <v>418</v>
      </c>
      <c r="Q490" s="7">
        <v>351</v>
      </c>
      <c r="R490" s="7">
        <v>249</v>
      </c>
      <c r="S490" s="7">
        <v>64</v>
      </c>
      <c r="T490" s="8">
        <v>4.3</v>
      </c>
      <c r="U490" s="8">
        <v>2.2000000000000002</v>
      </c>
      <c r="V490" s="26">
        <v>2.25</v>
      </c>
      <c r="W490" s="23" t="s">
        <v>4172</v>
      </c>
      <c r="AD490" s="1"/>
      <c r="AE490" s="3"/>
      <c r="AF490" s="3"/>
      <c r="AG490" s="3"/>
      <c r="AH490" s="3"/>
      <c r="AI490" s="3"/>
      <c r="AJ490" s="1"/>
      <c r="AK490" s="1"/>
    </row>
    <row r="491" spans="1:37" x14ac:dyDescent="0.3">
      <c r="A491" s="14">
        <v>791</v>
      </c>
      <c r="B491" s="14">
        <v>1</v>
      </c>
      <c r="C491" s="9" t="s">
        <v>1659</v>
      </c>
      <c r="D491" s="9" t="s">
        <v>1077</v>
      </c>
      <c r="E491" s="9" t="s">
        <v>2617</v>
      </c>
      <c r="F491" s="9" t="s">
        <v>2618</v>
      </c>
      <c r="G491" s="9">
        <v>3</v>
      </c>
      <c r="H491" s="9"/>
      <c r="I491" s="9"/>
      <c r="J491" s="9"/>
      <c r="K491" s="9" t="b">
        <v>0</v>
      </c>
      <c r="L491" s="9" t="s">
        <v>7</v>
      </c>
      <c r="M491" s="9" t="b">
        <v>0</v>
      </c>
      <c r="N491" s="9" t="s">
        <v>2619</v>
      </c>
      <c r="O491" s="9" t="s">
        <v>3966</v>
      </c>
      <c r="P491" s="7">
        <v>1319</v>
      </c>
      <c r="Q491" s="7">
        <v>1151</v>
      </c>
      <c r="R491" s="7">
        <v>692</v>
      </c>
      <c r="S491" s="7">
        <v>204</v>
      </c>
      <c r="T491" s="8">
        <v>4.7</v>
      </c>
      <c r="U491" s="8">
        <v>2.2000000000000002</v>
      </c>
      <c r="V491" s="17">
        <v>2.2000000000000002</v>
      </c>
      <c r="AD491" s="1"/>
      <c r="AE491" s="3"/>
      <c r="AF491" s="2"/>
      <c r="AG491" s="2"/>
      <c r="AH491" s="3"/>
      <c r="AI491" s="3"/>
      <c r="AJ491" s="1"/>
      <c r="AK491" s="1"/>
    </row>
    <row r="492" spans="1:37" x14ac:dyDescent="0.3">
      <c r="A492" s="14">
        <v>613</v>
      </c>
      <c r="B492" s="14">
        <v>3</v>
      </c>
      <c r="C492" s="9" t="s">
        <v>1659</v>
      </c>
      <c r="D492" s="9" t="s">
        <v>411</v>
      </c>
      <c r="E492" s="9" t="s">
        <v>2068</v>
      </c>
      <c r="F492" s="9" t="s">
        <v>2069</v>
      </c>
      <c r="G492" s="9">
        <v>4</v>
      </c>
      <c r="H492" s="9"/>
      <c r="I492" s="9"/>
      <c r="J492" s="9"/>
      <c r="K492" s="9" t="b">
        <v>0</v>
      </c>
      <c r="L492" s="9" t="s">
        <v>416</v>
      </c>
      <c r="M492" s="9" t="b">
        <v>0</v>
      </c>
      <c r="N492" s="9" t="s">
        <v>2070</v>
      </c>
      <c r="O492" s="9" t="s">
        <v>3788</v>
      </c>
      <c r="P492" s="7">
        <v>1037</v>
      </c>
      <c r="Q492" s="7">
        <v>933</v>
      </c>
      <c r="R492" s="7">
        <v>571</v>
      </c>
      <c r="S492" s="7">
        <v>158</v>
      </c>
      <c r="T492" s="8">
        <v>4.5</v>
      </c>
      <c r="U492" s="8">
        <v>2.2000000000000002</v>
      </c>
      <c r="V492" s="17">
        <v>2.2000000000000002</v>
      </c>
      <c r="AD492" s="1"/>
      <c r="AE492" s="3"/>
      <c r="AF492" s="2"/>
      <c r="AG492" s="3"/>
      <c r="AH492" s="3"/>
      <c r="AI492" s="3"/>
      <c r="AJ492" s="1"/>
      <c r="AK492" s="1"/>
    </row>
    <row r="493" spans="1:37" x14ac:dyDescent="0.3">
      <c r="A493" s="14">
        <v>492</v>
      </c>
      <c r="B493" s="14">
        <v>1</v>
      </c>
      <c r="C493" s="9" t="s">
        <v>1659</v>
      </c>
      <c r="D493" s="9" t="s">
        <v>1</v>
      </c>
      <c r="E493" s="9" t="s">
        <v>1696</v>
      </c>
      <c r="F493" s="9" t="s">
        <v>1697</v>
      </c>
      <c r="G493" s="9">
        <v>1</v>
      </c>
      <c r="H493" s="9"/>
      <c r="I493" s="9"/>
      <c r="J493" s="9"/>
      <c r="K493" s="9" t="b">
        <v>0</v>
      </c>
      <c r="L493" s="9" t="s">
        <v>7</v>
      </c>
      <c r="M493" s="9" t="b">
        <v>0</v>
      </c>
      <c r="N493" s="9" t="s">
        <v>1698</v>
      </c>
      <c r="O493" s="9" t="s">
        <v>3667</v>
      </c>
      <c r="P493" s="7">
        <v>1398</v>
      </c>
      <c r="Q493" s="7">
        <v>1151</v>
      </c>
      <c r="R493" s="7">
        <v>722</v>
      </c>
      <c r="S493" s="7">
        <v>216</v>
      </c>
      <c r="T493" s="8">
        <v>4.9000000000000004</v>
      </c>
      <c r="U493" s="8">
        <v>2.2000000000000002</v>
      </c>
      <c r="V493" s="17">
        <v>2.2000000000000002</v>
      </c>
      <c r="AD493" s="1"/>
      <c r="AE493" s="3"/>
      <c r="AF493" s="3"/>
      <c r="AG493" s="3"/>
      <c r="AH493" s="3"/>
      <c r="AI493" s="3"/>
      <c r="AJ493" s="1"/>
      <c r="AK493" s="1"/>
    </row>
    <row r="494" spans="1:37" x14ac:dyDescent="0.3">
      <c r="A494" s="14">
        <v>663</v>
      </c>
      <c r="B494" s="14">
        <v>3</v>
      </c>
      <c r="C494" s="9" t="s">
        <v>1659</v>
      </c>
      <c r="D494" s="9" t="s">
        <v>411</v>
      </c>
      <c r="E494" s="9" t="s">
        <v>2224</v>
      </c>
      <c r="F494" s="9" t="s">
        <v>2225</v>
      </c>
      <c r="G494" s="9">
        <v>3</v>
      </c>
      <c r="H494" s="9"/>
      <c r="I494" s="9"/>
      <c r="J494" s="9"/>
      <c r="K494" s="9" t="b">
        <v>0</v>
      </c>
      <c r="L494" s="9" t="s">
        <v>437</v>
      </c>
      <c r="M494" s="9" t="b">
        <v>0</v>
      </c>
      <c r="N494" s="9" t="s">
        <v>2226</v>
      </c>
      <c r="O494" s="9" t="s">
        <v>3838</v>
      </c>
      <c r="P494" s="7">
        <v>854</v>
      </c>
      <c r="Q494" s="7">
        <v>813</v>
      </c>
      <c r="R494" s="7">
        <v>589</v>
      </c>
      <c r="S494" s="7">
        <v>131</v>
      </c>
      <c r="T494" s="8">
        <v>3.5</v>
      </c>
      <c r="U494" s="8">
        <v>2.2000000000000002</v>
      </c>
      <c r="V494" s="17">
        <v>2.2000000000000002</v>
      </c>
      <c r="AD494" s="1"/>
      <c r="AE494" s="3"/>
      <c r="AF494" s="3"/>
      <c r="AG494" s="3"/>
      <c r="AH494" s="3"/>
      <c r="AI494" s="3"/>
      <c r="AJ494" s="1"/>
      <c r="AK494" s="1"/>
    </row>
    <row r="495" spans="1:37" x14ac:dyDescent="0.3">
      <c r="A495" s="14">
        <v>937</v>
      </c>
      <c r="B495" s="14">
        <v>2</v>
      </c>
      <c r="C495" s="9" t="s">
        <v>1659</v>
      </c>
      <c r="D495" s="9" t="s">
        <v>1457</v>
      </c>
      <c r="E495" s="9" t="s">
        <v>3058</v>
      </c>
      <c r="F495" s="9" t="s">
        <v>3059</v>
      </c>
      <c r="G495" s="9">
        <v>1</v>
      </c>
      <c r="H495" s="9"/>
      <c r="I495" s="9"/>
      <c r="J495" s="9"/>
      <c r="K495" s="9" t="b">
        <v>0</v>
      </c>
      <c r="L495" s="9" t="s">
        <v>1496</v>
      </c>
      <c r="M495" s="9" t="b">
        <v>0</v>
      </c>
      <c r="N495" s="9" t="s">
        <v>3060</v>
      </c>
      <c r="O495" s="9" t="s">
        <v>4109</v>
      </c>
      <c r="P495" s="7">
        <v>1337</v>
      </c>
      <c r="Q495" s="7">
        <v>1065</v>
      </c>
      <c r="R495" s="7">
        <v>652</v>
      </c>
      <c r="S495" s="7">
        <v>202</v>
      </c>
      <c r="T495" s="8">
        <v>4.3</v>
      </c>
      <c r="U495" s="8">
        <v>2.2000000000000002</v>
      </c>
      <c r="V495" s="17">
        <v>2.2000000000000002</v>
      </c>
      <c r="AD495" s="1"/>
      <c r="AE495" s="3"/>
      <c r="AF495" s="3"/>
      <c r="AG495" s="3"/>
      <c r="AH495" s="3"/>
      <c r="AI495" s="3"/>
      <c r="AJ495" s="1"/>
      <c r="AK495" s="1"/>
    </row>
    <row r="496" spans="1:37" x14ac:dyDescent="0.3">
      <c r="A496" s="14">
        <v>811</v>
      </c>
      <c r="B496" s="14">
        <v>1</v>
      </c>
      <c r="C496" s="9" t="s">
        <v>1659</v>
      </c>
      <c r="D496" s="9" t="s">
        <v>1077</v>
      </c>
      <c r="E496" s="9" t="s">
        <v>2677</v>
      </c>
      <c r="F496" s="9" t="s">
        <v>2678</v>
      </c>
      <c r="G496" s="9">
        <v>1</v>
      </c>
      <c r="H496" s="9"/>
      <c r="I496" s="9"/>
      <c r="J496" s="9"/>
      <c r="K496" s="9" t="b">
        <v>0</v>
      </c>
      <c r="L496" s="9" t="s">
        <v>7</v>
      </c>
      <c r="M496" s="9" t="b">
        <v>0</v>
      </c>
      <c r="N496" s="9" t="s">
        <v>2679</v>
      </c>
      <c r="O496" s="9" t="s">
        <v>3986</v>
      </c>
      <c r="P496" s="7">
        <v>1311</v>
      </c>
      <c r="Q496" s="7">
        <v>1028</v>
      </c>
      <c r="R496" s="7">
        <v>693</v>
      </c>
      <c r="S496" s="7">
        <v>204</v>
      </c>
      <c r="T496" s="8">
        <v>5.2</v>
      </c>
      <c r="U496" s="8">
        <v>2.2000000000000002</v>
      </c>
      <c r="V496" s="17">
        <v>2.2000000000000002</v>
      </c>
      <c r="AD496" s="1"/>
      <c r="AE496" s="3"/>
      <c r="AF496" s="2"/>
      <c r="AG496" s="2"/>
      <c r="AH496" s="2"/>
      <c r="AI496" s="3"/>
      <c r="AJ496" s="1"/>
      <c r="AK496" s="1"/>
    </row>
    <row r="497" spans="1:37" x14ac:dyDescent="0.3">
      <c r="A497" s="14">
        <v>850</v>
      </c>
      <c r="B497" s="14">
        <v>1</v>
      </c>
      <c r="C497" s="9" t="s">
        <v>1659</v>
      </c>
      <c r="D497" s="9" t="s">
        <v>1208</v>
      </c>
      <c r="E497" s="9" t="s">
        <v>2794</v>
      </c>
      <c r="F497" s="9" t="s">
        <v>2795</v>
      </c>
      <c r="G497" s="9">
        <v>1</v>
      </c>
      <c r="H497" s="9"/>
      <c r="I497" s="9"/>
      <c r="J497" s="9"/>
      <c r="K497" s="9" t="b">
        <v>0</v>
      </c>
      <c r="L497" s="9" t="s">
        <v>7</v>
      </c>
      <c r="M497" s="9" t="b">
        <v>1</v>
      </c>
      <c r="N497" s="9" t="s">
        <v>2796</v>
      </c>
      <c r="O497" s="9" t="s">
        <v>4025</v>
      </c>
      <c r="P497" s="7">
        <v>1350</v>
      </c>
      <c r="Q497" s="7">
        <v>1053</v>
      </c>
      <c r="R497" s="7">
        <v>550</v>
      </c>
      <c r="S497" s="7">
        <v>206</v>
      </c>
      <c r="T497" s="8">
        <v>5.3</v>
      </c>
      <c r="U497" s="8">
        <v>2.2000000000000002</v>
      </c>
      <c r="V497" s="17">
        <v>2.2000000000000002</v>
      </c>
      <c r="AD497" s="1"/>
      <c r="AE497" s="3"/>
      <c r="AF497" s="2"/>
      <c r="AG497" s="3"/>
      <c r="AH497" s="3"/>
      <c r="AI497" s="3"/>
      <c r="AJ497" s="1"/>
      <c r="AK497" s="1"/>
    </row>
    <row r="498" spans="1:37" x14ac:dyDescent="0.3">
      <c r="A498" s="14">
        <v>727</v>
      </c>
      <c r="B498" s="14">
        <v>3</v>
      </c>
      <c r="C498" s="9" t="s">
        <v>1659</v>
      </c>
      <c r="D498" s="9" t="s">
        <v>411</v>
      </c>
      <c r="E498" s="9" t="s">
        <v>2421</v>
      </c>
      <c r="F498" s="9" t="s">
        <v>2422</v>
      </c>
      <c r="G498" s="9">
        <v>3</v>
      </c>
      <c r="H498" s="9"/>
      <c r="I498" s="9"/>
      <c r="J498" s="9"/>
      <c r="K498" s="9" t="b">
        <v>0</v>
      </c>
      <c r="L498" s="9" t="s">
        <v>194</v>
      </c>
      <c r="M498" s="9" t="b">
        <v>0</v>
      </c>
      <c r="N498" s="9" t="s">
        <v>2423</v>
      </c>
      <c r="O498" s="9" t="s">
        <v>3902</v>
      </c>
      <c r="P498" s="7">
        <v>1190</v>
      </c>
      <c r="Q498" s="7">
        <v>1055</v>
      </c>
      <c r="R498" s="7">
        <v>775</v>
      </c>
      <c r="S498" s="7">
        <v>184</v>
      </c>
      <c r="T498" s="8">
        <v>4.0999999999999996</v>
      </c>
      <c r="U498" s="8">
        <v>2.2000000000000002</v>
      </c>
      <c r="V498" s="17">
        <v>2.2000000000000002</v>
      </c>
      <c r="AD498" s="1"/>
      <c r="AE498" s="3"/>
      <c r="AF498" s="2"/>
      <c r="AG498" s="2"/>
      <c r="AH498" s="3"/>
      <c r="AI498" s="3"/>
      <c r="AJ498" s="1"/>
      <c r="AK498" s="1"/>
    </row>
    <row r="499" spans="1:37" x14ac:dyDescent="0.3">
      <c r="A499" s="14">
        <v>860</v>
      </c>
      <c r="B499" s="14">
        <v>1</v>
      </c>
      <c r="C499" s="9" t="s">
        <v>1659</v>
      </c>
      <c r="D499" s="9" t="s">
        <v>1208</v>
      </c>
      <c r="E499" s="9" t="s">
        <v>2824</v>
      </c>
      <c r="F499" s="9" t="s">
        <v>2825</v>
      </c>
      <c r="G499" s="9">
        <v>3</v>
      </c>
      <c r="H499" s="9"/>
      <c r="I499" s="9"/>
      <c r="J499" s="9"/>
      <c r="K499" s="9" t="b">
        <v>0</v>
      </c>
      <c r="L499" s="9" t="s">
        <v>7</v>
      </c>
      <c r="M499" s="9" t="b">
        <v>0</v>
      </c>
      <c r="N499" s="9" t="s">
        <v>2826</v>
      </c>
      <c r="O499" s="9" t="s">
        <v>4035</v>
      </c>
      <c r="P499" s="7">
        <v>1347</v>
      </c>
      <c r="Q499" s="7">
        <v>1267</v>
      </c>
      <c r="R499" s="7">
        <v>831</v>
      </c>
      <c r="S499" s="7">
        <v>206</v>
      </c>
      <c r="T499" s="8">
        <v>4.2</v>
      </c>
      <c r="U499" s="8">
        <v>2.2000000000000002</v>
      </c>
      <c r="V499" s="17">
        <v>2.2000000000000002</v>
      </c>
      <c r="AD499" s="1"/>
      <c r="AE499" s="3"/>
      <c r="AF499" s="2"/>
      <c r="AG499" s="2"/>
      <c r="AH499" s="3"/>
      <c r="AI499" s="3"/>
      <c r="AJ499" s="1"/>
      <c r="AK499" s="1"/>
    </row>
    <row r="500" spans="1:37" x14ac:dyDescent="0.3">
      <c r="A500" s="14">
        <v>758</v>
      </c>
      <c r="B500" s="14">
        <v>3</v>
      </c>
      <c r="C500" s="9" t="s">
        <v>1659</v>
      </c>
      <c r="D500" s="9" t="s">
        <v>411</v>
      </c>
      <c r="E500" s="9" t="s">
        <v>2517</v>
      </c>
      <c r="F500" s="9" t="s">
        <v>2518</v>
      </c>
      <c r="G500" s="9">
        <v>3</v>
      </c>
      <c r="H500" s="9"/>
      <c r="I500" s="9"/>
      <c r="J500" s="9"/>
      <c r="K500" s="9" t="b">
        <v>0</v>
      </c>
      <c r="L500" s="9" t="s">
        <v>437</v>
      </c>
      <c r="M500" s="9" t="b">
        <v>0</v>
      </c>
      <c r="N500" s="9" t="s">
        <v>2519</v>
      </c>
      <c r="O500" s="9" t="s">
        <v>3933</v>
      </c>
      <c r="P500" s="7">
        <v>420</v>
      </c>
      <c r="Q500" s="7">
        <v>355</v>
      </c>
      <c r="R500" s="7">
        <v>249</v>
      </c>
      <c r="S500" s="7">
        <v>64</v>
      </c>
      <c r="T500" s="8">
        <v>3.8</v>
      </c>
      <c r="U500" s="8">
        <v>2.2000000000000002</v>
      </c>
      <c r="V500" s="17">
        <v>2.2000000000000002</v>
      </c>
      <c r="AD500" s="1"/>
      <c r="AE500" s="3"/>
      <c r="AF500" s="2"/>
      <c r="AG500" s="2"/>
      <c r="AH500" s="2"/>
      <c r="AI500" s="3"/>
      <c r="AJ500" s="1"/>
      <c r="AK500" s="1"/>
    </row>
    <row r="501" spans="1:37" x14ac:dyDescent="0.3">
      <c r="A501" s="14">
        <v>960</v>
      </c>
      <c r="B501" s="14">
        <v>2</v>
      </c>
      <c r="C501" s="9" t="s">
        <v>1659</v>
      </c>
      <c r="D501" s="9" t="s">
        <v>1457</v>
      </c>
      <c r="E501" s="9" t="s">
        <v>3131</v>
      </c>
      <c r="F501" s="9" t="s">
        <v>3132</v>
      </c>
      <c r="G501" s="9">
        <v>1</v>
      </c>
      <c r="H501" s="9"/>
      <c r="I501" s="9"/>
      <c r="J501" s="9"/>
      <c r="K501" s="9" t="b">
        <v>0</v>
      </c>
      <c r="L501" s="9" t="s">
        <v>3134</v>
      </c>
      <c r="M501" s="9" t="b">
        <v>1</v>
      </c>
      <c r="N501" s="9" t="s">
        <v>3133</v>
      </c>
      <c r="O501" s="9" t="s">
        <v>4132</v>
      </c>
      <c r="P501" s="7">
        <v>1254</v>
      </c>
      <c r="Q501" s="7">
        <v>1025</v>
      </c>
      <c r="R501" s="7">
        <v>569</v>
      </c>
      <c r="S501" s="7">
        <v>195</v>
      </c>
      <c r="T501" s="8">
        <v>5</v>
      </c>
      <c r="U501" s="8">
        <v>2.2000000000000002</v>
      </c>
      <c r="V501" s="17">
        <v>2.2000000000000002</v>
      </c>
      <c r="AD501" s="1"/>
      <c r="AE501" s="3"/>
      <c r="AF501" s="2"/>
      <c r="AG501" s="3"/>
      <c r="AH501" s="3"/>
      <c r="AI501" s="3"/>
      <c r="AJ501" s="1"/>
      <c r="AK501" s="1"/>
    </row>
    <row r="502" spans="1:37" x14ac:dyDescent="0.3">
      <c r="A502" s="14">
        <v>2</v>
      </c>
      <c r="B502" s="14">
        <v>1</v>
      </c>
      <c r="C502" s="9" t="s">
        <v>0</v>
      </c>
      <c r="D502" s="9" t="s">
        <v>1</v>
      </c>
      <c r="E502" s="9" t="s">
        <v>8</v>
      </c>
      <c r="F502" s="9" t="s">
        <v>9</v>
      </c>
      <c r="G502" s="9">
        <v>1</v>
      </c>
      <c r="H502" s="9" t="s">
        <v>10</v>
      </c>
      <c r="I502" s="9" t="s">
        <v>5</v>
      </c>
      <c r="J502" s="9">
        <v>1</v>
      </c>
      <c r="K502" s="9" t="b">
        <v>0</v>
      </c>
      <c r="L502" s="9" t="s">
        <v>7</v>
      </c>
      <c r="M502" s="9" t="b">
        <v>0</v>
      </c>
      <c r="N502" s="9" t="s">
        <v>11</v>
      </c>
      <c r="O502" s="9" t="s">
        <v>3178</v>
      </c>
      <c r="P502" s="7">
        <v>1367</v>
      </c>
      <c r="Q502" s="7">
        <v>1135</v>
      </c>
      <c r="R502" s="7">
        <v>791</v>
      </c>
      <c r="S502" s="7">
        <v>206</v>
      </c>
      <c r="T502" s="8">
        <v>4.5</v>
      </c>
      <c r="U502" s="8">
        <v>2.2000000000000002</v>
      </c>
      <c r="V502" s="17">
        <v>2.2000000000000002</v>
      </c>
      <c r="AD502" s="1"/>
      <c r="AE502" s="3"/>
      <c r="AF502" s="2"/>
      <c r="AG502" s="2"/>
      <c r="AH502" s="2"/>
      <c r="AI502" s="3"/>
      <c r="AJ502" s="1"/>
      <c r="AK502" s="1"/>
    </row>
    <row r="503" spans="1:37" x14ac:dyDescent="0.3">
      <c r="A503" s="14">
        <v>130</v>
      </c>
      <c r="B503" s="14">
        <v>3</v>
      </c>
      <c r="C503" s="9" t="s">
        <v>0</v>
      </c>
      <c r="D503" s="9" t="s">
        <v>411</v>
      </c>
      <c r="E503" s="9" t="s">
        <v>492</v>
      </c>
      <c r="F503" s="9" t="s">
        <v>493</v>
      </c>
      <c r="G503" s="9">
        <v>1</v>
      </c>
      <c r="H503" s="9" t="s">
        <v>494</v>
      </c>
      <c r="I503" s="9" t="s">
        <v>495</v>
      </c>
      <c r="J503" s="9"/>
      <c r="K503" s="9" t="b">
        <v>0</v>
      </c>
      <c r="L503" s="9" t="s">
        <v>497</v>
      </c>
      <c r="M503" s="9" t="b">
        <v>0</v>
      </c>
      <c r="N503" s="9" t="s">
        <v>496</v>
      </c>
      <c r="O503" s="9" t="s">
        <v>3306</v>
      </c>
      <c r="P503" s="7">
        <v>941</v>
      </c>
      <c r="Q503" s="7">
        <v>919</v>
      </c>
      <c r="R503" s="7">
        <v>504</v>
      </c>
      <c r="S503" s="7">
        <v>142</v>
      </c>
      <c r="T503" s="8">
        <v>2.8</v>
      </c>
      <c r="U503" s="8">
        <v>2.2000000000000002</v>
      </c>
      <c r="V503" s="17">
        <v>2.2000000000000002</v>
      </c>
      <c r="AD503" s="1"/>
      <c r="AE503" s="3"/>
      <c r="AF503" s="2"/>
      <c r="AG503" s="3"/>
      <c r="AH503" s="3"/>
      <c r="AI503" s="3"/>
      <c r="AJ503" s="1"/>
      <c r="AK503" s="1"/>
    </row>
    <row r="504" spans="1:37" x14ac:dyDescent="0.3">
      <c r="A504" s="14">
        <v>154</v>
      </c>
      <c r="B504" s="14">
        <v>3</v>
      </c>
      <c r="C504" s="9" t="s">
        <v>0</v>
      </c>
      <c r="D504" s="9" t="s">
        <v>411</v>
      </c>
      <c r="E504" s="9" t="s">
        <v>584</v>
      </c>
      <c r="F504" s="9" t="s">
        <v>585</v>
      </c>
      <c r="G504" s="9">
        <v>1</v>
      </c>
      <c r="H504" s="9" t="s">
        <v>586</v>
      </c>
      <c r="I504" s="9" t="s">
        <v>114</v>
      </c>
      <c r="J504" s="9">
        <v>1</v>
      </c>
      <c r="K504" s="9" t="b">
        <v>0</v>
      </c>
      <c r="L504" s="9" t="s">
        <v>497</v>
      </c>
      <c r="M504" s="9" t="b">
        <v>0</v>
      </c>
      <c r="N504" s="9" t="s">
        <v>587</v>
      </c>
      <c r="O504" s="9" t="s">
        <v>3330</v>
      </c>
      <c r="P504" s="7">
        <v>1202</v>
      </c>
      <c r="Q504" s="7">
        <v>969</v>
      </c>
      <c r="R504" s="7">
        <v>655</v>
      </c>
      <c r="S504" s="7">
        <v>182</v>
      </c>
      <c r="T504" s="8">
        <v>4.8</v>
      </c>
      <c r="U504" s="8">
        <v>2.2000000000000002</v>
      </c>
      <c r="V504" s="17">
        <v>2.2000000000000002</v>
      </c>
      <c r="AD504" s="1"/>
      <c r="AE504" s="3"/>
      <c r="AF504" s="2"/>
      <c r="AG504" s="2"/>
      <c r="AH504" s="3"/>
      <c r="AI504" s="3"/>
      <c r="AJ504" s="1"/>
      <c r="AK504" s="1"/>
    </row>
    <row r="505" spans="1:37" x14ac:dyDescent="0.3">
      <c r="A505" s="14">
        <v>169</v>
      </c>
      <c r="B505" s="14">
        <v>3</v>
      </c>
      <c r="C505" s="9" t="s">
        <v>0</v>
      </c>
      <c r="D505" s="9" t="s">
        <v>411</v>
      </c>
      <c r="E505" s="9" t="s">
        <v>637</v>
      </c>
      <c r="F505" s="9" t="s">
        <v>638</v>
      </c>
      <c r="G505" s="9">
        <v>1</v>
      </c>
      <c r="H505" s="9"/>
      <c r="I505" s="9" t="s">
        <v>77</v>
      </c>
      <c r="J505" s="9">
        <v>1</v>
      </c>
      <c r="K505" s="9" t="b">
        <v>0</v>
      </c>
      <c r="L505" s="9" t="s">
        <v>194</v>
      </c>
      <c r="M505" s="9" t="b">
        <v>0</v>
      </c>
      <c r="N505" s="9" t="s">
        <v>639</v>
      </c>
      <c r="O505" s="9" t="s">
        <v>3345</v>
      </c>
      <c r="P505" s="7">
        <v>1156</v>
      </c>
      <c r="Q505" s="7">
        <v>817</v>
      </c>
      <c r="R505" s="7">
        <v>570</v>
      </c>
      <c r="S505" s="7">
        <v>174</v>
      </c>
      <c r="T505" s="8">
        <v>5.3</v>
      </c>
      <c r="U505" s="8">
        <v>2.2000000000000002</v>
      </c>
      <c r="V505" s="17">
        <v>2.2000000000000002</v>
      </c>
      <c r="AD505" s="1"/>
      <c r="AE505" s="3"/>
      <c r="AF505" s="2"/>
      <c r="AG505" s="3"/>
      <c r="AH505" s="3"/>
      <c r="AI505" s="3"/>
      <c r="AJ505" s="1"/>
      <c r="AK505" s="1"/>
    </row>
    <row r="506" spans="1:37" x14ac:dyDescent="0.3">
      <c r="A506" s="14">
        <v>180</v>
      </c>
      <c r="B506" s="14">
        <v>3</v>
      </c>
      <c r="C506" s="9" t="s">
        <v>0</v>
      </c>
      <c r="D506" s="9" t="s">
        <v>411</v>
      </c>
      <c r="E506" s="9" t="s">
        <v>673</v>
      </c>
      <c r="F506" s="9" t="s">
        <v>674</v>
      </c>
      <c r="G506" s="9">
        <v>1</v>
      </c>
      <c r="H506" s="9" t="s">
        <v>252</v>
      </c>
      <c r="I506" s="9"/>
      <c r="J506" s="9"/>
      <c r="K506" s="9" t="b">
        <v>0</v>
      </c>
      <c r="L506" s="9" t="s">
        <v>223</v>
      </c>
      <c r="M506" s="9" t="b">
        <v>1</v>
      </c>
      <c r="N506" s="9" t="s">
        <v>675</v>
      </c>
      <c r="O506" s="9" t="s">
        <v>3356</v>
      </c>
      <c r="P506" s="7">
        <v>874</v>
      </c>
      <c r="Q506" s="7">
        <v>703</v>
      </c>
      <c r="R506" s="7">
        <v>572</v>
      </c>
      <c r="S506" s="7">
        <v>135</v>
      </c>
      <c r="T506" s="8">
        <v>3.9</v>
      </c>
      <c r="U506" s="8">
        <v>2.2000000000000002</v>
      </c>
      <c r="V506" s="17">
        <v>2.2000000000000002</v>
      </c>
      <c r="AD506" s="1"/>
      <c r="AE506" s="3"/>
      <c r="AF506" s="2"/>
      <c r="AG506" s="2"/>
      <c r="AH506" s="2"/>
      <c r="AI506" s="3"/>
      <c r="AJ506" s="1"/>
      <c r="AK506" s="1"/>
    </row>
    <row r="507" spans="1:37" x14ac:dyDescent="0.3">
      <c r="A507" s="14">
        <v>442</v>
      </c>
      <c r="B507" s="14">
        <v>2</v>
      </c>
      <c r="C507" s="9" t="s">
        <v>0</v>
      </c>
      <c r="D507" s="9" t="s">
        <v>1457</v>
      </c>
      <c r="E507" s="9" t="s">
        <v>1531</v>
      </c>
      <c r="F507" s="9" t="s">
        <v>1532</v>
      </c>
      <c r="G507" s="9">
        <v>1</v>
      </c>
      <c r="H507" s="9" t="s">
        <v>26</v>
      </c>
      <c r="I507" s="9" t="s">
        <v>1001</v>
      </c>
      <c r="J507" s="9">
        <v>1</v>
      </c>
      <c r="K507" s="9" t="b">
        <v>0</v>
      </c>
      <c r="L507" s="9" t="s">
        <v>344</v>
      </c>
      <c r="M507" s="9" t="b">
        <v>0</v>
      </c>
      <c r="N507" s="9" t="s">
        <v>1533</v>
      </c>
      <c r="O507" s="9" t="s">
        <v>3617</v>
      </c>
      <c r="P507" s="7">
        <v>1335</v>
      </c>
      <c r="Q507" s="7">
        <v>1089</v>
      </c>
      <c r="R507" s="7">
        <v>687</v>
      </c>
      <c r="S507" s="7">
        <v>207</v>
      </c>
      <c r="T507" s="8">
        <v>4.0999999999999996</v>
      </c>
      <c r="U507" s="8">
        <v>2.2000000000000002</v>
      </c>
      <c r="V507" s="17">
        <v>2.2000000000000002</v>
      </c>
      <c r="AD507" s="1"/>
      <c r="AE507" s="3"/>
      <c r="AF507" s="2"/>
      <c r="AG507" s="3"/>
      <c r="AH507" s="3"/>
      <c r="AI507" s="3"/>
      <c r="AJ507" s="1"/>
      <c r="AK507" s="1"/>
    </row>
    <row r="508" spans="1:37" x14ac:dyDescent="0.3">
      <c r="A508" s="14">
        <v>189</v>
      </c>
      <c r="B508" s="14">
        <v>3</v>
      </c>
      <c r="C508" s="9" t="s">
        <v>0</v>
      </c>
      <c r="D508" s="9" t="s">
        <v>411</v>
      </c>
      <c r="E508" s="9" t="s">
        <v>704</v>
      </c>
      <c r="F508" s="10" t="s">
        <v>705</v>
      </c>
      <c r="G508" s="9">
        <v>1</v>
      </c>
      <c r="H508" s="9" t="s">
        <v>273</v>
      </c>
      <c r="I508" s="9"/>
      <c r="J508" s="9">
        <v>1</v>
      </c>
      <c r="K508" s="9" t="b">
        <v>0</v>
      </c>
      <c r="L508" s="9" t="s">
        <v>223</v>
      </c>
      <c r="M508" s="9" t="b">
        <v>0</v>
      </c>
      <c r="N508" s="9" t="s">
        <v>706</v>
      </c>
      <c r="O508" s="9" t="s">
        <v>3365</v>
      </c>
      <c r="P508" s="7">
        <v>1149</v>
      </c>
      <c r="Q508" s="7">
        <v>816</v>
      </c>
      <c r="R508" s="7">
        <v>516</v>
      </c>
      <c r="S508" s="7">
        <v>175</v>
      </c>
      <c r="T508" s="8">
        <v>5.2</v>
      </c>
      <c r="U508" s="8">
        <v>2.2000000000000002</v>
      </c>
      <c r="V508" s="17">
        <v>2.2000000000000002</v>
      </c>
      <c r="AD508" s="1"/>
      <c r="AE508" s="3"/>
      <c r="AF508" s="3"/>
      <c r="AG508" s="3"/>
      <c r="AH508" s="3"/>
      <c r="AI508" s="3"/>
      <c r="AJ508" s="1"/>
      <c r="AK508" s="1"/>
    </row>
    <row r="509" spans="1:37" x14ac:dyDescent="0.3">
      <c r="A509" s="14">
        <v>74</v>
      </c>
      <c r="B509" s="14">
        <v>2</v>
      </c>
      <c r="C509" s="9" t="s">
        <v>0</v>
      </c>
      <c r="D509" s="9" t="s">
        <v>180</v>
      </c>
      <c r="E509" s="9" t="s">
        <v>276</v>
      </c>
      <c r="F509" s="9" t="s">
        <v>277</v>
      </c>
      <c r="G509" s="9">
        <v>1</v>
      </c>
      <c r="H509" s="9"/>
      <c r="I509" s="9" t="s">
        <v>278</v>
      </c>
      <c r="J509" s="9"/>
      <c r="K509" s="9" t="b">
        <v>0</v>
      </c>
      <c r="L509" s="9" t="s">
        <v>234</v>
      </c>
      <c r="M509" s="9" t="b">
        <v>0</v>
      </c>
      <c r="N509" s="9" t="s">
        <v>279</v>
      </c>
      <c r="O509" s="9" t="s">
        <v>3250</v>
      </c>
      <c r="P509" s="7">
        <v>1356</v>
      </c>
      <c r="Q509" s="7">
        <v>1102</v>
      </c>
      <c r="R509" s="7">
        <v>729</v>
      </c>
      <c r="S509" s="7">
        <v>207</v>
      </c>
      <c r="T509" s="8">
        <v>4.2</v>
      </c>
      <c r="U509" s="8">
        <v>2.2000000000000002</v>
      </c>
      <c r="V509" s="17">
        <v>2.2000000000000002</v>
      </c>
      <c r="AD509" s="1"/>
      <c r="AE509" s="3"/>
      <c r="AF509" s="3"/>
      <c r="AG509" s="3"/>
      <c r="AH509" s="3"/>
      <c r="AI509" s="3"/>
      <c r="AJ509" s="1"/>
      <c r="AK509" s="1"/>
    </row>
    <row r="510" spans="1:37" x14ac:dyDescent="0.3">
      <c r="A510" s="14">
        <v>359</v>
      </c>
      <c r="B510" s="14">
        <v>1</v>
      </c>
      <c r="C510" s="9" t="s">
        <v>0</v>
      </c>
      <c r="D510" s="9" t="s">
        <v>1208</v>
      </c>
      <c r="E510" s="9" t="s">
        <v>1265</v>
      </c>
      <c r="F510" s="9" t="s">
        <v>1266</v>
      </c>
      <c r="G510" s="9">
        <v>1</v>
      </c>
      <c r="H510" s="9" t="s">
        <v>10</v>
      </c>
      <c r="I510" s="9" t="s">
        <v>5</v>
      </c>
      <c r="J510" s="9">
        <v>1</v>
      </c>
      <c r="K510" s="9" t="b">
        <v>0</v>
      </c>
      <c r="L510" s="9" t="s">
        <v>7</v>
      </c>
      <c r="M510" s="9" t="b">
        <v>0</v>
      </c>
      <c r="N510" s="9" t="s">
        <v>1267</v>
      </c>
      <c r="O510" s="9" t="s">
        <v>3535</v>
      </c>
      <c r="P510" s="7">
        <v>1456</v>
      </c>
      <c r="Q510" s="7">
        <v>1260</v>
      </c>
      <c r="R510" s="7">
        <v>917</v>
      </c>
      <c r="S510" s="7">
        <v>222</v>
      </c>
      <c r="T510" s="8">
        <v>4</v>
      </c>
      <c r="U510" s="8">
        <v>2.2000000000000002</v>
      </c>
      <c r="V510" s="17">
        <v>2.2000000000000002</v>
      </c>
      <c r="AD510" s="1"/>
      <c r="AE510" s="3"/>
      <c r="AF510" s="3"/>
      <c r="AG510" s="3"/>
      <c r="AH510" s="3"/>
      <c r="AI510" s="3"/>
      <c r="AJ510" s="1"/>
      <c r="AK510" s="1"/>
    </row>
    <row r="511" spans="1:37" x14ac:dyDescent="0.3">
      <c r="A511" s="14">
        <v>77</v>
      </c>
      <c r="B511" s="14">
        <v>2</v>
      </c>
      <c r="C511" s="9" t="s">
        <v>0</v>
      </c>
      <c r="D511" s="9" t="s">
        <v>180</v>
      </c>
      <c r="E511" s="9" t="s">
        <v>287</v>
      </c>
      <c r="F511" s="9" t="s">
        <v>288</v>
      </c>
      <c r="G511" s="9">
        <v>1</v>
      </c>
      <c r="H511" s="9" t="s">
        <v>289</v>
      </c>
      <c r="I511" s="9" t="s">
        <v>290</v>
      </c>
      <c r="J511" s="9">
        <v>1</v>
      </c>
      <c r="K511" s="9" t="b">
        <v>0</v>
      </c>
      <c r="L511" s="9" t="s">
        <v>292</v>
      </c>
      <c r="M511" s="9" t="b">
        <v>0</v>
      </c>
      <c r="N511" s="9" t="s">
        <v>291</v>
      </c>
      <c r="O511" s="9" t="s">
        <v>3253</v>
      </c>
      <c r="P511" s="7">
        <v>1391</v>
      </c>
      <c r="Q511" s="7">
        <v>1007</v>
      </c>
      <c r="R511" s="7">
        <v>548</v>
      </c>
      <c r="S511" s="7">
        <v>212</v>
      </c>
      <c r="T511" s="8">
        <v>4.5</v>
      </c>
      <c r="U511" s="8">
        <v>2.2000000000000002</v>
      </c>
      <c r="V511" s="17">
        <v>2.2000000000000002</v>
      </c>
      <c r="AD511" s="1"/>
      <c r="AE511" s="3"/>
      <c r="AF511" s="2"/>
      <c r="AG511" s="2"/>
      <c r="AH511" s="2"/>
      <c r="AI511" s="3"/>
      <c r="AJ511" s="1"/>
      <c r="AK511" s="1"/>
    </row>
    <row r="512" spans="1:37" x14ac:dyDescent="0.3">
      <c r="A512" s="14">
        <v>454</v>
      </c>
      <c r="B512" s="14">
        <v>2</v>
      </c>
      <c r="C512" s="9" t="s">
        <v>0</v>
      </c>
      <c r="D512" s="9" t="s">
        <v>1457</v>
      </c>
      <c r="E512" s="9" t="s">
        <v>1575</v>
      </c>
      <c r="F512" s="9" t="s">
        <v>1576</v>
      </c>
      <c r="G512" s="9">
        <v>1</v>
      </c>
      <c r="H512" s="9" t="s">
        <v>1127</v>
      </c>
      <c r="I512" s="9" t="s">
        <v>118</v>
      </c>
      <c r="J512" s="9">
        <v>5</v>
      </c>
      <c r="K512" s="9" t="b">
        <v>0</v>
      </c>
      <c r="L512" s="9" t="s">
        <v>309</v>
      </c>
      <c r="M512" s="9" t="b">
        <v>0</v>
      </c>
      <c r="N512" s="9" t="s">
        <v>1577</v>
      </c>
      <c r="O512" s="9" t="s">
        <v>3629</v>
      </c>
      <c r="P512" s="7">
        <v>1393</v>
      </c>
      <c r="Q512" s="7">
        <v>960</v>
      </c>
      <c r="R512" s="7">
        <v>508</v>
      </c>
      <c r="S512" s="7">
        <v>218</v>
      </c>
      <c r="T512" s="8">
        <v>5</v>
      </c>
      <c r="U512" s="8">
        <v>2.2000000000000002</v>
      </c>
      <c r="V512" s="17">
        <v>2.2000000000000002</v>
      </c>
      <c r="AD512" s="1"/>
      <c r="AE512" s="3"/>
      <c r="AF512" s="2"/>
      <c r="AG512" s="2"/>
      <c r="AH512" s="2"/>
      <c r="AI512" s="3"/>
      <c r="AJ512" s="1"/>
      <c r="AK512" s="1"/>
    </row>
    <row r="513" spans="1:37" x14ac:dyDescent="0.3">
      <c r="A513" s="14">
        <v>262</v>
      </c>
      <c r="B513" s="14">
        <v>3</v>
      </c>
      <c r="C513" s="9" t="s">
        <v>0</v>
      </c>
      <c r="D513" s="9" t="s">
        <v>411</v>
      </c>
      <c r="E513" s="9" t="s">
        <v>951</v>
      </c>
      <c r="F513" s="9" t="s">
        <v>952</v>
      </c>
      <c r="G513" s="9">
        <v>1</v>
      </c>
      <c r="H513" s="9"/>
      <c r="I513" s="9"/>
      <c r="J513" s="9"/>
      <c r="K513" s="9" t="b">
        <v>0</v>
      </c>
      <c r="L513" s="9" t="s">
        <v>497</v>
      </c>
      <c r="M513" s="9" t="b">
        <v>0</v>
      </c>
      <c r="N513" s="9" t="s">
        <v>953</v>
      </c>
      <c r="O513" s="9" t="s">
        <v>3438</v>
      </c>
      <c r="P513" s="7">
        <v>1188</v>
      </c>
      <c r="Q513" s="7">
        <v>806</v>
      </c>
      <c r="R513" s="7">
        <v>689</v>
      </c>
      <c r="S513" s="7">
        <v>181</v>
      </c>
      <c r="T513" s="8">
        <v>5.2</v>
      </c>
      <c r="U513" s="8">
        <v>2.2000000000000002</v>
      </c>
      <c r="V513" s="17">
        <v>2.2000000000000002</v>
      </c>
      <c r="AD513" s="1"/>
      <c r="AE513" s="3"/>
      <c r="AF513" s="2"/>
      <c r="AG513" s="3"/>
      <c r="AH513" s="3"/>
      <c r="AI513" s="3"/>
      <c r="AJ513" s="1"/>
      <c r="AK513" s="1"/>
    </row>
    <row r="514" spans="1:37" x14ac:dyDescent="0.3">
      <c r="A514" s="14">
        <v>270</v>
      </c>
      <c r="B514" s="14">
        <v>3</v>
      </c>
      <c r="C514" s="9" t="s">
        <v>0</v>
      </c>
      <c r="D514" s="9" t="s">
        <v>411</v>
      </c>
      <c r="E514" s="9" t="s">
        <v>975</v>
      </c>
      <c r="F514" s="9" t="s">
        <v>976</v>
      </c>
      <c r="G514" s="9">
        <v>1</v>
      </c>
      <c r="H514" s="9"/>
      <c r="I514" s="9" t="s">
        <v>88</v>
      </c>
      <c r="J514" s="9">
        <v>1</v>
      </c>
      <c r="K514" s="9" t="b">
        <v>0</v>
      </c>
      <c r="L514" s="9" t="s">
        <v>194</v>
      </c>
      <c r="M514" s="9" t="b">
        <v>0</v>
      </c>
      <c r="N514" s="9" t="s">
        <v>977</v>
      </c>
      <c r="O514" s="9" t="s">
        <v>3446</v>
      </c>
      <c r="P514" s="7">
        <v>1216</v>
      </c>
      <c r="Q514" s="7">
        <v>1027</v>
      </c>
      <c r="R514" s="7">
        <v>678</v>
      </c>
      <c r="S514" s="7">
        <v>189</v>
      </c>
      <c r="T514" s="8">
        <v>4.4000000000000004</v>
      </c>
      <c r="U514" s="8">
        <v>2.2000000000000002</v>
      </c>
      <c r="V514" s="17">
        <v>2.2000000000000002</v>
      </c>
      <c r="AD514" s="1"/>
      <c r="AE514" s="3"/>
      <c r="AF514" s="2"/>
      <c r="AG514" s="2"/>
      <c r="AH514" s="3"/>
      <c r="AI514" s="3"/>
      <c r="AJ514" s="1"/>
      <c r="AK514" s="1"/>
    </row>
    <row r="515" spans="1:37" x14ac:dyDescent="0.3">
      <c r="A515" s="14">
        <v>271</v>
      </c>
      <c r="B515" s="14">
        <v>3</v>
      </c>
      <c r="C515" s="9" t="s">
        <v>0</v>
      </c>
      <c r="D515" s="9" t="s">
        <v>411</v>
      </c>
      <c r="E515" s="9" t="s">
        <v>978</v>
      </c>
      <c r="F515" s="9" t="s">
        <v>979</v>
      </c>
      <c r="G515" s="9">
        <v>1</v>
      </c>
      <c r="H515" s="9"/>
      <c r="I515" s="9"/>
      <c r="J515" s="9"/>
      <c r="K515" s="9" t="b">
        <v>0</v>
      </c>
      <c r="L515" s="9" t="s">
        <v>497</v>
      </c>
      <c r="M515" s="9" t="b">
        <v>0</v>
      </c>
      <c r="N515" s="9" t="s">
        <v>980</v>
      </c>
      <c r="O515" s="9" t="s">
        <v>3447</v>
      </c>
      <c r="P515" s="7">
        <v>1229</v>
      </c>
      <c r="Q515" s="7">
        <v>811</v>
      </c>
      <c r="R515" s="7">
        <v>664</v>
      </c>
      <c r="S515" s="7">
        <v>193</v>
      </c>
      <c r="T515" s="8">
        <v>4.9000000000000004</v>
      </c>
      <c r="U515" s="8">
        <v>2.2000000000000002</v>
      </c>
      <c r="V515" s="17">
        <v>2.2000000000000002</v>
      </c>
      <c r="AD515" s="1"/>
      <c r="AE515" s="3"/>
      <c r="AF515" s="2"/>
      <c r="AG515" s="3"/>
      <c r="AH515" s="3"/>
      <c r="AI515" s="3"/>
      <c r="AJ515" s="1"/>
      <c r="AK515" s="1"/>
    </row>
    <row r="516" spans="1:37" x14ac:dyDescent="0.3">
      <c r="A516" s="14">
        <v>475</v>
      </c>
      <c r="B516" s="14">
        <v>2</v>
      </c>
      <c r="C516" s="9" t="s">
        <v>0</v>
      </c>
      <c r="D516" s="9" t="s">
        <v>1457</v>
      </c>
      <c r="E516" s="9" t="s">
        <v>1642</v>
      </c>
      <c r="F516" s="9" t="s">
        <v>1643</v>
      </c>
      <c r="G516" s="9">
        <v>1</v>
      </c>
      <c r="H516" s="9" t="s">
        <v>252</v>
      </c>
      <c r="I516" s="9"/>
      <c r="J516" s="9">
        <v>1</v>
      </c>
      <c r="K516" s="9" t="b">
        <v>0</v>
      </c>
      <c r="L516" s="9" t="s">
        <v>1482</v>
      </c>
      <c r="M516" s="9" t="b">
        <v>0</v>
      </c>
      <c r="N516" s="9" t="s">
        <v>1644</v>
      </c>
      <c r="O516" s="9" t="s">
        <v>3650</v>
      </c>
      <c r="P516" s="7">
        <v>1416</v>
      </c>
      <c r="Q516" s="7">
        <v>883</v>
      </c>
      <c r="R516" s="7">
        <v>668</v>
      </c>
      <c r="S516" s="7">
        <v>218</v>
      </c>
      <c r="T516" s="8">
        <v>4.5999999999999996</v>
      </c>
      <c r="U516" s="8">
        <v>2.2000000000000002</v>
      </c>
      <c r="V516" s="17">
        <v>2.2000000000000002</v>
      </c>
      <c r="AD516" s="1"/>
      <c r="AE516" s="3"/>
      <c r="AF516" s="2"/>
      <c r="AG516" s="2"/>
      <c r="AH516" s="3"/>
      <c r="AI516" s="3"/>
      <c r="AJ516" s="1"/>
      <c r="AK516" s="1"/>
    </row>
    <row r="517" spans="1:37" x14ac:dyDescent="0.3">
      <c r="A517" s="14">
        <v>803</v>
      </c>
      <c r="B517" s="14">
        <v>1</v>
      </c>
      <c r="C517" s="9" t="s">
        <v>1659</v>
      </c>
      <c r="D517" s="9" t="s">
        <v>1077</v>
      </c>
      <c r="E517" s="9" t="s">
        <v>2653</v>
      </c>
      <c r="F517" s="9" t="s">
        <v>2654</v>
      </c>
      <c r="G517" s="9">
        <v>1</v>
      </c>
      <c r="H517" s="9"/>
      <c r="I517" s="9"/>
      <c r="J517" s="9"/>
      <c r="K517" s="9" t="b">
        <v>0</v>
      </c>
      <c r="L517" s="9" t="s">
        <v>7</v>
      </c>
      <c r="M517" s="9" t="b">
        <v>0</v>
      </c>
      <c r="N517" s="9" t="s">
        <v>2655</v>
      </c>
      <c r="O517" s="9" t="s">
        <v>3978</v>
      </c>
      <c r="P517" s="7">
        <v>1306</v>
      </c>
      <c r="Q517" s="7">
        <v>1079</v>
      </c>
      <c r="R517" s="7">
        <v>809</v>
      </c>
      <c r="S517" s="7">
        <v>190</v>
      </c>
      <c r="T517" s="8">
        <v>4.3</v>
      </c>
      <c r="U517" s="8">
        <v>2.1</v>
      </c>
      <c r="V517" s="17">
        <v>2.1</v>
      </c>
      <c r="AD517" s="1"/>
      <c r="AE517" s="3"/>
      <c r="AF517" s="2"/>
      <c r="AG517" s="3"/>
      <c r="AH517" s="3"/>
      <c r="AI517" s="3"/>
      <c r="AJ517" s="1"/>
      <c r="AK517" s="1"/>
    </row>
    <row r="518" spans="1:37" x14ac:dyDescent="0.3">
      <c r="A518" s="14">
        <v>671</v>
      </c>
      <c r="B518" s="14">
        <v>3</v>
      </c>
      <c r="C518" s="9" t="s">
        <v>1659</v>
      </c>
      <c r="D518" s="9" t="s">
        <v>411</v>
      </c>
      <c r="E518" s="9" t="s">
        <v>2249</v>
      </c>
      <c r="F518" s="9" t="s">
        <v>2250</v>
      </c>
      <c r="G518" s="9">
        <v>1</v>
      </c>
      <c r="H518" s="9"/>
      <c r="I518" s="9"/>
      <c r="J518" s="9"/>
      <c r="K518" s="9" t="b">
        <v>0</v>
      </c>
      <c r="L518" s="9" t="s">
        <v>437</v>
      </c>
      <c r="M518" s="9" t="b">
        <v>1</v>
      </c>
      <c r="N518" s="9" t="s">
        <v>2251</v>
      </c>
      <c r="O518" s="9" t="s">
        <v>3846</v>
      </c>
      <c r="P518" s="7">
        <v>796</v>
      </c>
      <c r="Q518" s="7">
        <v>695</v>
      </c>
      <c r="R518" s="7">
        <v>412</v>
      </c>
      <c r="S518" s="7">
        <v>118</v>
      </c>
      <c r="T518" s="8">
        <v>4.5</v>
      </c>
      <c r="U518" s="8">
        <v>2.1</v>
      </c>
      <c r="V518" s="17">
        <v>2.1</v>
      </c>
      <c r="AD518" s="1"/>
      <c r="AE518" s="3"/>
      <c r="AF518" s="3"/>
      <c r="AG518" s="3"/>
      <c r="AH518" s="3"/>
      <c r="AI518" s="3"/>
      <c r="AJ518" s="1"/>
      <c r="AK518" s="1"/>
    </row>
    <row r="519" spans="1:37" x14ac:dyDescent="0.3">
      <c r="A519" s="14">
        <v>672</v>
      </c>
      <c r="B519" s="14">
        <v>3</v>
      </c>
      <c r="C519" s="9" t="s">
        <v>1659</v>
      </c>
      <c r="D519" s="9" t="s">
        <v>411</v>
      </c>
      <c r="E519" s="9" t="s">
        <v>2252</v>
      </c>
      <c r="F519" s="9" t="s">
        <v>2253</v>
      </c>
      <c r="G519" s="9">
        <v>1</v>
      </c>
      <c r="H519" s="9"/>
      <c r="I519" s="9"/>
      <c r="J519" s="9"/>
      <c r="K519" s="9" t="b">
        <v>0</v>
      </c>
      <c r="L519" s="9" t="s">
        <v>286</v>
      </c>
      <c r="M519" s="9" t="b">
        <v>0</v>
      </c>
      <c r="N519" s="9" t="s">
        <v>2254</v>
      </c>
      <c r="O519" s="9" t="s">
        <v>3847</v>
      </c>
      <c r="P519" s="7">
        <v>1145</v>
      </c>
      <c r="Q519" s="7">
        <v>832</v>
      </c>
      <c r="R519" s="7">
        <v>547</v>
      </c>
      <c r="S519" s="7">
        <v>171</v>
      </c>
      <c r="T519" s="8">
        <v>5.0999999999999996</v>
      </c>
      <c r="U519" s="8">
        <v>2.1</v>
      </c>
      <c r="V519" s="17">
        <v>2.1</v>
      </c>
      <c r="AD519" s="1"/>
      <c r="AE519" s="3"/>
      <c r="AF519" s="2"/>
      <c r="AG519" s="3"/>
      <c r="AH519" s="3"/>
      <c r="AI519" s="3"/>
      <c r="AJ519" s="1"/>
      <c r="AK519" s="1"/>
    </row>
    <row r="520" spans="1:37" x14ac:dyDescent="0.3">
      <c r="A520" s="14">
        <v>685</v>
      </c>
      <c r="B520" s="14">
        <v>3</v>
      </c>
      <c r="C520" s="9" t="s">
        <v>1659</v>
      </c>
      <c r="D520" s="9" t="s">
        <v>411</v>
      </c>
      <c r="E520" s="9" t="s">
        <v>2292</v>
      </c>
      <c r="F520" s="9" t="s">
        <v>2293</v>
      </c>
      <c r="G520" s="9">
        <v>1</v>
      </c>
      <c r="H520" s="9"/>
      <c r="I520" s="9"/>
      <c r="J520" s="9"/>
      <c r="K520" s="9" t="b">
        <v>0</v>
      </c>
      <c r="L520" s="9" t="s">
        <v>238</v>
      </c>
      <c r="M520" s="9" t="b">
        <v>0</v>
      </c>
      <c r="N520" s="9" t="s">
        <v>2294</v>
      </c>
      <c r="O520" s="9" t="s">
        <v>3860</v>
      </c>
      <c r="P520" s="7">
        <v>1167</v>
      </c>
      <c r="Q520" s="7">
        <v>1043</v>
      </c>
      <c r="R520" s="7">
        <v>765</v>
      </c>
      <c r="S520" s="7">
        <v>172</v>
      </c>
      <c r="T520" s="8">
        <v>4</v>
      </c>
      <c r="U520" s="8">
        <v>2.1</v>
      </c>
      <c r="V520" s="17">
        <v>2.1</v>
      </c>
      <c r="AD520" s="1"/>
      <c r="AE520" s="3"/>
      <c r="AF520" s="2"/>
      <c r="AG520" s="2"/>
      <c r="AH520" s="3"/>
      <c r="AI520" s="3"/>
      <c r="AJ520" s="1"/>
      <c r="AK520" s="1"/>
    </row>
    <row r="521" spans="1:37" x14ac:dyDescent="0.3">
      <c r="A521" s="14">
        <v>941</v>
      </c>
      <c r="B521" s="14">
        <v>2</v>
      </c>
      <c r="C521" s="9" t="s">
        <v>1659</v>
      </c>
      <c r="D521" s="9" t="s">
        <v>1457</v>
      </c>
      <c r="E521" s="9" t="s">
        <v>3070</v>
      </c>
      <c r="F521" s="9" t="s">
        <v>3071</v>
      </c>
      <c r="G521" s="9">
        <v>3</v>
      </c>
      <c r="H521" s="9"/>
      <c r="I521" s="9"/>
      <c r="J521" s="9"/>
      <c r="K521" s="9" t="b">
        <v>0</v>
      </c>
      <c r="L521" s="9" t="s">
        <v>332</v>
      </c>
      <c r="M521" s="9" t="b">
        <v>1</v>
      </c>
      <c r="N521" s="9" t="s">
        <v>3072</v>
      </c>
      <c r="O521" s="9" t="s">
        <v>4113</v>
      </c>
      <c r="P521" s="7">
        <v>1334</v>
      </c>
      <c r="Q521" s="7">
        <v>1117</v>
      </c>
      <c r="R521" s="7">
        <v>760</v>
      </c>
      <c r="S521" s="7">
        <v>198</v>
      </c>
      <c r="T521" s="8">
        <v>4.5</v>
      </c>
      <c r="U521" s="8">
        <v>2.1</v>
      </c>
      <c r="V521" s="17">
        <v>2.1</v>
      </c>
      <c r="AD521" s="1"/>
      <c r="AE521" s="3"/>
      <c r="AF521" s="2"/>
      <c r="AG521" s="2"/>
      <c r="AH521" s="2"/>
      <c r="AI521" s="3"/>
      <c r="AJ521" s="1"/>
      <c r="AK521" s="1"/>
    </row>
    <row r="522" spans="1:37" x14ac:dyDescent="0.3">
      <c r="A522" s="14">
        <v>904</v>
      </c>
      <c r="B522" s="14">
        <v>4</v>
      </c>
      <c r="C522" s="9" t="s">
        <v>1659</v>
      </c>
      <c r="D522" s="9" t="s">
        <v>1394</v>
      </c>
      <c r="E522" s="9" t="s">
        <v>2952</v>
      </c>
      <c r="F522" s="9" t="s">
        <v>2953</v>
      </c>
      <c r="G522" s="9">
        <v>1</v>
      </c>
      <c r="H522" s="9"/>
      <c r="I522" s="9"/>
      <c r="J522" s="9"/>
      <c r="K522" s="9" t="b">
        <v>0</v>
      </c>
      <c r="L522" s="9"/>
      <c r="M522" s="9" t="b">
        <v>0</v>
      </c>
      <c r="N522" s="9" t="s">
        <v>2954</v>
      </c>
      <c r="O522" s="9" t="s">
        <v>4076</v>
      </c>
      <c r="P522" s="7">
        <v>213</v>
      </c>
      <c r="Q522" s="7">
        <v>118</v>
      </c>
      <c r="R522" s="7">
        <v>87</v>
      </c>
      <c r="S522" s="7">
        <v>32</v>
      </c>
      <c r="T522" s="8">
        <v>5.6</v>
      </c>
      <c r="U522" s="8">
        <v>2.1</v>
      </c>
      <c r="V522" s="17">
        <v>2.1</v>
      </c>
      <c r="AD522" s="1"/>
      <c r="AE522" s="3"/>
      <c r="AF522" s="2"/>
      <c r="AG522" s="3"/>
      <c r="AH522" s="3"/>
      <c r="AI522" s="3"/>
      <c r="AJ522" s="1"/>
      <c r="AK522" s="1"/>
    </row>
    <row r="523" spans="1:37" x14ac:dyDescent="0.3">
      <c r="A523" s="14">
        <v>812</v>
      </c>
      <c r="B523" s="14">
        <v>1</v>
      </c>
      <c r="C523" s="9" t="s">
        <v>1659</v>
      </c>
      <c r="D523" s="9" t="s">
        <v>1077</v>
      </c>
      <c r="E523" s="9" t="s">
        <v>2680</v>
      </c>
      <c r="F523" s="10" t="s">
        <v>2681</v>
      </c>
      <c r="G523" s="9">
        <v>1</v>
      </c>
      <c r="H523" s="9"/>
      <c r="I523" s="9"/>
      <c r="J523" s="9"/>
      <c r="K523" s="9" t="b">
        <v>0</v>
      </c>
      <c r="L523" s="9" t="s">
        <v>7</v>
      </c>
      <c r="M523" s="9" t="b">
        <v>0</v>
      </c>
      <c r="N523" s="9" t="s">
        <v>2682</v>
      </c>
      <c r="O523" s="9" t="s">
        <v>3987</v>
      </c>
      <c r="P523" s="7">
        <v>1336</v>
      </c>
      <c r="Q523" s="7">
        <v>1131</v>
      </c>
      <c r="R523" s="7">
        <v>663</v>
      </c>
      <c r="S523" s="7">
        <v>200</v>
      </c>
      <c r="T523" s="8">
        <v>4.0999999999999996</v>
      </c>
      <c r="U523" s="8">
        <v>2.1</v>
      </c>
      <c r="V523" s="17">
        <v>2.1</v>
      </c>
      <c r="AD523" s="1"/>
      <c r="AE523" s="3"/>
      <c r="AF523" s="3"/>
      <c r="AG523" s="3"/>
      <c r="AH523" s="3"/>
      <c r="AI523" s="3"/>
      <c r="AJ523" s="1"/>
      <c r="AK523" s="1"/>
    </row>
    <row r="524" spans="1:37" x14ac:dyDescent="0.3">
      <c r="A524" s="14">
        <v>705</v>
      </c>
      <c r="B524" s="14">
        <v>3</v>
      </c>
      <c r="C524" s="9" t="s">
        <v>1659</v>
      </c>
      <c r="D524" s="9" t="s">
        <v>411</v>
      </c>
      <c r="E524" s="9" t="s">
        <v>2354</v>
      </c>
      <c r="F524" s="9" t="s">
        <v>2355</v>
      </c>
      <c r="G524" s="9">
        <v>3</v>
      </c>
      <c r="H524" s="9"/>
      <c r="I524" s="9"/>
      <c r="J524" s="9"/>
      <c r="K524" s="9" t="b">
        <v>0</v>
      </c>
      <c r="L524" s="9" t="s">
        <v>1603</v>
      </c>
      <c r="M524" s="9" t="b">
        <v>0</v>
      </c>
      <c r="N524" s="9" t="s">
        <v>2356</v>
      </c>
      <c r="O524" s="9" t="s">
        <v>3880</v>
      </c>
      <c r="P524" s="7">
        <v>1185</v>
      </c>
      <c r="Q524" s="7">
        <v>1124</v>
      </c>
      <c r="R524" s="7">
        <v>664</v>
      </c>
      <c r="S524" s="7">
        <v>172</v>
      </c>
      <c r="T524" s="8">
        <v>3.5</v>
      </c>
      <c r="U524" s="8">
        <v>2.1</v>
      </c>
      <c r="V524" s="17">
        <v>2.1</v>
      </c>
      <c r="AD524" s="1"/>
      <c r="AE524" s="3"/>
      <c r="AF524" s="3"/>
      <c r="AG524" s="3"/>
      <c r="AH524" s="3"/>
      <c r="AI524" s="3"/>
      <c r="AJ524" s="1"/>
      <c r="AK524" s="1"/>
    </row>
    <row r="525" spans="1:37" x14ac:dyDescent="0.3">
      <c r="A525" s="14">
        <v>584</v>
      </c>
      <c r="B525" s="14">
        <v>2</v>
      </c>
      <c r="C525" s="9" t="s">
        <v>1659</v>
      </c>
      <c r="D525" s="9" t="s">
        <v>180</v>
      </c>
      <c r="E525" s="9" t="s">
        <v>1977</v>
      </c>
      <c r="F525" s="9" t="s">
        <v>1978</v>
      </c>
      <c r="G525" s="9">
        <v>1</v>
      </c>
      <c r="H525" s="9"/>
      <c r="I525" s="9"/>
      <c r="J525" s="9"/>
      <c r="K525" s="9" t="b">
        <v>0</v>
      </c>
      <c r="L525" s="9" t="s">
        <v>420</v>
      </c>
      <c r="M525" s="9" t="b">
        <v>0</v>
      </c>
      <c r="N525" s="9" t="s">
        <v>1979</v>
      </c>
      <c r="O525" s="9" t="s">
        <v>3759</v>
      </c>
      <c r="P525" s="7">
        <v>1343</v>
      </c>
      <c r="Q525" s="7">
        <v>1094</v>
      </c>
      <c r="R525" s="7">
        <v>741</v>
      </c>
      <c r="S525" s="7">
        <v>194</v>
      </c>
      <c r="T525" s="8">
        <v>4.5999999999999996</v>
      </c>
      <c r="U525" s="8">
        <v>2.1</v>
      </c>
      <c r="V525" s="17">
        <v>2.1</v>
      </c>
      <c r="AD525" s="1"/>
      <c r="AE525" s="3"/>
      <c r="AF525" s="2"/>
      <c r="AG525" s="3"/>
      <c r="AH525" s="3"/>
      <c r="AI525" s="3"/>
      <c r="AJ525" s="1"/>
      <c r="AK525" s="1"/>
    </row>
    <row r="526" spans="1:37" x14ac:dyDescent="0.3">
      <c r="A526" s="14">
        <v>542</v>
      </c>
      <c r="B526" s="14">
        <v>1</v>
      </c>
      <c r="C526" s="9" t="s">
        <v>1659</v>
      </c>
      <c r="D526" s="9" t="s">
        <v>1</v>
      </c>
      <c r="E526" s="9" t="s">
        <v>1845</v>
      </c>
      <c r="F526" s="9" t="s">
        <v>1846</v>
      </c>
      <c r="G526" s="9">
        <v>4</v>
      </c>
      <c r="H526" s="9"/>
      <c r="I526" s="9"/>
      <c r="J526" s="9"/>
      <c r="K526" s="9" t="b">
        <v>0</v>
      </c>
      <c r="L526" s="9" t="s">
        <v>7</v>
      </c>
      <c r="M526" s="9" t="b">
        <v>1</v>
      </c>
      <c r="N526" s="9" t="s">
        <v>1847</v>
      </c>
      <c r="O526" s="9" t="s">
        <v>3717</v>
      </c>
      <c r="P526" s="7">
        <v>1322</v>
      </c>
      <c r="Q526" s="7">
        <v>1061</v>
      </c>
      <c r="R526" s="7">
        <v>631</v>
      </c>
      <c r="S526" s="7">
        <v>195</v>
      </c>
      <c r="T526" s="8">
        <v>5.0999999999999996</v>
      </c>
      <c r="U526" s="8">
        <v>2.1</v>
      </c>
      <c r="V526" s="17">
        <v>2.1</v>
      </c>
      <c r="AD526" s="1"/>
      <c r="AE526" s="3"/>
      <c r="AF526" s="2"/>
      <c r="AG526" s="2"/>
      <c r="AH526" s="3"/>
      <c r="AI526" s="3"/>
      <c r="AJ526" s="1"/>
      <c r="AK526" s="1"/>
    </row>
    <row r="527" spans="1:37" x14ac:dyDescent="0.3">
      <c r="A527" s="14">
        <v>543</v>
      </c>
      <c r="B527" s="14">
        <v>1</v>
      </c>
      <c r="C527" s="9" t="s">
        <v>1659</v>
      </c>
      <c r="D527" s="9" t="s">
        <v>1</v>
      </c>
      <c r="E527" s="9" t="s">
        <v>1848</v>
      </c>
      <c r="F527" s="9" t="s">
        <v>1849</v>
      </c>
      <c r="G527" s="9">
        <v>3</v>
      </c>
      <c r="H527" s="9"/>
      <c r="I527" s="9"/>
      <c r="J527" s="9"/>
      <c r="K527" s="9" t="b">
        <v>0</v>
      </c>
      <c r="L527" s="9" t="s">
        <v>7</v>
      </c>
      <c r="M527" s="9" t="b">
        <v>0</v>
      </c>
      <c r="N527" s="9" t="s">
        <v>1850</v>
      </c>
      <c r="O527" s="9" t="s">
        <v>3718</v>
      </c>
      <c r="P527" s="7">
        <v>1553</v>
      </c>
      <c r="Q527" s="7">
        <v>1289</v>
      </c>
      <c r="R527" s="7">
        <v>891</v>
      </c>
      <c r="S527" s="7">
        <v>233</v>
      </c>
      <c r="T527" s="8">
        <v>4.0999999999999996</v>
      </c>
      <c r="U527" s="8">
        <v>2.1</v>
      </c>
      <c r="V527" s="17">
        <v>2.1</v>
      </c>
      <c r="AD527" s="1"/>
      <c r="AE527" s="3"/>
      <c r="AF527" s="2"/>
      <c r="AG527" s="3"/>
      <c r="AH527" s="3"/>
      <c r="AI527" s="3"/>
      <c r="AJ527" s="1"/>
      <c r="AK527" s="1"/>
    </row>
    <row r="528" spans="1:37" x14ac:dyDescent="0.3">
      <c r="A528" s="14">
        <v>780</v>
      </c>
      <c r="B528" s="14">
        <v>3</v>
      </c>
      <c r="C528" s="9" t="s">
        <v>1659</v>
      </c>
      <c r="D528" s="9" t="s">
        <v>411</v>
      </c>
      <c r="E528" s="9" t="s">
        <v>2584</v>
      </c>
      <c r="F528" s="9" t="s">
        <v>2585</v>
      </c>
      <c r="G528" s="9">
        <v>4</v>
      </c>
      <c r="H528" s="9"/>
      <c r="I528" s="9"/>
      <c r="J528" s="9"/>
      <c r="K528" s="9" t="b">
        <v>0</v>
      </c>
      <c r="L528" s="9" t="s">
        <v>497</v>
      </c>
      <c r="M528" s="9" t="b">
        <v>0</v>
      </c>
      <c r="N528" s="9" t="s">
        <v>2586</v>
      </c>
      <c r="O528" s="9" t="s">
        <v>3955</v>
      </c>
      <c r="P528" s="7">
        <v>1107</v>
      </c>
      <c r="Q528" s="7">
        <v>915</v>
      </c>
      <c r="R528" s="7">
        <v>623</v>
      </c>
      <c r="S528" s="7">
        <v>164</v>
      </c>
      <c r="T528" s="8">
        <v>3.9</v>
      </c>
      <c r="U528" s="8">
        <v>2.1</v>
      </c>
      <c r="V528" s="17">
        <v>2.1</v>
      </c>
      <c r="AD528" s="1"/>
      <c r="AE528" s="3"/>
      <c r="AF528" s="2"/>
      <c r="AG528" s="2"/>
      <c r="AH528" s="2"/>
      <c r="AI528" s="3"/>
      <c r="AJ528" s="1"/>
      <c r="AK528" s="1"/>
    </row>
    <row r="529" spans="1:37" x14ac:dyDescent="0.3">
      <c r="A529" s="14">
        <v>302</v>
      </c>
      <c r="B529" s="14">
        <v>1</v>
      </c>
      <c r="C529" s="9" t="s">
        <v>0</v>
      </c>
      <c r="D529" s="9" t="s">
        <v>1077</v>
      </c>
      <c r="E529" s="9" t="s">
        <v>1078</v>
      </c>
      <c r="F529" s="9" t="s">
        <v>1079</v>
      </c>
      <c r="G529" s="9">
        <v>1</v>
      </c>
      <c r="H529" s="9" t="s">
        <v>252</v>
      </c>
      <c r="I529" s="9"/>
      <c r="J529" s="9"/>
      <c r="K529" s="9" t="b">
        <v>1</v>
      </c>
      <c r="L529" s="9" t="s">
        <v>7</v>
      </c>
      <c r="M529" s="9" t="b">
        <v>0</v>
      </c>
      <c r="N529" s="9" t="s">
        <v>1080</v>
      </c>
      <c r="O529" s="9" t="s">
        <v>3478</v>
      </c>
      <c r="P529" s="7">
        <v>1352</v>
      </c>
      <c r="Q529" s="7">
        <v>658</v>
      </c>
      <c r="R529" s="7">
        <v>499</v>
      </c>
      <c r="S529" s="7">
        <v>196</v>
      </c>
      <c r="T529" s="8">
        <v>4.7</v>
      </c>
      <c r="U529" s="8">
        <v>2.1</v>
      </c>
      <c r="V529" s="17">
        <v>2.1</v>
      </c>
      <c r="AD529" s="1"/>
      <c r="AE529" s="3"/>
      <c r="AF529" s="3"/>
      <c r="AG529" s="3"/>
      <c r="AH529" s="3"/>
      <c r="AI529" s="3"/>
      <c r="AJ529" s="1"/>
      <c r="AK529" s="1"/>
    </row>
    <row r="530" spans="1:37" x14ac:dyDescent="0.3">
      <c r="A530" s="14">
        <v>60</v>
      </c>
      <c r="B530" s="14">
        <v>2</v>
      </c>
      <c r="C530" s="9" t="s">
        <v>0</v>
      </c>
      <c r="D530" s="9" t="s">
        <v>180</v>
      </c>
      <c r="E530" s="9" t="s">
        <v>220</v>
      </c>
      <c r="F530" s="9" t="s">
        <v>221</v>
      </c>
      <c r="G530" s="9">
        <v>1</v>
      </c>
      <c r="H530" s="9" t="s">
        <v>26</v>
      </c>
      <c r="I530" s="9"/>
      <c r="J530" s="9"/>
      <c r="K530" s="9" t="b">
        <v>0</v>
      </c>
      <c r="L530" s="9" t="s">
        <v>223</v>
      </c>
      <c r="M530" s="9" t="b">
        <v>0</v>
      </c>
      <c r="N530" s="9" t="s">
        <v>222</v>
      </c>
      <c r="O530" s="9" t="s">
        <v>3236</v>
      </c>
      <c r="P530" s="7">
        <v>1389</v>
      </c>
      <c r="Q530" s="7">
        <v>1034</v>
      </c>
      <c r="R530" s="7">
        <v>680</v>
      </c>
      <c r="S530" s="7">
        <v>206</v>
      </c>
      <c r="T530" s="8">
        <v>4.8</v>
      </c>
      <c r="U530" s="8">
        <v>2.1</v>
      </c>
      <c r="V530" s="17">
        <v>2.1</v>
      </c>
      <c r="AD530" s="1"/>
      <c r="AE530" s="3"/>
      <c r="AF530" s="3"/>
      <c r="AG530" s="3"/>
      <c r="AH530" s="3"/>
      <c r="AI530" s="3"/>
      <c r="AJ530" s="1"/>
      <c r="AK530" s="1"/>
    </row>
    <row r="531" spans="1:37" x14ac:dyDescent="0.3">
      <c r="A531" s="14">
        <v>135</v>
      </c>
      <c r="B531" s="14">
        <v>3</v>
      </c>
      <c r="C531" s="9" t="s">
        <v>0</v>
      </c>
      <c r="D531" s="9" t="s">
        <v>411</v>
      </c>
      <c r="E531" s="9" t="s">
        <v>511</v>
      </c>
      <c r="F531" s="9" t="s">
        <v>512</v>
      </c>
      <c r="G531" s="9">
        <v>1</v>
      </c>
      <c r="H531" s="9" t="s">
        <v>513</v>
      </c>
      <c r="I531" s="9" t="s">
        <v>77</v>
      </c>
      <c r="J531" s="9"/>
      <c r="K531" s="9" t="b">
        <v>0</v>
      </c>
      <c r="L531" s="9" t="s">
        <v>416</v>
      </c>
      <c r="M531" s="9" t="b">
        <v>1</v>
      </c>
      <c r="N531" s="9" t="s">
        <v>514</v>
      </c>
      <c r="O531" s="9" t="s">
        <v>3311</v>
      </c>
      <c r="P531" s="7">
        <v>1004</v>
      </c>
      <c r="Q531" s="7">
        <v>805</v>
      </c>
      <c r="R531" s="7">
        <v>453</v>
      </c>
      <c r="S531" s="7">
        <v>146</v>
      </c>
      <c r="T531" s="8">
        <v>4.3</v>
      </c>
      <c r="U531" s="8">
        <v>2.1</v>
      </c>
      <c r="V531" s="17">
        <v>2.1</v>
      </c>
      <c r="AD531" s="1"/>
      <c r="AE531" s="3"/>
      <c r="AF531" s="3"/>
      <c r="AG531" s="3"/>
      <c r="AH531" s="3"/>
      <c r="AI531" s="3"/>
      <c r="AJ531" s="1"/>
      <c r="AK531" s="1"/>
    </row>
    <row r="532" spans="1:37" x14ac:dyDescent="0.3">
      <c r="A532" s="14">
        <v>141</v>
      </c>
      <c r="B532" s="14">
        <v>3</v>
      </c>
      <c r="C532" s="9" t="s">
        <v>0</v>
      </c>
      <c r="D532" s="9" t="s">
        <v>411</v>
      </c>
      <c r="E532" s="9" t="s">
        <v>535</v>
      </c>
      <c r="F532" s="9" t="s">
        <v>536</v>
      </c>
      <c r="G532" s="9">
        <v>1</v>
      </c>
      <c r="H532" s="9"/>
      <c r="I532" s="9"/>
      <c r="J532" s="9"/>
      <c r="K532" s="9" t="b">
        <v>0</v>
      </c>
      <c r="L532" s="9" t="s">
        <v>238</v>
      </c>
      <c r="M532" s="9" t="b">
        <v>0</v>
      </c>
      <c r="N532" s="9" t="s">
        <v>537</v>
      </c>
      <c r="O532" s="9" t="s">
        <v>3317</v>
      </c>
      <c r="P532" s="7">
        <v>1219</v>
      </c>
      <c r="Q532" s="7">
        <v>983</v>
      </c>
      <c r="R532" s="7">
        <v>771</v>
      </c>
      <c r="S532" s="7">
        <v>180</v>
      </c>
      <c r="T532" s="8">
        <v>4.7</v>
      </c>
      <c r="U532" s="8">
        <v>2.1</v>
      </c>
      <c r="V532" s="17">
        <v>2.1</v>
      </c>
      <c r="AD532" s="1"/>
      <c r="AE532" s="3"/>
      <c r="AF532" s="2"/>
      <c r="AG532" s="2"/>
      <c r="AH532" s="3"/>
      <c r="AI532" s="3"/>
      <c r="AJ532" s="1"/>
      <c r="AK532" s="1"/>
    </row>
    <row r="533" spans="1:37" x14ac:dyDescent="0.3">
      <c r="A533" s="14">
        <v>63</v>
      </c>
      <c r="B533" s="14">
        <v>2</v>
      </c>
      <c r="C533" s="9" t="s">
        <v>0</v>
      </c>
      <c r="D533" s="9" t="s">
        <v>180</v>
      </c>
      <c r="E533" s="9" t="s">
        <v>230</v>
      </c>
      <c r="F533" s="9" t="s">
        <v>231</v>
      </c>
      <c r="G533" s="9">
        <v>1</v>
      </c>
      <c r="H533" s="9" t="s">
        <v>232</v>
      </c>
      <c r="I533" s="9"/>
      <c r="J533" s="9"/>
      <c r="K533" s="9" t="b">
        <v>0</v>
      </c>
      <c r="L533" s="9" t="s">
        <v>234</v>
      </c>
      <c r="M533" s="9" t="b">
        <v>0</v>
      </c>
      <c r="N533" s="9" t="s">
        <v>233</v>
      </c>
      <c r="O533" s="9" t="s">
        <v>3239</v>
      </c>
      <c r="P533" s="7">
        <v>1375</v>
      </c>
      <c r="Q533" s="7">
        <v>1038</v>
      </c>
      <c r="R533" s="7">
        <v>783</v>
      </c>
      <c r="S533" s="7">
        <v>206</v>
      </c>
      <c r="T533" s="8">
        <v>5</v>
      </c>
      <c r="U533" s="8">
        <v>2.1</v>
      </c>
      <c r="V533" s="17">
        <v>2.1</v>
      </c>
      <c r="AD533" s="1"/>
      <c r="AE533" s="3"/>
      <c r="AF533" s="2"/>
      <c r="AG533" s="3"/>
      <c r="AH533" s="3"/>
      <c r="AI533" s="3"/>
      <c r="AJ533" s="1"/>
      <c r="AK533" s="1"/>
    </row>
    <row r="534" spans="1:37" x14ac:dyDescent="0.3">
      <c r="A534" s="14">
        <v>444</v>
      </c>
      <c r="B534" s="14">
        <v>2</v>
      </c>
      <c r="C534" s="9" t="s">
        <v>0</v>
      </c>
      <c r="D534" s="9" t="s">
        <v>1457</v>
      </c>
      <c r="E534" s="9" t="s">
        <v>1539</v>
      </c>
      <c r="F534" s="9" t="s">
        <v>1540</v>
      </c>
      <c r="G534" s="9">
        <v>1</v>
      </c>
      <c r="H534" s="9" t="s">
        <v>26</v>
      </c>
      <c r="I534" s="9" t="s">
        <v>22</v>
      </c>
      <c r="J534" s="9">
        <v>1</v>
      </c>
      <c r="K534" s="9" t="b">
        <v>0</v>
      </c>
      <c r="L534" s="9" t="s">
        <v>296</v>
      </c>
      <c r="M534" s="9" t="b">
        <v>0</v>
      </c>
      <c r="N534" s="9" t="s">
        <v>1541</v>
      </c>
      <c r="O534" s="9" t="s">
        <v>3619</v>
      </c>
      <c r="P534" s="7">
        <v>1245</v>
      </c>
      <c r="Q534" s="7">
        <v>1057</v>
      </c>
      <c r="R534" s="7">
        <v>747</v>
      </c>
      <c r="S534" s="7">
        <v>182</v>
      </c>
      <c r="T534" s="8">
        <v>4.5999999999999996</v>
      </c>
      <c r="U534" s="8">
        <v>2.1</v>
      </c>
      <c r="V534" s="17">
        <v>2.1</v>
      </c>
      <c r="AD534" s="1"/>
      <c r="AE534" s="3"/>
      <c r="AF534" s="2"/>
      <c r="AG534" s="3"/>
      <c r="AH534" s="3"/>
      <c r="AI534" s="3"/>
      <c r="AJ534" s="1"/>
      <c r="AK534" s="1"/>
    </row>
    <row r="535" spans="1:37" x14ac:dyDescent="0.3">
      <c r="A535" s="14">
        <v>184</v>
      </c>
      <c r="B535" s="14">
        <v>3</v>
      </c>
      <c r="C535" s="9" t="s">
        <v>0</v>
      </c>
      <c r="D535" s="9" t="s">
        <v>411</v>
      </c>
      <c r="E535" s="9" t="s">
        <v>686</v>
      </c>
      <c r="F535" s="9" t="s">
        <v>687</v>
      </c>
      <c r="G535" s="9">
        <v>1</v>
      </c>
      <c r="H535" s="9"/>
      <c r="I535" s="9" t="s">
        <v>51</v>
      </c>
      <c r="J535" s="9">
        <v>1</v>
      </c>
      <c r="K535" s="9" t="b">
        <v>0</v>
      </c>
      <c r="L535" s="9" t="s">
        <v>430</v>
      </c>
      <c r="M535" s="9" t="b">
        <v>0</v>
      </c>
      <c r="N535" s="9" t="s">
        <v>688</v>
      </c>
      <c r="O535" s="9" t="s">
        <v>3360</v>
      </c>
      <c r="P535" s="7">
        <v>1173</v>
      </c>
      <c r="Q535" s="7">
        <v>937</v>
      </c>
      <c r="R535" s="7">
        <v>694</v>
      </c>
      <c r="S535" s="7">
        <v>170</v>
      </c>
      <c r="T535" s="8">
        <v>5</v>
      </c>
      <c r="U535" s="8">
        <v>2.1</v>
      </c>
      <c r="V535" s="17">
        <v>2.1</v>
      </c>
      <c r="AD535" s="1"/>
      <c r="AE535" s="3"/>
      <c r="AF535" s="3"/>
      <c r="AG535" s="3"/>
      <c r="AH535" s="3"/>
      <c r="AI535" s="3"/>
      <c r="AJ535" s="1"/>
      <c r="AK535" s="1"/>
    </row>
    <row r="536" spans="1:37" x14ac:dyDescent="0.3">
      <c r="A536" s="14">
        <v>197</v>
      </c>
      <c r="B536" s="14">
        <v>3</v>
      </c>
      <c r="C536" s="9" t="s">
        <v>0</v>
      </c>
      <c r="D536" s="9" t="s">
        <v>411</v>
      </c>
      <c r="E536" s="9" t="s">
        <v>729</v>
      </c>
      <c r="F536" s="9" t="s">
        <v>730</v>
      </c>
      <c r="G536" s="9">
        <v>1</v>
      </c>
      <c r="H536" s="9"/>
      <c r="I536" s="9" t="s">
        <v>731</v>
      </c>
      <c r="J536" s="9">
        <v>2</v>
      </c>
      <c r="K536" s="9" t="b">
        <v>0</v>
      </c>
      <c r="L536" s="9" t="s">
        <v>526</v>
      </c>
      <c r="M536" s="9" t="b">
        <v>0</v>
      </c>
      <c r="N536" s="9" t="s">
        <v>732</v>
      </c>
      <c r="O536" s="9" t="s">
        <v>3373</v>
      </c>
      <c r="P536" s="7">
        <v>872</v>
      </c>
      <c r="Q536" s="7">
        <v>726</v>
      </c>
      <c r="R536" s="7">
        <v>409</v>
      </c>
      <c r="S536" s="7">
        <v>127</v>
      </c>
      <c r="T536" s="8">
        <v>4.4000000000000004</v>
      </c>
      <c r="U536" s="8">
        <v>2.1</v>
      </c>
      <c r="V536" s="17">
        <v>2.1</v>
      </c>
      <c r="AD536" s="1"/>
      <c r="AE536" s="3"/>
      <c r="AF536" s="2"/>
      <c r="AG536" s="2"/>
      <c r="AH536" s="2"/>
      <c r="AI536" s="3"/>
      <c r="AJ536" s="1"/>
      <c r="AK536" s="1"/>
    </row>
    <row r="537" spans="1:37" x14ac:dyDescent="0.3">
      <c r="A537" s="14">
        <v>314</v>
      </c>
      <c r="B537" s="14">
        <v>1</v>
      </c>
      <c r="C537" s="9" t="s">
        <v>0</v>
      </c>
      <c r="D537" s="9" t="s">
        <v>1077</v>
      </c>
      <c r="E537" s="9" t="s">
        <v>1116</v>
      </c>
      <c r="F537" s="9" t="s">
        <v>1117</v>
      </c>
      <c r="G537" s="9">
        <v>1</v>
      </c>
      <c r="H537" s="9"/>
      <c r="I537" s="9" t="s">
        <v>118</v>
      </c>
      <c r="J537" s="9"/>
      <c r="K537" s="9" t="b">
        <v>1</v>
      </c>
      <c r="L537" s="9" t="s">
        <v>7</v>
      </c>
      <c r="M537" s="9" t="b">
        <v>0</v>
      </c>
      <c r="N537" s="9" t="s">
        <v>1118</v>
      </c>
      <c r="O537" s="9" t="s">
        <v>3490</v>
      </c>
      <c r="P537" s="7">
        <v>1338</v>
      </c>
      <c r="Q537" s="7">
        <v>947</v>
      </c>
      <c r="R537" s="7">
        <v>698</v>
      </c>
      <c r="S537" s="7">
        <v>192</v>
      </c>
      <c r="T537" s="8">
        <v>5.3</v>
      </c>
      <c r="U537" s="8">
        <v>2.1</v>
      </c>
      <c r="V537" s="17">
        <v>2.1</v>
      </c>
      <c r="AD537" s="1"/>
      <c r="AE537" s="3"/>
      <c r="AF537" s="2"/>
      <c r="AG537" s="2"/>
      <c r="AH537" s="3"/>
      <c r="AI537" s="3"/>
      <c r="AJ537" s="1"/>
      <c r="AK537" s="1"/>
    </row>
    <row r="538" spans="1:37" x14ac:dyDescent="0.3">
      <c r="A538" s="14">
        <v>364</v>
      </c>
      <c r="B538" s="14">
        <v>1</v>
      </c>
      <c r="C538" s="9" t="s">
        <v>0</v>
      </c>
      <c r="D538" s="9" t="s">
        <v>1208</v>
      </c>
      <c r="E538" s="9" t="s">
        <v>1280</v>
      </c>
      <c r="F538" s="9" t="s">
        <v>1281</v>
      </c>
      <c r="G538" s="9">
        <v>1</v>
      </c>
      <c r="H538" s="9" t="s">
        <v>1282</v>
      </c>
      <c r="I538" s="9"/>
      <c r="J538" s="9"/>
      <c r="K538" s="9" t="b">
        <v>0</v>
      </c>
      <c r="L538" s="9" t="s">
        <v>7</v>
      </c>
      <c r="M538" s="9" t="b">
        <v>0</v>
      </c>
      <c r="N538" s="9" t="s">
        <v>1283</v>
      </c>
      <c r="O538" s="9" t="s">
        <v>3540</v>
      </c>
      <c r="P538" s="7">
        <v>1395</v>
      </c>
      <c r="Q538" s="7">
        <v>1004</v>
      </c>
      <c r="R538" s="7">
        <v>608</v>
      </c>
      <c r="S538" s="7">
        <v>208</v>
      </c>
      <c r="T538" s="8">
        <v>5.3</v>
      </c>
      <c r="U538" s="8">
        <v>2.1</v>
      </c>
      <c r="V538" s="17">
        <v>2.1</v>
      </c>
      <c r="AD538" s="1"/>
      <c r="AE538" s="3"/>
      <c r="AF538" s="2"/>
      <c r="AG538" s="3"/>
      <c r="AH538" s="3"/>
      <c r="AI538" s="3"/>
      <c r="AJ538" s="1"/>
      <c r="AK538" s="1"/>
    </row>
    <row r="539" spans="1:37" x14ac:dyDescent="0.3">
      <c r="A539" s="14">
        <v>85</v>
      </c>
      <c r="B539" s="14">
        <v>2</v>
      </c>
      <c r="C539" s="9" t="s">
        <v>0</v>
      </c>
      <c r="D539" s="9" t="s">
        <v>180</v>
      </c>
      <c r="E539" s="9" t="s">
        <v>323</v>
      </c>
      <c r="F539" s="9" t="s">
        <v>324</v>
      </c>
      <c r="G539" s="9">
        <v>1</v>
      </c>
      <c r="H539" s="9"/>
      <c r="I539" s="9"/>
      <c r="J539" s="9"/>
      <c r="K539" s="9" t="b">
        <v>0</v>
      </c>
      <c r="L539" s="9"/>
      <c r="M539" s="9" t="b">
        <v>0</v>
      </c>
      <c r="N539" s="9" t="s">
        <v>325</v>
      </c>
      <c r="O539" s="9" t="s">
        <v>3261</v>
      </c>
      <c r="P539" s="7">
        <v>1351</v>
      </c>
      <c r="Q539" s="7">
        <v>998</v>
      </c>
      <c r="R539" s="7">
        <v>677</v>
      </c>
      <c r="S539" s="7">
        <v>199</v>
      </c>
      <c r="T539" s="8">
        <v>4.7</v>
      </c>
      <c r="U539" s="8">
        <v>2.1</v>
      </c>
      <c r="V539" s="17">
        <v>2.1</v>
      </c>
      <c r="AD539" s="1"/>
      <c r="AE539" s="3"/>
      <c r="AF539" s="2"/>
      <c r="AG539" s="2"/>
      <c r="AH539" s="3"/>
      <c r="AI539" s="3"/>
      <c r="AJ539" s="1"/>
      <c r="AK539" s="1"/>
    </row>
    <row r="540" spans="1:37" x14ac:dyDescent="0.3">
      <c r="A540" s="14">
        <v>249</v>
      </c>
      <c r="B540" s="14">
        <v>3</v>
      </c>
      <c r="C540" s="9" t="s">
        <v>0</v>
      </c>
      <c r="D540" s="9" t="s">
        <v>411</v>
      </c>
      <c r="E540" s="9" t="s">
        <v>906</v>
      </c>
      <c r="F540" s="9" t="s">
        <v>907</v>
      </c>
      <c r="G540" s="9">
        <v>1</v>
      </c>
      <c r="H540" s="9"/>
      <c r="I540" s="9" t="s">
        <v>22</v>
      </c>
      <c r="J540" s="9"/>
      <c r="K540" s="9" t="b">
        <v>0</v>
      </c>
      <c r="L540" s="9" t="s">
        <v>194</v>
      </c>
      <c r="M540" s="9" t="b">
        <v>0</v>
      </c>
      <c r="N540" s="9" t="s">
        <v>908</v>
      </c>
      <c r="O540" s="9" t="s">
        <v>3425</v>
      </c>
      <c r="P540" s="7">
        <v>1221</v>
      </c>
      <c r="Q540" s="7">
        <v>902</v>
      </c>
      <c r="R540" s="7">
        <v>651</v>
      </c>
      <c r="S540" s="7">
        <v>178</v>
      </c>
      <c r="T540" s="8">
        <v>4.4000000000000004</v>
      </c>
      <c r="U540" s="8">
        <v>2.1</v>
      </c>
      <c r="V540" s="17">
        <v>2.1</v>
      </c>
      <c r="AD540" s="1"/>
      <c r="AE540" s="3"/>
      <c r="AF540" s="2"/>
      <c r="AG540" s="2"/>
      <c r="AH540" s="2"/>
      <c r="AI540" s="3"/>
      <c r="AJ540" s="1"/>
      <c r="AK540" s="1"/>
    </row>
    <row r="541" spans="1:37" x14ac:dyDescent="0.3">
      <c r="A541" s="14">
        <v>99</v>
      </c>
      <c r="B541" s="14">
        <v>2</v>
      </c>
      <c r="C541" s="9" t="s">
        <v>0</v>
      </c>
      <c r="D541" s="9" t="s">
        <v>180</v>
      </c>
      <c r="E541" s="9" t="s">
        <v>373</v>
      </c>
      <c r="F541" s="9" t="s">
        <v>374</v>
      </c>
      <c r="G541" s="9">
        <v>1</v>
      </c>
      <c r="H541" s="9" t="s">
        <v>232</v>
      </c>
      <c r="I541" s="9"/>
      <c r="J541" s="9"/>
      <c r="K541" s="9" t="b">
        <v>0</v>
      </c>
      <c r="L541" s="9" t="s">
        <v>234</v>
      </c>
      <c r="M541" s="9" t="b">
        <v>0</v>
      </c>
      <c r="N541" s="9" t="s">
        <v>375</v>
      </c>
      <c r="O541" s="9" t="s">
        <v>3275</v>
      </c>
      <c r="P541" s="7">
        <v>1382</v>
      </c>
      <c r="Q541" s="7">
        <v>988</v>
      </c>
      <c r="R541" s="7">
        <v>767</v>
      </c>
      <c r="S541" s="7">
        <v>204</v>
      </c>
      <c r="T541" s="8">
        <v>5</v>
      </c>
      <c r="U541" s="8">
        <v>2.1</v>
      </c>
      <c r="V541" s="17">
        <v>2.1</v>
      </c>
      <c r="AD541" s="1"/>
      <c r="AE541" s="3"/>
      <c r="AF541" s="3"/>
      <c r="AG541" s="3"/>
      <c r="AH541" s="3"/>
      <c r="AI541" s="3"/>
      <c r="AJ541" s="1"/>
      <c r="AK541" s="1"/>
    </row>
    <row r="542" spans="1:37" x14ac:dyDescent="0.3">
      <c r="A542" s="14">
        <v>288</v>
      </c>
      <c r="B542" s="14">
        <v>3</v>
      </c>
      <c r="C542" s="9" t="s">
        <v>0</v>
      </c>
      <c r="D542" s="9" t="s">
        <v>411</v>
      </c>
      <c r="E542" s="9" t="s">
        <v>1032</v>
      </c>
      <c r="F542" s="9" t="s">
        <v>1033</v>
      </c>
      <c r="G542" s="9">
        <v>1</v>
      </c>
      <c r="H542" s="9" t="s">
        <v>26</v>
      </c>
      <c r="I542" s="9" t="s">
        <v>114</v>
      </c>
      <c r="J542" s="9"/>
      <c r="K542" s="9" t="b">
        <v>0</v>
      </c>
      <c r="L542" s="9" t="s">
        <v>437</v>
      </c>
      <c r="M542" s="9" t="b">
        <v>0</v>
      </c>
      <c r="N542" s="9" t="s">
        <v>1034</v>
      </c>
      <c r="O542" s="9" t="s">
        <v>3464</v>
      </c>
      <c r="P542" s="7">
        <v>564</v>
      </c>
      <c r="Q542" s="7">
        <v>473</v>
      </c>
      <c r="R542" s="7">
        <v>305</v>
      </c>
      <c r="S542" s="7">
        <v>81</v>
      </c>
      <c r="T542" s="8">
        <v>4.4000000000000004</v>
      </c>
      <c r="U542" s="8">
        <v>2.1</v>
      </c>
      <c r="V542" s="17">
        <v>2.1</v>
      </c>
      <c r="AD542" s="1"/>
      <c r="AE542" s="3"/>
      <c r="AF542" s="2"/>
      <c r="AG542" s="2"/>
      <c r="AH542" s="2"/>
      <c r="AI542" s="3"/>
      <c r="AJ542" s="1"/>
      <c r="AK542" s="1"/>
    </row>
    <row r="543" spans="1:37" x14ac:dyDescent="0.3">
      <c r="A543" s="14">
        <v>482</v>
      </c>
      <c r="B543" s="14">
        <v>1</v>
      </c>
      <c r="C543" s="9" t="s">
        <v>1659</v>
      </c>
      <c r="D543" s="9" t="s">
        <v>1</v>
      </c>
      <c r="E543" s="9" t="s">
        <v>1666</v>
      </c>
      <c r="F543" s="9" t="s">
        <v>1667</v>
      </c>
      <c r="G543" s="9">
        <v>1</v>
      </c>
      <c r="H543" s="9"/>
      <c r="I543" s="9"/>
      <c r="J543" s="9"/>
      <c r="K543" s="9" t="b">
        <v>0</v>
      </c>
      <c r="L543" s="9" t="s">
        <v>7</v>
      </c>
      <c r="M543" s="9" t="b">
        <v>0</v>
      </c>
      <c r="N543" s="9" t="s">
        <v>1668</v>
      </c>
      <c r="O543" s="9" t="s">
        <v>3657</v>
      </c>
      <c r="P543" s="7">
        <v>1305</v>
      </c>
      <c r="Q543" s="7">
        <v>1037</v>
      </c>
      <c r="R543" s="7">
        <v>594</v>
      </c>
      <c r="S543" s="7">
        <v>181</v>
      </c>
      <c r="T543" s="8">
        <v>4.8</v>
      </c>
      <c r="U543" s="8">
        <v>2</v>
      </c>
      <c r="V543" s="17">
        <v>2</v>
      </c>
      <c r="AD543" s="1"/>
      <c r="AE543" s="3"/>
      <c r="AF543" s="2"/>
      <c r="AG543" s="2"/>
      <c r="AH543" s="2"/>
      <c r="AI543" s="3"/>
      <c r="AJ543" s="1"/>
      <c r="AK543" s="1"/>
    </row>
    <row r="544" spans="1:37" x14ac:dyDescent="0.3">
      <c r="A544" s="14">
        <v>628</v>
      </c>
      <c r="B544" s="14">
        <v>3</v>
      </c>
      <c r="C544" s="9" t="s">
        <v>1659</v>
      </c>
      <c r="D544" s="9" t="s">
        <v>411</v>
      </c>
      <c r="E544" s="9" t="s">
        <v>2114</v>
      </c>
      <c r="F544" s="9" t="s">
        <v>2115</v>
      </c>
      <c r="G544" s="9">
        <v>1</v>
      </c>
      <c r="H544" s="9"/>
      <c r="I544" s="9"/>
      <c r="J544" s="9"/>
      <c r="K544" s="9" t="b">
        <v>0</v>
      </c>
      <c r="L544" s="9" t="s">
        <v>777</v>
      </c>
      <c r="M544" s="9" t="b">
        <v>0</v>
      </c>
      <c r="N544" s="9" t="s">
        <v>2116</v>
      </c>
      <c r="O544" s="9" t="s">
        <v>3803</v>
      </c>
      <c r="P544" s="7">
        <v>801</v>
      </c>
      <c r="Q544" s="7">
        <v>531</v>
      </c>
      <c r="R544" s="7">
        <v>300</v>
      </c>
      <c r="S544" s="7">
        <v>114</v>
      </c>
      <c r="T544" s="8">
        <v>5.3</v>
      </c>
      <c r="U544" s="8">
        <v>2</v>
      </c>
      <c r="V544" s="17">
        <v>2</v>
      </c>
      <c r="AD544" s="1"/>
      <c r="AE544" s="3"/>
      <c r="AF544" s="3"/>
      <c r="AG544" s="3"/>
      <c r="AH544" s="3"/>
      <c r="AI544" s="3"/>
      <c r="AJ544" s="1"/>
      <c r="AK544" s="1"/>
    </row>
    <row r="545" spans="1:37" x14ac:dyDescent="0.3">
      <c r="A545" s="14">
        <v>687</v>
      </c>
      <c r="B545" s="14">
        <v>3</v>
      </c>
      <c r="C545" s="9" t="s">
        <v>1659</v>
      </c>
      <c r="D545" s="9" t="s">
        <v>411</v>
      </c>
      <c r="E545" s="9" t="s">
        <v>2299</v>
      </c>
      <c r="F545" s="9" t="s">
        <v>2300</v>
      </c>
      <c r="G545" s="9">
        <v>4</v>
      </c>
      <c r="H545" s="9"/>
      <c r="I545" s="9"/>
      <c r="J545" s="9"/>
      <c r="K545" s="9" t="b">
        <v>0</v>
      </c>
      <c r="L545" s="9" t="s">
        <v>2302</v>
      </c>
      <c r="M545" s="9" t="b">
        <v>0</v>
      </c>
      <c r="N545" s="9" t="s">
        <v>2301</v>
      </c>
      <c r="O545" s="9" t="s">
        <v>3862</v>
      </c>
      <c r="P545" s="7">
        <v>561</v>
      </c>
      <c r="Q545" s="7">
        <v>422</v>
      </c>
      <c r="R545" s="7">
        <v>326</v>
      </c>
      <c r="S545" s="7">
        <v>124</v>
      </c>
      <c r="T545" s="8">
        <v>4.7</v>
      </c>
      <c r="U545" s="8">
        <v>3.2</v>
      </c>
      <c r="V545" s="19">
        <v>2</v>
      </c>
      <c r="W545" s="23" t="s">
        <v>4148</v>
      </c>
      <c r="AD545" s="1"/>
      <c r="AE545" s="3"/>
      <c r="AF545" s="2"/>
      <c r="AG545" s="3"/>
      <c r="AH545" s="3"/>
      <c r="AI545" s="3"/>
      <c r="AJ545" s="1"/>
      <c r="AK545" s="1"/>
    </row>
    <row r="546" spans="1:37" x14ac:dyDescent="0.3">
      <c r="A546" s="14">
        <v>882</v>
      </c>
      <c r="B546" s="14">
        <v>4</v>
      </c>
      <c r="C546" s="9" t="s">
        <v>1659</v>
      </c>
      <c r="D546" s="9" t="s">
        <v>1338</v>
      </c>
      <c r="E546" s="9" t="s">
        <v>2892</v>
      </c>
      <c r="F546" s="9" t="s">
        <v>2893</v>
      </c>
      <c r="G546" s="9">
        <v>1</v>
      </c>
      <c r="H546" s="9"/>
      <c r="I546" s="9"/>
      <c r="J546" s="9"/>
      <c r="K546" s="9" t="b">
        <v>0</v>
      </c>
      <c r="L546" s="9" t="s">
        <v>425</v>
      </c>
      <c r="M546" s="9" t="b">
        <v>0</v>
      </c>
      <c r="N546" s="9" t="s">
        <v>2894</v>
      </c>
      <c r="O546" s="9" t="s">
        <v>4057</v>
      </c>
      <c r="P546" s="7">
        <v>102</v>
      </c>
      <c r="Q546" s="7">
        <v>80</v>
      </c>
      <c r="R546" s="7">
        <v>36</v>
      </c>
      <c r="S546" s="7">
        <v>13</v>
      </c>
      <c r="T546" s="8">
        <v>4.0999999999999996</v>
      </c>
      <c r="U546" s="18">
        <v>1.8</v>
      </c>
      <c r="V546" s="19">
        <v>2</v>
      </c>
      <c r="W546" s="23" t="s">
        <v>4150</v>
      </c>
      <c r="AD546" s="1"/>
      <c r="AE546" s="3"/>
      <c r="AF546" s="2"/>
      <c r="AG546" s="2"/>
      <c r="AH546" s="2"/>
      <c r="AI546" s="3"/>
      <c r="AJ546" s="1"/>
      <c r="AK546" s="1"/>
    </row>
    <row r="547" spans="1:37" x14ac:dyDescent="0.3">
      <c r="A547" s="14">
        <v>886</v>
      </c>
      <c r="B547" s="14">
        <v>4</v>
      </c>
      <c r="C547" s="9" t="s">
        <v>1659</v>
      </c>
      <c r="D547" s="9" t="s">
        <v>1338</v>
      </c>
      <c r="E547" s="9" t="s">
        <v>2904</v>
      </c>
      <c r="F547" s="9" t="s">
        <v>2905</v>
      </c>
      <c r="G547" s="9">
        <v>4</v>
      </c>
      <c r="H547" s="9"/>
      <c r="I547" s="9"/>
      <c r="J547" s="9"/>
      <c r="K547" s="9" t="b">
        <v>0</v>
      </c>
      <c r="L547" s="9" t="s">
        <v>437</v>
      </c>
      <c r="M547" s="9" t="b">
        <v>1</v>
      </c>
      <c r="N547" s="9" t="s">
        <v>2906</v>
      </c>
      <c r="O547" s="9" t="s">
        <v>4061</v>
      </c>
      <c r="P547" s="7">
        <v>4</v>
      </c>
      <c r="Q547" s="7">
        <v>4</v>
      </c>
      <c r="R547" s="7">
        <v>2</v>
      </c>
      <c r="S547" s="7">
        <v>0</v>
      </c>
      <c r="T547" s="8">
        <v>5.5</v>
      </c>
      <c r="U547" s="18">
        <v>0</v>
      </c>
      <c r="V547" s="19">
        <v>2</v>
      </c>
      <c r="W547" s="23" t="s">
        <v>4153</v>
      </c>
      <c r="AD547" s="1"/>
      <c r="AE547" s="3"/>
      <c r="AF547" s="3"/>
      <c r="AG547" s="3"/>
      <c r="AH547" s="3"/>
      <c r="AI547" s="3"/>
      <c r="AJ547" s="1"/>
      <c r="AK547" s="1"/>
    </row>
    <row r="548" spans="1:37" x14ac:dyDescent="0.3">
      <c r="A548" s="14">
        <v>736</v>
      </c>
      <c r="B548" s="14">
        <v>3</v>
      </c>
      <c r="C548" s="9" t="s">
        <v>1659</v>
      </c>
      <c r="D548" s="9" t="s">
        <v>411</v>
      </c>
      <c r="E548" s="9" t="s">
        <v>2449</v>
      </c>
      <c r="F548" s="9" t="s">
        <v>2450</v>
      </c>
      <c r="G548" s="9">
        <v>1</v>
      </c>
      <c r="H548" s="9"/>
      <c r="I548" s="9"/>
      <c r="J548" s="9"/>
      <c r="K548" s="9" t="b">
        <v>0</v>
      </c>
      <c r="L548" s="9" t="s">
        <v>223</v>
      </c>
      <c r="M548" s="9" t="b">
        <v>0</v>
      </c>
      <c r="N548" s="9" t="s">
        <v>2451</v>
      </c>
      <c r="O548" s="9" t="s">
        <v>3911</v>
      </c>
      <c r="P548" s="7">
        <v>1241</v>
      </c>
      <c r="Q548" s="7">
        <v>1119</v>
      </c>
      <c r="R548" s="7">
        <v>665</v>
      </c>
      <c r="S548" s="7">
        <v>177</v>
      </c>
      <c r="T548" s="8">
        <v>4.7</v>
      </c>
      <c r="U548" s="8">
        <v>2</v>
      </c>
      <c r="V548" s="17">
        <v>2</v>
      </c>
      <c r="AD548" s="1"/>
      <c r="AE548" s="3"/>
      <c r="AF548" s="2"/>
      <c r="AG548" s="3"/>
      <c r="AH548" s="3"/>
      <c r="AI548" s="3"/>
      <c r="AJ548" s="1"/>
      <c r="AK548" s="1"/>
    </row>
    <row r="549" spans="1:37" x14ac:dyDescent="0.3">
      <c r="A549" s="14">
        <v>820</v>
      </c>
      <c r="B549" s="14">
        <v>1</v>
      </c>
      <c r="C549" s="9" t="s">
        <v>1659</v>
      </c>
      <c r="D549" s="9" t="s">
        <v>1077</v>
      </c>
      <c r="E549" s="9" t="s">
        <v>2704</v>
      </c>
      <c r="F549" s="9" t="s">
        <v>2705</v>
      </c>
      <c r="G549" s="9">
        <v>4</v>
      </c>
      <c r="H549" s="9"/>
      <c r="I549" s="9"/>
      <c r="J549" s="9"/>
      <c r="K549" s="9" t="b">
        <v>0</v>
      </c>
      <c r="L549" s="9" t="s">
        <v>7</v>
      </c>
      <c r="M549" s="9" t="b">
        <v>0</v>
      </c>
      <c r="N549" s="9" t="s">
        <v>2706</v>
      </c>
      <c r="O549" s="9" t="s">
        <v>3995</v>
      </c>
      <c r="P549" s="7">
        <v>1297</v>
      </c>
      <c r="Q549" s="7">
        <v>967</v>
      </c>
      <c r="R549" s="7">
        <v>575</v>
      </c>
      <c r="S549" s="7">
        <v>181</v>
      </c>
      <c r="T549" s="8">
        <v>4.8</v>
      </c>
      <c r="U549" s="8">
        <v>2</v>
      </c>
      <c r="V549" s="17">
        <v>2</v>
      </c>
      <c r="AD549" s="1"/>
      <c r="AE549" s="3"/>
      <c r="AF549" s="2"/>
      <c r="AG549" s="3"/>
      <c r="AH549" s="3"/>
      <c r="AI549" s="3"/>
      <c r="AJ549" s="1"/>
      <c r="AK549" s="1"/>
    </row>
    <row r="550" spans="1:37" x14ac:dyDescent="0.3">
      <c r="A550" s="14">
        <v>741</v>
      </c>
      <c r="B550" s="14">
        <v>3</v>
      </c>
      <c r="C550" s="9" t="s">
        <v>1659</v>
      </c>
      <c r="D550" s="9" t="s">
        <v>411</v>
      </c>
      <c r="E550" s="9" t="s">
        <v>2465</v>
      </c>
      <c r="F550" s="9" t="s">
        <v>2466</v>
      </c>
      <c r="G550" s="9">
        <v>1</v>
      </c>
      <c r="H550" s="9"/>
      <c r="I550" s="9"/>
      <c r="J550" s="9"/>
      <c r="K550" s="9" t="b">
        <v>0</v>
      </c>
      <c r="L550" s="9" t="s">
        <v>777</v>
      </c>
      <c r="M550" s="9" t="b">
        <v>0</v>
      </c>
      <c r="N550" s="9" t="s">
        <v>2467</v>
      </c>
      <c r="O550" s="9" t="s">
        <v>3916</v>
      </c>
      <c r="P550" s="7">
        <v>1085</v>
      </c>
      <c r="Q550" s="7">
        <v>938</v>
      </c>
      <c r="R550" s="7">
        <v>577</v>
      </c>
      <c r="S550" s="7">
        <v>198</v>
      </c>
      <c r="T550" s="8">
        <v>4.4000000000000004</v>
      </c>
      <c r="U550" s="8">
        <v>2.6</v>
      </c>
      <c r="V550" s="19">
        <v>2</v>
      </c>
      <c r="W550" s="23" t="s">
        <v>4156</v>
      </c>
      <c r="AD550" s="1"/>
      <c r="AE550" s="3"/>
      <c r="AF550" s="3"/>
      <c r="AG550" s="3"/>
      <c r="AH550" s="3"/>
      <c r="AI550" s="3"/>
      <c r="AJ550" s="1"/>
      <c r="AK550" s="1"/>
    </row>
    <row r="551" spans="1:37" x14ac:dyDescent="0.3">
      <c r="A551" s="14">
        <v>760</v>
      </c>
      <c r="B551" s="14">
        <v>3</v>
      </c>
      <c r="C551" s="9" t="s">
        <v>1659</v>
      </c>
      <c r="D551" s="9" t="s">
        <v>411</v>
      </c>
      <c r="E551" s="9" t="s">
        <v>2523</v>
      </c>
      <c r="F551" s="9" t="s">
        <v>2524</v>
      </c>
      <c r="G551" s="9">
        <v>1</v>
      </c>
      <c r="H551" s="9"/>
      <c r="I551" s="9"/>
      <c r="J551" s="9"/>
      <c r="K551" s="9" t="b">
        <v>0</v>
      </c>
      <c r="L551" s="9" t="s">
        <v>420</v>
      </c>
      <c r="M551" s="9" t="b">
        <v>0</v>
      </c>
      <c r="N551" s="9" t="s">
        <v>2525</v>
      </c>
      <c r="O551" s="9" t="s">
        <v>3935</v>
      </c>
      <c r="P551" s="7">
        <v>1107</v>
      </c>
      <c r="Q551" s="7">
        <v>988</v>
      </c>
      <c r="R551" s="7">
        <v>603</v>
      </c>
      <c r="S551" s="7">
        <v>155</v>
      </c>
      <c r="T551" s="8">
        <v>4.3</v>
      </c>
      <c r="U551" s="8">
        <v>2</v>
      </c>
      <c r="V551" s="17">
        <v>2</v>
      </c>
      <c r="AD551" s="1"/>
      <c r="AE551" s="3"/>
      <c r="AF551" s="3"/>
      <c r="AG551" s="3"/>
      <c r="AH551" s="3"/>
      <c r="AI551" s="3"/>
      <c r="AJ551" s="1"/>
      <c r="AK551" s="1"/>
    </row>
    <row r="552" spans="1:37" x14ac:dyDescent="0.3">
      <c r="A552" s="14">
        <v>955</v>
      </c>
      <c r="B552" s="14">
        <v>2</v>
      </c>
      <c r="C552" s="9" t="s">
        <v>1659</v>
      </c>
      <c r="D552" s="9" t="s">
        <v>1457</v>
      </c>
      <c r="E552" s="9" t="s">
        <v>3114</v>
      </c>
      <c r="F552" s="9" t="s">
        <v>3115</v>
      </c>
      <c r="G552" s="9">
        <v>1</v>
      </c>
      <c r="H552" s="9"/>
      <c r="I552" s="9"/>
      <c r="J552" s="9"/>
      <c r="K552" s="9" t="b">
        <v>0</v>
      </c>
      <c r="L552" s="9" t="s">
        <v>3117</v>
      </c>
      <c r="M552" s="9" t="b">
        <v>0</v>
      </c>
      <c r="N552" s="9" t="s">
        <v>3116</v>
      </c>
      <c r="O552" s="9" t="s">
        <v>4127</v>
      </c>
      <c r="P552" s="7">
        <v>1298</v>
      </c>
      <c r="Q552" s="7">
        <v>1108</v>
      </c>
      <c r="R552" s="7">
        <v>807</v>
      </c>
      <c r="S552" s="7">
        <v>182</v>
      </c>
      <c r="T552" s="8">
        <v>4.0999999999999996</v>
      </c>
      <c r="U552" s="8">
        <v>2</v>
      </c>
      <c r="V552" s="17">
        <v>2</v>
      </c>
      <c r="AD552" s="1"/>
      <c r="AE552" s="3"/>
      <c r="AF552" s="2"/>
      <c r="AG552" s="3"/>
      <c r="AH552" s="3"/>
      <c r="AI552" s="3"/>
      <c r="AJ552" s="1"/>
      <c r="AK552" s="1"/>
    </row>
    <row r="553" spans="1:37" x14ac:dyDescent="0.3">
      <c r="A553" s="14">
        <v>762</v>
      </c>
      <c r="B553" s="14">
        <v>3</v>
      </c>
      <c r="C553" s="9" t="s">
        <v>1659</v>
      </c>
      <c r="D553" s="9" t="s">
        <v>411</v>
      </c>
      <c r="E553" s="9" t="s">
        <v>2529</v>
      </c>
      <c r="F553" s="9" t="s">
        <v>2530</v>
      </c>
      <c r="G553" s="9">
        <v>1</v>
      </c>
      <c r="H553" s="9"/>
      <c r="I553" s="9"/>
      <c r="J553" s="9"/>
      <c r="K553" s="9" t="b">
        <v>0</v>
      </c>
      <c r="L553" s="9" t="s">
        <v>437</v>
      </c>
      <c r="M553" s="9" t="b">
        <v>0</v>
      </c>
      <c r="N553" s="9" t="s">
        <v>2531</v>
      </c>
      <c r="O553" s="9" t="s">
        <v>3937</v>
      </c>
      <c r="P553" s="7">
        <v>971</v>
      </c>
      <c r="Q553" s="7">
        <v>808</v>
      </c>
      <c r="R553" s="7">
        <v>442</v>
      </c>
      <c r="S553" s="7">
        <v>134</v>
      </c>
      <c r="T553" s="8">
        <v>4.9000000000000004</v>
      </c>
      <c r="U553" s="8">
        <v>2</v>
      </c>
      <c r="V553" s="17">
        <v>2</v>
      </c>
      <c r="AD553" s="1"/>
      <c r="AE553" s="3"/>
      <c r="AF553" s="2"/>
      <c r="AG553" s="3"/>
      <c r="AH553" s="3"/>
      <c r="AI553" s="3"/>
      <c r="AJ553" s="1"/>
      <c r="AK553" s="1"/>
    </row>
    <row r="554" spans="1:37" x14ac:dyDescent="0.3">
      <c r="A554" s="14">
        <v>963</v>
      </c>
      <c r="B554" s="14">
        <v>2</v>
      </c>
      <c r="C554" s="9" t="s">
        <v>1659</v>
      </c>
      <c r="D554" s="9" t="s">
        <v>1457</v>
      </c>
      <c r="E554" s="9" t="s">
        <v>3142</v>
      </c>
      <c r="F554" s="9" t="s">
        <v>3143</v>
      </c>
      <c r="G554" s="9">
        <v>1</v>
      </c>
      <c r="H554" s="9"/>
      <c r="I554" s="9"/>
      <c r="J554" s="9"/>
      <c r="K554" s="9" t="b">
        <v>0</v>
      </c>
      <c r="L554" s="9" t="s">
        <v>1461</v>
      </c>
      <c r="M554" s="9" t="b">
        <v>1</v>
      </c>
      <c r="N554" s="9" t="s">
        <v>3144</v>
      </c>
      <c r="O554" s="9" t="s">
        <v>4135</v>
      </c>
      <c r="P554" s="7">
        <v>1344</v>
      </c>
      <c r="Q554" s="7">
        <v>1015</v>
      </c>
      <c r="R554" s="7">
        <v>622</v>
      </c>
      <c r="S554" s="7">
        <v>190</v>
      </c>
      <c r="T554" s="8">
        <v>4.7</v>
      </c>
      <c r="U554" s="8">
        <v>2</v>
      </c>
      <c r="V554" s="17">
        <v>2</v>
      </c>
      <c r="AD554" s="1"/>
      <c r="AE554" s="3"/>
      <c r="AF554" s="2"/>
      <c r="AG554" s="2"/>
      <c r="AH554" s="2"/>
      <c r="AI554" s="3"/>
      <c r="AJ554" s="1"/>
      <c r="AK554" s="1"/>
    </row>
    <row r="555" spans="1:37" x14ac:dyDescent="0.3">
      <c r="A555" s="14">
        <v>110</v>
      </c>
      <c r="B555" s="14">
        <v>3</v>
      </c>
      <c r="C555" s="9" t="s">
        <v>0</v>
      </c>
      <c r="D555" s="9" t="s">
        <v>411</v>
      </c>
      <c r="E555" s="9" t="s">
        <v>417</v>
      </c>
      <c r="F555" s="9" t="s">
        <v>418</v>
      </c>
      <c r="G555" s="9">
        <v>1</v>
      </c>
      <c r="H555" s="9" t="s">
        <v>252</v>
      </c>
      <c r="I555" s="9"/>
      <c r="J555" s="9"/>
      <c r="K555" s="9" t="b">
        <v>0</v>
      </c>
      <c r="L555" s="9" t="s">
        <v>420</v>
      </c>
      <c r="M555" s="9" t="b">
        <v>0</v>
      </c>
      <c r="N555" s="9" t="s">
        <v>419</v>
      </c>
      <c r="O555" s="9" t="s">
        <v>3286</v>
      </c>
      <c r="P555" s="7">
        <v>1168</v>
      </c>
      <c r="Q555" s="7">
        <v>596</v>
      </c>
      <c r="R555" s="7">
        <v>464</v>
      </c>
      <c r="S555" s="7">
        <v>167</v>
      </c>
      <c r="T555" s="8">
        <v>4.4000000000000004</v>
      </c>
      <c r="U555" s="8">
        <v>2</v>
      </c>
      <c r="V555" s="17">
        <v>2</v>
      </c>
      <c r="AD555" s="1"/>
      <c r="AE555" s="3"/>
      <c r="AF555" s="3"/>
      <c r="AG555" s="3"/>
      <c r="AH555" s="3"/>
      <c r="AI555" s="3"/>
      <c r="AJ555" s="1"/>
      <c r="AK555" s="1"/>
    </row>
    <row r="556" spans="1:37" x14ac:dyDescent="0.3">
      <c r="A556" s="14">
        <v>425</v>
      </c>
      <c r="B556" s="14">
        <v>2</v>
      </c>
      <c r="C556" s="9" t="s">
        <v>0</v>
      </c>
      <c r="D556" s="9" t="s">
        <v>1457</v>
      </c>
      <c r="E556" s="9" t="s">
        <v>1475</v>
      </c>
      <c r="F556" s="9" t="s">
        <v>1476</v>
      </c>
      <c r="G556" s="9">
        <v>1</v>
      </c>
      <c r="H556" s="9" t="s">
        <v>3163</v>
      </c>
      <c r="I556" s="9"/>
      <c r="J556" s="9"/>
      <c r="K556" s="9" t="b">
        <v>1</v>
      </c>
      <c r="L556" s="9" t="s">
        <v>1478</v>
      </c>
      <c r="M556" s="9" t="b">
        <v>0</v>
      </c>
      <c r="N556" s="9" t="s">
        <v>1477</v>
      </c>
      <c r="O556" s="9" t="s">
        <v>3600</v>
      </c>
      <c r="P556" s="7">
        <v>1359</v>
      </c>
      <c r="Q556" s="7">
        <v>1268</v>
      </c>
      <c r="R556" s="7">
        <v>760</v>
      </c>
      <c r="S556" s="7">
        <v>192</v>
      </c>
      <c r="T556" s="8">
        <v>3.9</v>
      </c>
      <c r="U556" s="8">
        <v>2</v>
      </c>
      <c r="V556" s="17">
        <v>2</v>
      </c>
      <c r="AD556" s="1"/>
      <c r="AE556" s="3"/>
      <c r="AF556" s="3"/>
      <c r="AG556" s="3"/>
      <c r="AH556" s="3"/>
      <c r="AI556" s="3"/>
      <c r="AJ556" s="1"/>
      <c r="AK556" s="1"/>
    </row>
    <row r="557" spans="1:37" x14ac:dyDescent="0.3">
      <c r="A557" s="14">
        <v>385</v>
      </c>
      <c r="B557" s="14">
        <v>4</v>
      </c>
      <c r="C557" s="9" t="s">
        <v>0</v>
      </c>
      <c r="D557" s="9" t="s">
        <v>1338</v>
      </c>
      <c r="E557" s="9" t="s">
        <v>1348</v>
      </c>
      <c r="F557" s="9" t="s">
        <v>1349</v>
      </c>
      <c r="G557" s="9">
        <v>1</v>
      </c>
      <c r="H557" s="9"/>
      <c r="I557" s="9" t="s">
        <v>51</v>
      </c>
      <c r="J557" s="9"/>
      <c r="K557" s="9" t="b">
        <v>0</v>
      </c>
      <c r="L557" s="9" t="s">
        <v>1351</v>
      </c>
      <c r="M557" s="9" t="b">
        <v>0</v>
      </c>
      <c r="N557" s="9" t="s">
        <v>1350</v>
      </c>
      <c r="O557" s="9" t="s">
        <v>3561</v>
      </c>
      <c r="P557" s="7">
        <v>113</v>
      </c>
      <c r="Q557" s="7">
        <v>84</v>
      </c>
      <c r="R557" s="7">
        <v>70</v>
      </c>
      <c r="S557" s="7">
        <v>23</v>
      </c>
      <c r="T557" s="8">
        <v>5.0999999999999996</v>
      </c>
      <c r="U557" s="18">
        <v>2.9</v>
      </c>
      <c r="V557" s="19">
        <v>2</v>
      </c>
      <c r="W557" s="23" t="s">
        <v>4167</v>
      </c>
      <c r="AD557" s="1"/>
      <c r="AE557" s="3"/>
      <c r="AF557" s="2"/>
      <c r="AG557" s="3"/>
      <c r="AH557" s="3"/>
      <c r="AI557" s="3"/>
      <c r="AJ557" s="1"/>
      <c r="AK557" s="1"/>
    </row>
    <row r="558" spans="1:37" x14ac:dyDescent="0.3">
      <c r="A558" s="14">
        <v>344</v>
      </c>
      <c r="B558" s="14">
        <v>1</v>
      </c>
      <c r="C558" s="9" t="s">
        <v>0</v>
      </c>
      <c r="D558" s="9" t="s">
        <v>1208</v>
      </c>
      <c r="E558" s="9" t="s">
        <v>1219</v>
      </c>
      <c r="F558" s="9" t="s">
        <v>1220</v>
      </c>
      <c r="G558" s="9">
        <v>1</v>
      </c>
      <c r="H558" s="9"/>
      <c r="I558" s="9" t="s">
        <v>77</v>
      </c>
      <c r="J558" s="9"/>
      <c r="K558" s="9" t="b">
        <v>1</v>
      </c>
      <c r="L558" s="9" t="s">
        <v>7</v>
      </c>
      <c r="M558" s="9" t="b">
        <v>0</v>
      </c>
      <c r="N558" s="9" t="s">
        <v>1221</v>
      </c>
      <c r="O558" s="9" t="s">
        <v>3520</v>
      </c>
      <c r="P558" s="7">
        <v>1361</v>
      </c>
      <c r="Q558" s="7">
        <v>943</v>
      </c>
      <c r="R558" s="7">
        <v>656</v>
      </c>
      <c r="S558" s="7">
        <v>188</v>
      </c>
      <c r="T558" s="8">
        <v>5.5</v>
      </c>
      <c r="U558" s="8">
        <v>2</v>
      </c>
      <c r="V558" s="17">
        <v>2</v>
      </c>
      <c r="AD558" s="1"/>
      <c r="AE558" s="3"/>
      <c r="AF558" s="2"/>
      <c r="AG558" s="3"/>
      <c r="AH558" s="3"/>
      <c r="AI558" s="3"/>
      <c r="AJ558" s="1"/>
      <c r="AK558" s="1"/>
    </row>
    <row r="559" spans="1:37" x14ac:dyDescent="0.3">
      <c r="A559" s="14">
        <v>388</v>
      </c>
      <c r="B559" s="14">
        <v>4</v>
      </c>
      <c r="C559" s="9" t="s">
        <v>0</v>
      </c>
      <c r="D559" s="9" t="s">
        <v>1338</v>
      </c>
      <c r="E559" s="9" t="s">
        <v>1358</v>
      </c>
      <c r="F559" s="9" t="s">
        <v>1359</v>
      </c>
      <c r="G559" s="9">
        <v>1</v>
      </c>
      <c r="H559" s="9" t="s">
        <v>50</v>
      </c>
      <c r="I559" s="9"/>
      <c r="J559" s="9">
        <v>1</v>
      </c>
      <c r="K559" s="9" t="b">
        <v>0</v>
      </c>
      <c r="L559" s="9" t="s">
        <v>416</v>
      </c>
      <c r="M559" s="9" t="b">
        <v>0</v>
      </c>
      <c r="N559" s="9" t="s">
        <v>1176</v>
      </c>
      <c r="O559" s="9" t="s">
        <v>3564</v>
      </c>
      <c r="P559" s="7">
        <v>201</v>
      </c>
      <c r="Q559" s="7">
        <v>142</v>
      </c>
      <c r="R559" s="7">
        <v>97</v>
      </c>
      <c r="S559" s="7">
        <v>28</v>
      </c>
      <c r="T559" s="8">
        <v>4.5</v>
      </c>
      <c r="U559" s="8">
        <v>2</v>
      </c>
      <c r="V559" s="19">
        <v>2</v>
      </c>
      <c r="W559" s="24" t="s">
        <v>4171</v>
      </c>
      <c r="AD559" s="1"/>
      <c r="AE559" s="3"/>
      <c r="AF559" s="2"/>
      <c r="AG559" s="3"/>
      <c r="AH559" s="3"/>
      <c r="AI559" s="3"/>
      <c r="AJ559" s="1"/>
      <c r="AK559" s="1"/>
    </row>
    <row r="560" spans="1:37" x14ac:dyDescent="0.3">
      <c r="A560" s="14">
        <v>145</v>
      </c>
      <c r="B560" s="14">
        <v>3</v>
      </c>
      <c r="C560" s="9" t="s">
        <v>0</v>
      </c>
      <c r="D560" s="9" t="s">
        <v>411</v>
      </c>
      <c r="E560" s="9" t="s">
        <v>550</v>
      </c>
      <c r="F560" s="9" t="s">
        <v>551</v>
      </c>
      <c r="G560" s="9">
        <v>1</v>
      </c>
      <c r="H560" s="9"/>
      <c r="I560" s="9" t="s">
        <v>552</v>
      </c>
      <c r="J560" s="9"/>
      <c r="K560" s="9" t="b">
        <v>1</v>
      </c>
      <c r="L560" s="9" t="s">
        <v>416</v>
      </c>
      <c r="M560" s="9" t="b">
        <v>0</v>
      </c>
      <c r="N560" s="9" t="s">
        <v>553</v>
      </c>
      <c r="O560" s="9" t="s">
        <v>3321</v>
      </c>
      <c r="P560" s="7">
        <v>970</v>
      </c>
      <c r="Q560" s="7">
        <v>684</v>
      </c>
      <c r="R560" s="7">
        <v>477</v>
      </c>
      <c r="S560" s="7">
        <v>138</v>
      </c>
      <c r="T560" s="8">
        <v>5.2</v>
      </c>
      <c r="U560" s="8">
        <v>2</v>
      </c>
      <c r="V560" s="17">
        <v>2</v>
      </c>
      <c r="AD560" s="1"/>
      <c r="AE560" s="3"/>
      <c r="AF560" s="2"/>
      <c r="AG560" s="2"/>
      <c r="AH560" s="3"/>
      <c r="AI560" s="3"/>
      <c r="AJ560" s="1"/>
      <c r="AK560" s="1"/>
    </row>
    <row r="561" spans="1:37" x14ac:dyDescent="0.3">
      <c r="A561" s="14">
        <v>175</v>
      </c>
      <c r="B561" s="14">
        <v>3</v>
      </c>
      <c r="C561" s="9" t="s">
        <v>0</v>
      </c>
      <c r="D561" s="9" t="s">
        <v>411</v>
      </c>
      <c r="E561" s="9" t="s">
        <v>657</v>
      </c>
      <c r="F561" s="9" t="s">
        <v>658</v>
      </c>
      <c r="G561" s="9">
        <v>1</v>
      </c>
      <c r="H561" s="9"/>
      <c r="I561" s="9" t="s">
        <v>46</v>
      </c>
      <c r="J561" s="9"/>
      <c r="K561" s="9" t="b">
        <v>1</v>
      </c>
      <c r="L561" s="9" t="s">
        <v>526</v>
      </c>
      <c r="M561" s="9" t="b">
        <v>0</v>
      </c>
      <c r="N561" s="9" t="s">
        <v>659</v>
      </c>
      <c r="O561" s="9" t="s">
        <v>3351</v>
      </c>
      <c r="P561" s="7">
        <v>982</v>
      </c>
      <c r="Q561" s="7">
        <v>648</v>
      </c>
      <c r="R561" s="7">
        <v>451</v>
      </c>
      <c r="S561" s="7">
        <v>139</v>
      </c>
      <c r="T561" s="8">
        <v>5.3</v>
      </c>
      <c r="U561" s="8">
        <v>2</v>
      </c>
      <c r="V561" s="17">
        <v>2</v>
      </c>
      <c r="AD561" s="1"/>
      <c r="AE561" s="3"/>
      <c r="AF561" s="2"/>
      <c r="AG561" s="2"/>
      <c r="AH561" s="2"/>
      <c r="AI561" s="3"/>
      <c r="AJ561" s="1"/>
      <c r="AK561" s="1"/>
    </row>
    <row r="562" spans="1:37" x14ac:dyDescent="0.3">
      <c r="A562" s="14">
        <v>179</v>
      </c>
      <c r="B562" s="14">
        <v>3</v>
      </c>
      <c r="C562" s="9" t="s">
        <v>0</v>
      </c>
      <c r="D562" s="9" t="s">
        <v>411</v>
      </c>
      <c r="E562" s="9" t="s">
        <v>669</v>
      </c>
      <c r="F562" s="9" t="s">
        <v>670</v>
      </c>
      <c r="G562" s="9">
        <v>1</v>
      </c>
      <c r="H562" s="9" t="s">
        <v>671</v>
      </c>
      <c r="I562" s="9"/>
      <c r="J562" s="9"/>
      <c r="K562" s="9" t="b">
        <v>0</v>
      </c>
      <c r="L562" s="9" t="s">
        <v>453</v>
      </c>
      <c r="M562" s="9" t="b">
        <v>0</v>
      </c>
      <c r="N562" s="9" t="s">
        <v>672</v>
      </c>
      <c r="O562" s="9" t="s">
        <v>3355</v>
      </c>
      <c r="P562" s="7">
        <v>1017</v>
      </c>
      <c r="Q562" s="7">
        <v>689</v>
      </c>
      <c r="R562" s="7">
        <v>431</v>
      </c>
      <c r="S562" s="7">
        <v>140</v>
      </c>
      <c r="T562" s="8">
        <v>3.9</v>
      </c>
      <c r="U562" s="8">
        <v>2</v>
      </c>
      <c r="V562" s="17">
        <v>2</v>
      </c>
      <c r="AD562" s="1"/>
      <c r="AE562" s="3"/>
      <c r="AF562" s="2"/>
      <c r="AG562" s="3"/>
      <c r="AH562" s="3"/>
      <c r="AI562" s="3"/>
      <c r="AJ562" s="1"/>
      <c r="AK562" s="1"/>
    </row>
    <row r="563" spans="1:37" x14ac:dyDescent="0.3">
      <c r="A563" s="14">
        <v>71</v>
      </c>
      <c r="B563" s="14">
        <v>2</v>
      </c>
      <c r="C563" s="9" t="s">
        <v>0</v>
      </c>
      <c r="D563" s="9" t="s">
        <v>180</v>
      </c>
      <c r="E563" s="9" t="s">
        <v>263</v>
      </c>
      <c r="F563" s="9" t="s">
        <v>264</v>
      </c>
      <c r="G563" s="9">
        <v>1</v>
      </c>
      <c r="H563" s="9" t="s">
        <v>265</v>
      </c>
      <c r="I563" s="9"/>
      <c r="J563" s="9">
        <v>1</v>
      </c>
      <c r="K563" s="9" t="b">
        <v>0</v>
      </c>
      <c r="L563" s="9" t="s">
        <v>238</v>
      </c>
      <c r="M563" s="9" t="b">
        <v>0</v>
      </c>
      <c r="N563" s="9" t="s">
        <v>266</v>
      </c>
      <c r="O563" s="9" t="s">
        <v>3247</v>
      </c>
      <c r="P563" s="7">
        <v>1439</v>
      </c>
      <c r="Q563" s="7">
        <v>1032</v>
      </c>
      <c r="R563" s="7">
        <v>590</v>
      </c>
      <c r="S563" s="7">
        <v>199</v>
      </c>
      <c r="T563" s="8">
        <v>5.0999999999999996</v>
      </c>
      <c r="U563" s="8">
        <v>2</v>
      </c>
      <c r="V563" s="17">
        <v>2</v>
      </c>
      <c r="AD563" s="1"/>
      <c r="AE563" s="3"/>
      <c r="AF563" s="2"/>
      <c r="AG563" s="3"/>
      <c r="AH563" s="3"/>
      <c r="AI563" s="3"/>
      <c r="AJ563" s="1"/>
      <c r="AK563" s="1"/>
    </row>
    <row r="564" spans="1:37" x14ac:dyDescent="0.3">
      <c r="A564" s="14">
        <v>452</v>
      </c>
      <c r="B564" s="14">
        <v>2</v>
      </c>
      <c r="C564" s="9" t="s">
        <v>0</v>
      </c>
      <c r="D564" s="9" t="s">
        <v>1457</v>
      </c>
      <c r="E564" s="9" t="s">
        <v>1569</v>
      </c>
      <c r="F564" s="9" t="s">
        <v>1570</v>
      </c>
      <c r="G564" s="9">
        <v>1</v>
      </c>
      <c r="H564" s="9"/>
      <c r="I564" s="9" t="s">
        <v>5</v>
      </c>
      <c r="J564" s="9"/>
      <c r="K564" s="9" t="b">
        <v>0</v>
      </c>
      <c r="L564" s="9" t="s">
        <v>1482</v>
      </c>
      <c r="M564" s="9" t="b">
        <v>0</v>
      </c>
      <c r="N564" s="9" t="s">
        <v>1571</v>
      </c>
      <c r="O564" s="9" t="s">
        <v>3627</v>
      </c>
      <c r="P564" s="7">
        <v>1380</v>
      </c>
      <c r="Q564" s="7">
        <v>1083</v>
      </c>
      <c r="R564" s="7">
        <v>693</v>
      </c>
      <c r="S564" s="7">
        <v>195</v>
      </c>
      <c r="T564" s="8">
        <v>4.0999999999999996</v>
      </c>
      <c r="U564" s="8">
        <v>2</v>
      </c>
      <c r="V564" s="17">
        <v>2</v>
      </c>
      <c r="AD564" s="1"/>
      <c r="AE564" s="3"/>
      <c r="AF564" s="2"/>
      <c r="AG564" s="2"/>
      <c r="AH564" s="3"/>
      <c r="AI564" s="3"/>
      <c r="AJ564" s="1"/>
      <c r="AK564" s="1"/>
    </row>
    <row r="565" spans="1:37" x14ac:dyDescent="0.3">
      <c r="A565" s="14">
        <v>78</v>
      </c>
      <c r="B565" s="14">
        <v>2</v>
      </c>
      <c r="C565" s="9" t="s">
        <v>0</v>
      </c>
      <c r="D565" s="9" t="s">
        <v>180</v>
      </c>
      <c r="E565" s="9" t="s">
        <v>293</v>
      </c>
      <c r="F565" s="9" t="s">
        <v>294</v>
      </c>
      <c r="G565" s="9">
        <v>1</v>
      </c>
      <c r="H565" s="9"/>
      <c r="I565" s="9" t="s">
        <v>22</v>
      </c>
      <c r="J565" s="9"/>
      <c r="K565" s="9" t="b">
        <v>0</v>
      </c>
      <c r="L565" s="9" t="s">
        <v>296</v>
      </c>
      <c r="M565" s="9" t="b">
        <v>0</v>
      </c>
      <c r="N565" s="9" t="s">
        <v>295</v>
      </c>
      <c r="O565" s="9" t="s">
        <v>3254</v>
      </c>
      <c r="P565" s="7">
        <v>1307</v>
      </c>
      <c r="Q565" s="7">
        <v>1170</v>
      </c>
      <c r="R565" s="7">
        <v>971</v>
      </c>
      <c r="S565" s="7">
        <v>181</v>
      </c>
      <c r="T565" s="8">
        <v>3.8</v>
      </c>
      <c r="U565" s="8">
        <v>2</v>
      </c>
      <c r="V565" s="17">
        <v>2</v>
      </c>
      <c r="AD565" s="1"/>
      <c r="AE565" s="3"/>
      <c r="AF565" s="3"/>
      <c r="AG565" s="3"/>
      <c r="AH565" s="3"/>
      <c r="AI565" s="3"/>
      <c r="AJ565" s="1"/>
      <c r="AK565" s="1"/>
    </row>
    <row r="566" spans="1:37" x14ac:dyDescent="0.3">
      <c r="A566" s="14">
        <v>456</v>
      </c>
      <c r="B566" s="14">
        <v>2</v>
      </c>
      <c r="C566" s="9" t="s">
        <v>0</v>
      </c>
      <c r="D566" s="9" t="s">
        <v>1457</v>
      </c>
      <c r="E566" s="9" t="s">
        <v>1581</v>
      </c>
      <c r="F566" s="9" t="s">
        <v>1582</v>
      </c>
      <c r="G566" s="9">
        <v>1</v>
      </c>
      <c r="H566" s="9"/>
      <c r="I566" s="9" t="s">
        <v>114</v>
      </c>
      <c r="J566" s="9">
        <v>1</v>
      </c>
      <c r="K566" s="9" t="b">
        <v>0</v>
      </c>
      <c r="L566" s="9" t="s">
        <v>1496</v>
      </c>
      <c r="M566" s="9" t="b">
        <v>0</v>
      </c>
      <c r="N566" s="9" t="s">
        <v>1583</v>
      </c>
      <c r="O566" s="9" t="s">
        <v>3631</v>
      </c>
      <c r="P566" s="7">
        <v>1273</v>
      </c>
      <c r="Q566" s="7">
        <v>1193</v>
      </c>
      <c r="R566" s="7">
        <v>805</v>
      </c>
      <c r="S566" s="7">
        <v>180</v>
      </c>
      <c r="T566" s="8">
        <v>3.5</v>
      </c>
      <c r="U566" s="8">
        <v>2</v>
      </c>
      <c r="V566" s="17">
        <v>2</v>
      </c>
      <c r="AD566" s="1"/>
      <c r="AE566" s="3"/>
      <c r="AF566" s="2"/>
      <c r="AG566" s="2"/>
      <c r="AH566" s="3"/>
      <c r="AI566" s="3"/>
      <c r="AJ566" s="1"/>
      <c r="AK566" s="1"/>
    </row>
    <row r="567" spans="1:37" x14ac:dyDescent="0.3">
      <c r="A567" s="14">
        <v>318</v>
      </c>
      <c r="B567" s="14">
        <v>1</v>
      </c>
      <c r="C567" s="9" t="s">
        <v>0</v>
      </c>
      <c r="D567" s="9" t="s">
        <v>1077</v>
      </c>
      <c r="E567" s="9" t="s">
        <v>1130</v>
      </c>
      <c r="F567" s="9" t="s">
        <v>1131</v>
      </c>
      <c r="G567" s="9">
        <v>1</v>
      </c>
      <c r="H567" s="9"/>
      <c r="I567" s="9" t="s">
        <v>5</v>
      </c>
      <c r="J567" s="9"/>
      <c r="K567" s="9" t="b">
        <v>0</v>
      </c>
      <c r="L567" s="9" t="s">
        <v>7</v>
      </c>
      <c r="M567" s="9" t="b">
        <v>0</v>
      </c>
      <c r="N567" s="9" t="s">
        <v>1132</v>
      </c>
      <c r="O567" s="9" t="s">
        <v>3494</v>
      </c>
      <c r="P567" s="7">
        <v>1381</v>
      </c>
      <c r="Q567" s="7">
        <v>1097</v>
      </c>
      <c r="R567" s="7">
        <v>751</v>
      </c>
      <c r="S567" s="7">
        <v>189</v>
      </c>
      <c r="T567" s="8">
        <v>3.9</v>
      </c>
      <c r="U567" s="8">
        <v>2</v>
      </c>
      <c r="V567" s="17">
        <v>2</v>
      </c>
      <c r="AD567" s="1"/>
      <c r="AE567" s="3"/>
      <c r="AF567" s="3"/>
      <c r="AG567" s="3"/>
      <c r="AH567" s="3"/>
      <c r="AI567" s="3"/>
      <c r="AJ567" s="1"/>
      <c r="AK567" s="1"/>
    </row>
    <row r="568" spans="1:37" x14ac:dyDescent="0.3">
      <c r="A568" s="14">
        <v>460</v>
      </c>
      <c r="B568" s="14">
        <v>2</v>
      </c>
      <c r="C568" s="9" t="s">
        <v>0</v>
      </c>
      <c r="D568" s="9" t="s">
        <v>1457</v>
      </c>
      <c r="E568" s="9" t="s">
        <v>1593</v>
      </c>
      <c r="F568" s="9" t="s">
        <v>1594</v>
      </c>
      <c r="G568" s="9">
        <v>1</v>
      </c>
      <c r="H568" s="9"/>
      <c r="I568" s="9" t="s">
        <v>22</v>
      </c>
      <c r="J568" s="9"/>
      <c r="K568" s="9" t="b">
        <v>0</v>
      </c>
      <c r="L568" s="9" t="s">
        <v>1465</v>
      </c>
      <c r="M568" s="9" t="b">
        <v>0</v>
      </c>
      <c r="N568" s="9" t="s">
        <v>1595</v>
      </c>
      <c r="O568" s="9" t="s">
        <v>3635</v>
      </c>
      <c r="P568" s="7">
        <v>1452</v>
      </c>
      <c r="Q568" s="7">
        <v>943</v>
      </c>
      <c r="R568" s="7">
        <v>702</v>
      </c>
      <c r="S568" s="7">
        <v>205</v>
      </c>
      <c r="T568" s="8">
        <v>5</v>
      </c>
      <c r="U568" s="8">
        <v>2</v>
      </c>
      <c r="V568" s="17">
        <v>2</v>
      </c>
      <c r="AD568" s="1"/>
      <c r="AE568" s="3"/>
      <c r="AF568" s="2"/>
      <c r="AG568" s="2"/>
      <c r="AH568" s="3"/>
      <c r="AI568" s="3"/>
      <c r="AJ568" s="1"/>
      <c r="AK568" s="1"/>
    </row>
    <row r="569" spans="1:37" x14ac:dyDescent="0.3">
      <c r="A569" s="14">
        <v>469</v>
      </c>
      <c r="B569" s="14">
        <v>2</v>
      </c>
      <c r="C569" s="9" t="s">
        <v>0</v>
      </c>
      <c r="D569" s="9" t="s">
        <v>1457</v>
      </c>
      <c r="E569" s="9" t="s">
        <v>1624</v>
      </c>
      <c r="F569" s="9" t="s">
        <v>1625</v>
      </c>
      <c r="G569" s="9">
        <v>1</v>
      </c>
      <c r="H569" s="9" t="s">
        <v>10</v>
      </c>
      <c r="I569" s="9" t="s">
        <v>5</v>
      </c>
      <c r="J569" s="9"/>
      <c r="K569" s="9" t="b">
        <v>0</v>
      </c>
      <c r="L569" s="9" t="s">
        <v>1465</v>
      </c>
      <c r="M569" s="9" t="b">
        <v>0</v>
      </c>
      <c r="N569" s="9" t="s">
        <v>1626</v>
      </c>
      <c r="O569" s="9" t="s">
        <v>3644</v>
      </c>
      <c r="P569" s="7">
        <v>1407</v>
      </c>
      <c r="Q569" s="7">
        <v>1167</v>
      </c>
      <c r="R569" s="7">
        <v>954</v>
      </c>
      <c r="S569" s="7">
        <v>198</v>
      </c>
      <c r="T569" s="8">
        <v>3.7</v>
      </c>
      <c r="U569" s="8">
        <v>2</v>
      </c>
      <c r="V569" s="17">
        <v>2</v>
      </c>
      <c r="AD569" s="1"/>
      <c r="AE569" s="3"/>
      <c r="AF569" s="2"/>
      <c r="AG569" s="3"/>
      <c r="AH569" s="3"/>
      <c r="AI569" s="3"/>
      <c r="AJ569" s="1"/>
      <c r="AK569" s="1"/>
    </row>
    <row r="570" spans="1:37" x14ac:dyDescent="0.3">
      <c r="A570" s="14">
        <v>41</v>
      </c>
      <c r="B570" s="14">
        <v>1</v>
      </c>
      <c r="C570" s="9" t="s">
        <v>0</v>
      </c>
      <c r="D570" s="9" t="s">
        <v>1</v>
      </c>
      <c r="E570" s="9" t="s">
        <v>147</v>
      </c>
      <c r="F570" s="9" t="s">
        <v>148</v>
      </c>
      <c r="G570" s="9">
        <v>1</v>
      </c>
      <c r="H570" s="9" t="s">
        <v>26</v>
      </c>
      <c r="I570" s="9" t="s">
        <v>5</v>
      </c>
      <c r="J570" s="9"/>
      <c r="K570" s="9" t="b">
        <v>0</v>
      </c>
      <c r="L570" s="9" t="s">
        <v>7</v>
      </c>
      <c r="M570" s="9" t="b">
        <v>0</v>
      </c>
      <c r="N570" s="9" t="s">
        <v>149</v>
      </c>
      <c r="O570" s="9" t="s">
        <v>3217</v>
      </c>
      <c r="P570" s="7">
        <v>1425</v>
      </c>
      <c r="Q570" s="7">
        <v>1104</v>
      </c>
      <c r="R570" s="7">
        <v>787</v>
      </c>
      <c r="S570" s="7">
        <v>195</v>
      </c>
      <c r="T570" s="8">
        <v>4.2</v>
      </c>
      <c r="U570" s="8">
        <v>2</v>
      </c>
      <c r="V570" s="17">
        <v>2</v>
      </c>
      <c r="AD570" s="1"/>
      <c r="AE570" s="3"/>
      <c r="AF570" s="2"/>
      <c r="AG570" s="3"/>
      <c r="AH570" s="3"/>
      <c r="AI570" s="3"/>
      <c r="AJ570" s="1"/>
      <c r="AK570" s="1"/>
    </row>
    <row r="571" spans="1:37" x14ac:dyDescent="0.3">
      <c r="A571" s="14">
        <v>276</v>
      </c>
      <c r="B571" s="14">
        <v>3</v>
      </c>
      <c r="C571" s="9" t="s">
        <v>0</v>
      </c>
      <c r="D571" s="9" t="s">
        <v>411</v>
      </c>
      <c r="E571" s="9" t="s">
        <v>993</v>
      </c>
      <c r="F571" s="9" t="s">
        <v>994</v>
      </c>
      <c r="G571" s="9">
        <v>1</v>
      </c>
      <c r="H571" s="9"/>
      <c r="I571" s="9" t="s">
        <v>775</v>
      </c>
      <c r="J571" s="9">
        <v>2</v>
      </c>
      <c r="K571" s="9" t="b">
        <v>0</v>
      </c>
      <c r="L571" s="9" t="s">
        <v>598</v>
      </c>
      <c r="M571" s="9" t="b">
        <v>0</v>
      </c>
      <c r="N571" s="9" t="s">
        <v>995</v>
      </c>
      <c r="O571" s="9" t="s">
        <v>3452</v>
      </c>
      <c r="P571" s="7">
        <v>1131</v>
      </c>
      <c r="Q571" s="7">
        <v>1020</v>
      </c>
      <c r="R571" s="7">
        <v>618</v>
      </c>
      <c r="S571" s="7">
        <v>159</v>
      </c>
      <c r="T571" s="8">
        <v>4.2</v>
      </c>
      <c r="U571" s="8">
        <v>2</v>
      </c>
      <c r="V571" s="17">
        <v>2</v>
      </c>
      <c r="AD571" s="1"/>
      <c r="AE571" s="3"/>
      <c r="AF571" s="2"/>
      <c r="AG571" s="3"/>
      <c r="AH571" s="3"/>
      <c r="AI571" s="3"/>
      <c r="AJ571" s="1"/>
      <c r="AK571" s="1"/>
    </row>
    <row r="572" spans="1:37" x14ac:dyDescent="0.3">
      <c r="A572" s="14">
        <v>279</v>
      </c>
      <c r="B572" s="14">
        <v>3</v>
      </c>
      <c r="C572" s="9" t="s">
        <v>0</v>
      </c>
      <c r="D572" s="9" t="s">
        <v>411</v>
      </c>
      <c r="E572" s="9" t="s">
        <v>1003</v>
      </c>
      <c r="F572" s="9" t="s">
        <v>1004</v>
      </c>
      <c r="G572" s="9">
        <v>1</v>
      </c>
      <c r="H572" s="9" t="s">
        <v>742</v>
      </c>
      <c r="I572" s="9"/>
      <c r="J572" s="9">
        <v>1</v>
      </c>
      <c r="K572" s="9" t="b">
        <v>0</v>
      </c>
      <c r="L572" s="9" t="s">
        <v>598</v>
      </c>
      <c r="M572" s="9" t="b">
        <v>0</v>
      </c>
      <c r="N572" s="9" t="s">
        <v>1005</v>
      </c>
      <c r="O572" s="9" t="s">
        <v>3455</v>
      </c>
      <c r="P572" s="7">
        <v>1221</v>
      </c>
      <c r="Q572" s="7">
        <v>1004</v>
      </c>
      <c r="R572" s="7">
        <v>595</v>
      </c>
      <c r="S572" s="7">
        <v>170</v>
      </c>
      <c r="T572" s="8">
        <v>4.9000000000000004</v>
      </c>
      <c r="U572" s="8">
        <v>2</v>
      </c>
      <c r="V572" s="17">
        <v>2</v>
      </c>
      <c r="AD572" s="1"/>
      <c r="AE572" s="3"/>
      <c r="AF572" s="2"/>
      <c r="AG572" s="2"/>
      <c r="AH572" s="2"/>
      <c r="AI572" s="3"/>
      <c r="AJ572" s="1"/>
      <c r="AK572" s="1"/>
    </row>
    <row r="573" spans="1:37" x14ac:dyDescent="0.3">
      <c r="A573" s="14">
        <v>282</v>
      </c>
      <c r="B573" s="14">
        <v>3</v>
      </c>
      <c r="C573" s="9" t="s">
        <v>0</v>
      </c>
      <c r="D573" s="9" t="s">
        <v>411</v>
      </c>
      <c r="E573" s="9" t="s">
        <v>1012</v>
      </c>
      <c r="F573" s="9" t="s">
        <v>1013</v>
      </c>
      <c r="G573" s="9">
        <v>1</v>
      </c>
      <c r="H573" s="9"/>
      <c r="I573" s="9" t="s">
        <v>757</v>
      </c>
      <c r="J573" s="9">
        <v>1</v>
      </c>
      <c r="K573" s="9" t="b">
        <v>0</v>
      </c>
      <c r="L573" s="9" t="s">
        <v>791</v>
      </c>
      <c r="M573" s="9" t="b">
        <v>0</v>
      </c>
      <c r="N573" s="9" t="s">
        <v>1014</v>
      </c>
      <c r="O573" s="9" t="s">
        <v>3458</v>
      </c>
      <c r="P573" s="7">
        <v>1208</v>
      </c>
      <c r="Q573" s="7">
        <v>962</v>
      </c>
      <c r="R573" s="7">
        <v>684</v>
      </c>
      <c r="S573" s="7">
        <v>173</v>
      </c>
      <c r="T573" s="8">
        <v>4.7</v>
      </c>
      <c r="U573" s="8">
        <v>2</v>
      </c>
      <c r="V573" s="17">
        <v>2</v>
      </c>
      <c r="AD573" s="1"/>
      <c r="AE573" s="3"/>
      <c r="AF573" s="3"/>
      <c r="AG573" s="3"/>
      <c r="AH573" s="3"/>
      <c r="AI573" s="3"/>
      <c r="AJ573" s="1"/>
      <c r="AK573" s="1"/>
    </row>
    <row r="574" spans="1:37" x14ac:dyDescent="0.3">
      <c r="A574" s="14">
        <v>285</v>
      </c>
      <c r="B574" s="14">
        <v>3</v>
      </c>
      <c r="C574" s="9" t="s">
        <v>0</v>
      </c>
      <c r="D574" s="9" t="s">
        <v>411</v>
      </c>
      <c r="E574" s="9" t="s">
        <v>1022</v>
      </c>
      <c r="F574" s="9" t="s">
        <v>1023</v>
      </c>
      <c r="G574" s="9">
        <v>1</v>
      </c>
      <c r="H574" s="9"/>
      <c r="I574" s="9" t="s">
        <v>1024</v>
      </c>
      <c r="J574" s="9">
        <v>2</v>
      </c>
      <c r="K574" s="9" t="b">
        <v>0</v>
      </c>
      <c r="L574" s="9" t="s">
        <v>194</v>
      </c>
      <c r="M574" s="9" t="b">
        <v>0</v>
      </c>
      <c r="N574" s="9" t="s">
        <v>1025</v>
      </c>
      <c r="O574" s="9" t="s">
        <v>3461</v>
      </c>
      <c r="P574" s="7">
        <v>1018</v>
      </c>
      <c r="Q574" s="7">
        <v>821</v>
      </c>
      <c r="R574" s="7">
        <v>491</v>
      </c>
      <c r="S574" s="7">
        <v>141</v>
      </c>
      <c r="T574" s="8">
        <v>4.7</v>
      </c>
      <c r="U574" s="8">
        <v>2</v>
      </c>
      <c r="V574" s="17">
        <v>2</v>
      </c>
      <c r="AD574" s="1"/>
      <c r="AE574" s="3"/>
      <c r="AF574" s="2"/>
      <c r="AG574" s="3"/>
      <c r="AH574" s="3"/>
      <c r="AI574" s="3"/>
      <c r="AJ574" s="1"/>
      <c r="AK574" s="1"/>
    </row>
    <row r="575" spans="1:37" x14ac:dyDescent="0.3">
      <c r="A575" s="14">
        <v>335</v>
      </c>
      <c r="B575" s="14">
        <v>1</v>
      </c>
      <c r="C575" s="9" t="s">
        <v>0</v>
      </c>
      <c r="D575" s="9" t="s">
        <v>1077</v>
      </c>
      <c r="E575" s="9" t="s">
        <v>1188</v>
      </c>
      <c r="F575" s="9" t="s">
        <v>1189</v>
      </c>
      <c r="G575" s="9">
        <v>1</v>
      </c>
      <c r="H575" s="9" t="s">
        <v>1190</v>
      </c>
      <c r="I575" s="9"/>
      <c r="J575" s="9">
        <v>5</v>
      </c>
      <c r="K575" s="9" t="b">
        <v>0</v>
      </c>
      <c r="L575" s="9" t="s">
        <v>7</v>
      </c>
      <c r="M575" s="9" t="b">
        <v>0</v>
      </c>
      <c r="N575" s="9" t="s">
        <v>1191</v>
      </c>
      <c r="O575" s="9" t="s">
        <v>3511</v>
      </c>
      <c r="P575" s="7">
        <v>1434</v>
      </c>
      <c r="Q575" s="7">
        <v>1034</v>
      </c>
      <c r="R575" s="7">
        <v>591</v>
      </c>
      <c r="S575" s="7">
        <v>203</v>
      </c>
      <c r="T575" s="8">
        <v>4.5</v>
      </c>
      <c r="U575" s="8">
        <v>2</v>
      </c>
      <c r="V575" s="17">
        <v>2</v>
      </c>
      <c r="AD575" s="1"/>
      <c r="AE575" s="3"/>
      <c r="AF575" s="2"/>
      <c r="AG575" s="3"/>
      <c r="AH575" s="3"/>
      <c r="AI575" s="3"/>
      <c r="AJ575" s="1"/>
      <c r="AK575" s="1"/>
    </row>
    <row r="576" spans="1:37" x14ac:dyDescent="0.3">
      <c r="A576" s="14">
        <v>633</v>
      </c>
      <c r="B576" s="14">
        <v>3</v>
      </c>
      <c r="C576" s="9" t="s">
        <v>1659</v>
      </c>
      <c r="D576" s="9" t="s">
        <v>411</v>
      </c>
      <c r="E576" s="9" t="s">
        <v>2129</v>
      </c>
      <c r="F576" s="9" t="s">
        <v>2130</v>
      </c>
      <c r="G576" s="9">
        <v>4</v>
      </c>
      <c r="H576" s="9"/>
      <c r="I576" s="9"/>
      <c r="J576" s="9"/>
      <c r="K576" s="9" t="b">
        <v>0</v>
      </c>
      <c r="L576" s="9" t="s">
        <v>2132</v>
      </c>
      <c r="M576" s="9" t="b">
        <v>0</v>
      </c>
      <c r="N576" s="9" t="s">
        <v>2131</v>
      </c>
      <c r="O576" s="9" t="s">
        <v>3808</v>
      </c>
      <c r="P576" s="7">
        <v>1201</v>
      </c>
      <c r="Q576" s="7">
        <v>1068</v>
      </c>
      <c r="R576" s="7">
        <v>753</v>
      </c>
      <c r="S576" s="7">
        <v>163</v>
      </c>
      <c r="T576" s="8">
        <v>4.0999999999999996</v>
      </c>
      <c r="U576" s="8">
        <v>1.9</v>
      </c>
      <c r="V576" s="17">
        <v>1.9</v>
      </c>
      <c r="AD576" s="1"/>
      <c r="AE576" s="3"/>
      <c r="AF576" s="2"/>
      <c r="AG576" s="2"/>
      <c r="AH576" s="3"/>
      <c r="AI576" s="3"/>
      <c r="AJ576" s="1"/>
      <c r="AK576" s="1"/>
    </row>
    <row r="577" spans="1:37" x14ac:dyDescent="0.3">
      <c r="A577" s="14">
        <v>560</v>
      </c>
      <c r="B577" s="14">
        <v>2</v>
      </c>
      <c r="C577" s="9" t="s">
        <v>1659</v>
      </c>
      <c r="D577" s="9" t="s">
        <v>180</v>
      </c>
      <c r="E577" s="9" t="s">
        <v>1901</v>
      </c>
      <c r="F577" s="9" t="s">
        <v>1902</v>
      </c>
      <c r="G577" s="9">
        <v>1</v>
      </c>
      <c r="H577" s="9"/>
      <c r="I577" s="9"/>
      <c r="J577" s="9"/>
      <c r="K577" s="9" t="b">
        <v>0</v>
      </c>
      <c r="L577" s="9" t="s">
        <v>598</v>
      </c>
      <c r="M577" s="9" t="b">
        <v>0</v>
      </c>
      <c r="N577" s="9" t="s">
        <v>1903</v>
      </c>
      <c r="O577" s="9" t="s">
        <v>3735</v>
      </c>
      <c r="P577" s="7">
        <v>1337</v>
      </c>
      <c r="Q577" s="7">
        <v>1182</v>
      </c>
      <c r="R577" s="7">
        <v>778</v>
      </c>
      <c r="S577" s="7">
        <v>177</v>
      </c>
      <c r="T577" s="8">
        <v>4</v>
      </c>
      <c r="U577" s="8">
        <v>1.9</v>
      </c>
      <c r="V577" s="17">
        <v>1.9</v>
      </c>
      <c r="AD577" s="1"/>
      <c r="AE577" s="3"/>
      <c r="AF577" s="2"/>
      <c r="AG577" s="2"/>
      <c r="AH577" s="3"/>
      <c r="AI577" s="3"/>
      <c r="AJ577" s="1"/>
      <c r="AK577" s="1"/>
    </row>
    <row r="578" spans="1:37" x14ac:dyDescent="0.3">
      <c r="A578" s="14">
        <v>659</v>
      </c>
      <c r="B578" s="14">
        <v>3</v>
      </c>
      <c r="C578" s="9" t="s">
        <v>1659</v>
      </c>
      <c r="D578" s="9" t="s">
        <v>411</v>
      </c>
      <c r="E578" s="9" t="s">
        <v>2212</v>
      </c>
      <c r="F578" s="9" t="s">
        <v>2213</v>
      </c>
      <c r="G578" s="9">
        <v>4</v>
      </c>
      <c r="H578" s="9"/>
      <c r="I578" s="9"/>
      <c r="J578" s="9"/>
      <c r="K578" s="9" t="b">
        <v>0</v>
      </c>
      <c r="L578" s="9" t="s">
        <v>420</v>
      </c>
      <c r="M578" s="9" t="b">
        <v>0</v>
      </c>
      <c r="N578" s="9" t="s">
        <v>2214</v>
      </c>
      <c r="O578" s="9" t="s">
        <v>3834</v>
      </c>
      <c r="P578" s="7">
        <v>972</v>
      </c>
      <c r="Q578" s="7">
        <v>686</v>
      </c>
      <c r="R578" s="7">
        <v>377</v>
      </c>
      <c r="S578" s="7">
        <v>128</v>
      </c>
      <c r="T578" s="8">
        <v>4.7</v>
      </c>
      <c r="U578" s="8">
        <v>1.9</v>
      </c>
      <c r="V578" s="17">
        <v>1.9</v>
      </c>
      <c r="AD578" s="1"/>
      <c r="AE578" s="3"/>
      <c r="AF578" s="2"/>
      <c r="AG578" s="3"/>
      <c r="AH578" s="3"/>
      <c r="AI578" s="3"/>
      <c r="AJ578" s="1"/>
      <c r="AK578" s="1"/>
    </row>
    <row r="579" spans="1:37" x14ac:dyDescent="0.3">
      <c r="A579" s="14">
        <v>502</v>
      </c>
      <c r="B579" s="14">
        <v>1</v>
      </c>
      <c r="C579" s="9" t="s">
        <v>1659</v>
      </c>
      <c r="D579" s="9" t="s">
        <v>1</v>
      </c>
      <c r="E579" s="9" t="s">
        <v>1726</v>
      </c>
      <c r="F579" s="9" t="s">
        <v>1727</v>
      </c>
      <c r="G579" s="9">
        <v>4</v>
      </c>
      <c r="H579" s="9"/>
      <c r="I579" s="9"/>
      <c r="J579" s="9"/>
      <c r="K579" s="9" t="b">
        <v>0</v>
      </c>
      <c r="L579" s="9" t="s">
        <v>7</v>
      </c>
      <c r="M579" s="9" t="b">
        <v>0</v>
      </c>
      <c r="N579" s="9" t="s">
        <v>1728</v>
      </c>
      <c r="O579" s="9" t="s">
        <v>3677</v>
      </c>
      <c r="P579" s="7">
        <v>1300</v>
      </c>
      <c r="Q579" s="7">
        <v>1042</v>
      </c>
      <c r="R579" s="7">
        <v>637</v>
      </c>
      <c r="S579" s="7">
        <v>177</v>
      </c>
      <c r="T579" s="8">
        <v>5</v>
      </c>
      <c r="U579" s="8">
        <v>1.9</v>
      </c>
      <c r="V579" s="17">
        <v>1.9</v>
      </c>
      <c r="AD579" s="1"/>
      <c r="AE579" s="3"/>
      <c r="AF579" s="2"/>
      <c r="AG579" s="2"/>
      <c r="AH579" s="3"/>
      <c r="AI579" s="3"/>
      <c r="AJ579" s="1"/>
      <c r="AK579" s="1"/>
    </row>
    <row r="580" spans="1:37" x14ac:dyDescent="0.3">
      <c r="A580" s="14">
        <v>682</v>
      </c>
      <c r="B580" s="14">
        <v>3</v>
      </c>
      <c r="C580" s="9" t="s">
        <v>1659</v>
      </c>
      <c r="D580" s="9" t="s">
        <v>411</v>
      </c>
      <c r="E580" s="9" t="s">
        <v>2283</v>
      </c>
      <c r="F580" s="9" t="s">
        <v>2284</v>
      </c>
      <c r="G580" s="9">
        <v>4</v>
      </c>
      <c r="H580" s="9"/>
      <c r="I580" s="9"/>
      <c r="J580" s="9"/>
      <c r="K580" s="9" t="b">
        <v>0</v>
      </c>
      <c r="L580" s="9" t="s">
        <v>437</v>
      </c>
      <c r="M580" s="9" t="b">
        <v>1</v>
      </c>
      <c r="N580" s="9" t="s">
        <v>2285</v>
      </c>
      <c r="O580" s="9" t="s">
        <v>3857</v>
      </c>
      <c r="P580" s="7">
        <v>948</v>
      </c>
      <c r="Q580" s="7">
        <v>701</v>
      </c>
      <c r="R580" s="7">
        <v>359</v>
      </c>
      <c r="S580" s="7">
        <v>124</v>
      </c>
      <c r="T580" s="8">
        <v>5.2</v>
      </c>
      <c r="U580" s="8">
        <v>1.9</v>
      </c>
      <c r="V580" s="17">
        <v>1.9</v>
      </c>
      <c r="AD580" s="1"/>
      <c r="AE580" s="3"/>
      <c r="AF580" s="2"/>
      <c r="AG580" s="3"/>
      <c r="AH580" s="3"/>
      <c r="AI580" s="3"/>
      <c r="AJ580" s="1"/>
      <c r="AK580" s="1"/>
    </row>
    <row r="581" spans="1:37" x14ac:dyDescent="0.3">
      <c r="A581" s="14">
        <v>938</v>
      </c>
      <c r="B581" s="14">
        <v>2</v>
      </c>
      <c r="C581" s="9" t="s">
        <v>1659</v>
      </c>
      <c r="D581" s="9" t="s">
        <v>1457</v>
      </c>
      <c r="E581" s="9" t="s">
        <v>3061</v>
      </c>
      <c r="F581" s="9" t="s">
        <v>3062</v>
      </c>
      <c r="G581" s="9">
        <v>1</v>
      </c>
      <c r="H581" s="9"/>
      <c r="I581" s="9"/>
      <c r="J581" s="9"/>
      <c r="K581" s="9" t="b">
        <v>0</v>
      </c>
      <c r="L581" s="9" t="s">
        <v>369</v>
      </c>
      <c r="M581" s="9" t="b">
        <v>0</v>
      </c>
      <c r="N581" s="9" t="s">
        <v>3063</v>
      </c>
      <c r="O581" s="9" t="s">
        <v>4110</v>
      </c>
      <c r="P581" s="7">
        <v>1337</v>
      </c>
      <c r="Q581" s="7">
        <v>1210</v>
      </c>
      <c r="R581" s="7">
        <v>774</v>
      </c>
      <c r="S581" s="7">
        <v>177</v>
      </c>
      <c r="T581" s="8">
        <v>4.2</v>
      </c>
      <c r="U581" s="8">
        <v>1.9</v>
      </c>
      <c r="V581" s="17">
        <v>1.9</v>
      </c>
      <c r="AD581" s="1"/>
      <c r="AE581" s="3"/>
      <c r="AF581" s="2"/>
      <c r="AG581" s="2"/>
      <c r="AH581" s="2"/>
      <c r="AI581" s="3"/>
      <c r="AJ581" s="1"/>
      <c r="AK581" s="1"/>
    </row>
    <row r="582" spans="1:37" x14ac:dyDescent="0.3">
      <c r="A582" s="14">
        <v>689</v>
      </c>
      <c r="B582" s="14">
        <v>3</v>
      </c>
      <c r="C582" s="9" t="s">
        <v>1659</v>
      </c>
      <c r="D582" s="9" t="s">
        <v>411</v>
      </c>
      <c r="E582" s="9" t="s">
        <v>2306</v>
      </c>
      <c r="F582" s="9" t="s">
        <v>2307</v>
      </c>
      <c r="G582" s="9">
        <v>1</v>
      </c>
      <c r="H582" s="9"/>
      <c r="I582" s="9"/>
      <c r="J582" s="9"/>
      <c r="K582" s="9" t="b">
        <v>0</v>
      </c>
      <c r="L582" s="9" t="s">
        <v>194</v>
      </c>
      <c r="M582" s="9" t="b">
        <v>0</v>
      </c>
      <c r="N582" s="9" t="s">
        <v>2308</v>
      </c>
      <c r="O582" s="9" t="s">
        <v>3864</v>
      </c>
      <c r="P582" s="7">
        <v>1219</v>
      </c>
      <c r="Q582" s="7">
        <v>857</v>
      </c>
      <c r="R582" s="7">
        <v>435</v>
      </c>
      <c r="S582" s="7">
        <v>158</v>
      </c>
      <c r="T582" s="8">
        <v>5.4</v>
      </c>
      <c r="U582" s="8">
        <v>1.9</v>
      </c>
      <c r="V582" s="17">
        <v>1.9</v>
      </c>
      <c r="AD582" s="1"/>
      <c r="AE582" s="3"/>
      <c r="AF582" s="2"/>
      <c r="AG582" s="2"/>
      <c r="AH582" s="3"/>
      <c r="AI582" s="3"/>
      <c r="AJ582" s="1"/>
      <c r="AK582" s="1"/>
    </row>
    <row r="583" spans="1:37" x14ac:dyDescent="0.3">
      <c r="A583" s="14">
        <v>813</v>
      </c>
      <c r="B583" s="14">
        <v>1</v>
      </c>
      <c r="C583" s="9" t="s">
        <v>1659</v>
      </c>
      <c r="D583" s="9" t="s">
        <v>1077</v>
      </c>
      <c r="E583" s="9" t="s">
        <v>2683</v>
      </c>
      <c r="F583" s="9" t="s">
        <v>2684</v>
      </c>
      <c r="G583" s="9">
        <v>3</v>
      </c>
      <c r="H583" s="9"/>
      <c r="I583" s="9"/>
      <c r="J583" s="9"/>
      <c r="K583" s="9" t="b">
        <v>0</v>
      </c>
      <c r="L583" s="9" t="s">
        <v>7</v>
      </c>
      <c r="M583" s="9" t="b">
        <v>0</v>
      </c>
      <c r="N583" s="9" t="s">
        <v>2685</v>
      </c>
      <c r="O583" s="9" t="s">
        <v>3988</v>
      </c>
      <c r="P583" s="7">
        <v>1354</v>
      </c>
      <c r="Q583" s="7">
        <v>1082</v>
      </c>
      <c r="R583" s="7">
        <v>856</v>
      </c>
      <c r="S583" s="7">
        <v>176</v>
      </c>
      <c r="T583" s="8">
        <v>4.7</v>
      </c>
      <c r="U583" s="8">
        <v>1.9</v>
      </c>
      <c r="V583" s="17">
        <v>1.9</v>
      </c>
      <c r="AD583" s="1"/>
      <c r="AE583" s="3"/>
      <c r="AF583" s="2"/>
      <c r="AG583" s="2"/>
      <c r="AH583" s="3"/>
      <c r="AI583" s="3"/>
      <c r="AJ583" s="1"/>
      <c r="AK583" s="1"/>
    </row>
    <row r="584" spans="1:37" x14ac:dyDescent="0.3">
      <c r="A584" s="14">
        <v>581</v>
      </c>
      <c r="B584" s="14">
        <v>2</v>
      </c>
      <c r="C584" s="9" t="s">
        <v>1659</v>
      </c>
      <c r="D584" s="9" t="s">
        <v>180</v>
      </c>
      <c r="E584" s="9" t="s">
        <v>1967</v>
      </c>
      <c r="F584" s="9" t="s">
        <v>1968</v>
      </c>
      <c r="G584" s="9">
        <v>1</v>
      </c>
      <c r="H584" s="9"/>
      <c r="I584" s="9"/>
      <c r="J584" s="9"/>
      <c r="K584" s="9" t="b">
        <v>0</v>
      </c>
      <c r="L584" s="9" t="s">
        <v>1970</v>
      </c>
      <c r="M584" s="9" t="b">
        <v>1</v>
      </c>
      <c r="N584" s="9" t="s">
        <v>1969</v>
      </c>
      <c r="O584" s="9" t="s">
        <v>3756</v>
      </c>
      <c r="P584" s="7">
        <v>1269</v>
      </c>
      <c r="Q584" s="7">
        <v>969</v>
      </c>
      <c r="R584" s="7">
        <v>620</v>
      </c>
      <c r="S584" s="7">
        <v>171</v>
      </c>
      <c r="T584" s="8">
        <v>4.7</v>
      </c>
      <c r="U584" s="8">
        <v>1.9</v>
      </c>
      <c r="V584" s="17">
        <v>1.9</v>
      </c>
      <c r="AD584" s="1"/>
      <c r="AE584" s="3"/>
      <c r="AF584" s="2"/>
      <c r="AG584" s="3"/>
      <c r="AH584" s="3"/>
      <c r="AI584" s="3"/>
      <c r="AJ584" s="1"/>
      <c r="AK584" s="1"/>
    </row>
    <row r="585" spans="1:37" x14ac:dyDescent="0.3">
      <c r="A585" s="14">
        <v>587</v>
      </c>
      <c r="B585" s="14">
        <v>2</v>
      </c>
      <c r="C585" s="9" t="s">
        <v>1659</v>
      </c>
      <c r="D585" s="9" t="s">
        <v>180</v>
      </c>
      <c r="E585" s="9" t="s">
        <v>1986</v>
      </c>
      <c r="F585" s="9" t="s">
        <v>1987</v>
      </c>
      <c r="G585" s="9">
        <v>4</v>
      </c>
      <c r="H585" s="9"/>
      <c r="I585" s="9"/>
      <c r="J585" s="9"/>
      <c r="K585" s="9" t="b">
        <v>0</v>
      </c>
      <c r="L585" s="9" t="s">
        <v>598</v>
      </c>
      <c r="M585" s="9" t="b">
        <v>0</v>
      </c>
      <c r="N585" s="9" t="s">
        <v>1988</v>
      </c>
      <c r="O585" s="9" t="s">
        <v>3762</v>
      </c>
      <c r="P585" s="7">
        <v>1311</v>
      </c>
      <c r="Q585" s="7">
        <v>1001</v>
      </c>
      <c r="R585" s="7">
        <v>645</v>
      </c>
      <c r="S585" s="7">
        <v>175</v>
      </c>
      <c r="T585" s="8">
        <v>4.7</v>
      </c>
      <c r="U585" s="8">
        <v>1.9</v>
      </c>
      <c r="V585" s="17">
        <v>1.9</v>
      </c>
      <c r="AD585" s="1"/>
      <c r="AE585" s="3"/>
      <c r="AF585" s="3"/>
      <c r="AG585" s="3"/>
      <c r="AH585" s="3"/>
      <c r="AI585" s="3"/>
      <c r="AJ585" s="1"/>
      <c r="AK585" s="1"/>
    </row>
    <row r="586" spans="1:37" x14ac:dyDescent="0.3">
      <c r="A586" s="14">
        <v>962</v>
      </c>
      <c r="B586" s="14">
        <v>2</v>
      </c>
      <c r="C586" s="9" t="s">
        <v>1659</v>
      </c>
      <c r="D586" s="9" t="s">
        <v>1457</v>
      </c>
      <c r="E586" s="9" t="s">
        <v>3139</v>
      </c>
      <c r="F586" s="9" t="s">
        <v>3140</v>
      </c>
      <c r="G586" s="9">
        <v>3</v>
      </c>
      <c r="H586" s="9"/>
      <c r="I586" s="9"/>
      <c r="J586" s="9"/>
      <c r="K586" s="9" t="b">
        <v>0</v>
      </c>
      <c r="L586" s="9" t="s">
        <v>1538</v>
      </c>
      <c r="M586" s="9" t="b">
        <v>1</v>
      </c>
      <c r="N586" s="9" t="s">
        <v>3141</v>
      </c>
      <c r="O586" s="9" t="s">
        <v>4134</v>
      </c>
      <c r="P586" s="7">
        <v>1318</v>
      </c>
      <c r="Q586" s="7">
        <v>1105</v>
      </c>
      <c r="R586" s="7">
        <v>723</v>
      </c>
      <c r="S586" s="7">
        <v>179</v>
      </c>
      <c r="T586" s="8">
        <v>4.8</v>
      </c>
      <c r="U586" s="8">
        <v>1.9</v>
      </c>
      <c r="V586" s="17">
        <v>1.9</v>
      </c>
      <c r="AD586" s="1"/>
      <c r="AE586" s="3"/>
      <c r="AF586" s="2"/>
      <c r="AG586" s="3"/>
      <c r="AH586" s="3"/>
      <c r="AI586" s="3"/>
      <c r="AJ586" s="1"/>
      <c r="AK586" s="1"/>
    </row>
    <row r="587" spans="1:37" x14ac:dyDescent="0.3">
      <c r="A587" s="14">
        <v>4</v>
      </c>
      <c r="B587" s="14">
        <v>1</v>
      </c>
      <c r="C587" s="9" t="s">
        <v>0</v>
      </c>
      <c r="D587" s="9" t="s">
        <v>1</v>
      </c>
      <c r="E587" s="9" t="s">
        <v>16</v>
      </c>
      <c r="F587" s="9" t="s">
        <v>17</v>
      </c>
      <c r="G587" s="9">
        <v>1</v>
      </c>
      <c r="H587" s="9" t="s">
        <v>18</v>
      </c>
      <c r="I587" s="9"/>
      <c r="J587" s="9">
        <v>3</v>
      </c>
      <c r="K587" s="9" t="b">
        <v>0</v>
      </c>
      <c r="L587" s="9" t="s">
        <v>7</v>
      </c>
      <c r="M587" s="9" t="b">
        <v>0</v>
      </c>
      <c r="N587" s="9" t="s">
        <v>19</v>
      </c>
      <c r="O587" s="9" t="s">
        <v>3180</v>
      </c>
      <c r="P587" s="7">
        <v>1427</v>
      </c>
      <c r="Q587" s="7">
        <v>948</v>
      </c>
      <c r="R587" s="7">
        <v>552</v>
      </c>
      <c r="S587" s="7">
        <v>192</v>
      </c>
      <c r="T587" s="8">
        <v>5</v>
      </c>
      <c r="U587" s="8">
        <v>1.9</v>
      </c>
      <c r="V587" s="17">
        <v>1.9</v>
      </c>
      <c r="AD587" s="1"/>
      <c r="AE587" s="3"/>
      <c r="AF587" s="2"/>
      <c r="AG587" s="2"/>
      <c r="AH587" s="3"/>
      <c r="AI587" s="3"/>
      <c r="AJ587" s="1"/>
      <c r="AK587" s="1"/>
    </row>
    <row r="588" spans="1:37" x14ac:dyDescent="0.3">
      <c r="A588" s="14">
        <v>434</v>
      </c>
      <c r="B588" s="14">
        <v>2</v>
      </c>
      <c r="C588" s="9" t="s">
        <v>0</v>
      </c>
      <c r="D588" s="9" t="s">
        <v>1457</v>
      </c>
      <c r="E588" s="9" t="s">
        <v>1506</v>
      </c>
      <c r="F588" s="9" t="s">
        <v>1507</v>
      </c>
      <c r="G588" s="9">
        <v>1</v>
      </c>
      <c r="H588" s="9"/>
      <c r="I588" s="9" t="s">
        <v>114</v>
      </c>
      <c r="J588" s="9">
        <v>1</v>
      </c>
      <c r="K588" s="9" t="b">
        <v>0</v>
      </c>
      <c r="L588" s="9" t="s">
        <v>1465</v>
      </c>
      <c r="M588" s="9" t="b">
        <v>0</v>
      </c>
      <c r="N588" s="9" t="s">
        <v>1508</v>
      </c>
      <c r="O588" s="9" t="s">
        <v>3609</v>
      </c>
      <c r="P588" s="7">
        <v>1338</v>
      </c>
      <c r="Q588" s="7">
        <v>1066</v>
      </c>
      <c r="R588" s="7">
        <v>722</v>
      </c>
      <c r="S588" s="7">
        <v>177</v>
      </c>
      <c r="T588" s="8">
        <v>4.5999999999999996</v>
      </c>
      <c r="U588" s="8">
        <v>1.9</v>
      </c>
      <c r="V588" s="17">
        <v>1.9</v>
      </c>
      <c r="AD588" s="1"/>
      <c r="AE588" s="3"/>
      <c r="AF588" s="2"/>
      <c r="AG588" s="3"/>
      <c r="AH588" s="3"/>
      <c r="AI588" s="3"/>
      <c r="AJ588" s="1"/>
      <c r="AK588" s="1"/>
    </row>
    <row r="589" spans="1:37" x14ac:dyDescent="0.3">
      <c r="A589" s="14">
        <v>177</v>
      </c>
      <c r="B589" s="14">
        <v>3</v>
      </c>
      <c r="C589" s="9" t="s">
        <v>0</v>
      </c>
      <c r="D589" s="9" t="s">
        <v>411</v>
      </c>
      <c r="E589" s="9" t="s">
        <v>663</v>
      </c>
      <c r="F589" s="9" t="s">
        <v>664</v>
      </c>
      <c r="G589" s="9">
        <v>1</v>
      </c>
      <c r="H589" s="9" t="s">
        <v>252</v>
      </c>
      <c r="I589" s="9"/>
      <c r="J589" s="9"/>
      <c r="K589" s="9" t="b">
        <v>0</v>
      </c>
      <c r="L589" s="9" t="s">
        <v>416</v>
      </c>
      <c r="M589" s="9" t="b">
        <v>0</v>
      </c>
      <c r="N589" s="9" t="s">
        <v>665</v>
      </c>
      <c r="O589" s="9" t="s">
        <v>3353</v>
      </c>
      <c r="P589" s="7">
        <v>993</v>
      </c>
      <c r="Q589" s="7">
        <v>511</v>
      </c>
      <c r="R589" s="7">
        <v>395</v>
      </c>
      <c r="S589" s="7">
        <v>129</v>
      </c>
      <c r="T589" s="8">
        <v>3.9</v>
      </c>
      <c r="U589" s="8">
        <v>1.9</v>
      </c>
      <c r="V589" s="17">
        <v>1.9</v>
      </c>
      <c r="AD589" s="1"/>
      <c r="AE589" s="3"/>
      <c r="AF589" s="2"/>
      <c r="AG589" s="2"/>
      <c r="AH589" s="2"/>
      <c r="AI589" s="3"/>
      <c r="AJ589" s="1"/>
      <c r="AK589" s="1"/>
    </row>
    <row r="590" spans="1:37" x14ac:dyDescent="0.3">
      <c r="A590" s="14">
        <v>443</v>
      </c>
      <c r="B590" s="14">
        <v>2</v>
      </c>
      <c r="C590" s="9" t="s">
        <v>0</v>
      </c>
      <c r="D590" s="9" t="s">
        <v>1457</v>
      </c>
      <c r="E590" s="9" t="s">
        <v>1534</v>
      </c>
      <c r="F590" s="9" t="s">
        <v>1535</v>
      </c>
      <c r="G590" s="9">
        <v>1</v>
      </c>
      <c r="H590" s="9" t="s">
        <v>1536</v>
      </c>
      <c r="I590" s="9" t="s">
        <v>123</v>
      </c>
      <c r="J590" s="9">
        <v>1</v>
      </c>
      <c r="K590" s="9" t="b">
        <v>0</v>
      </c>
      <c r="L590" s="9" t="s">
        <v>1538</v>
      </c>
      <c r="M590" s="9" t="b">
        <v>0</v>
      </c>
      <c r="N590" s="9" t="s">
        <v>1537</v>
      </c>
      <c r="O590" s="9" t="s">
        <v>3618</v>
      </c>
      <c r="P590" s="7">
        <v>1432</v>
      </c>
      <c r="Q590" s="7">
        <v>1089</v>
      </c>
      <c r="R590" s="7">
        <v>624</v>
      </c>
      <c r="S590" s="7">
        <v>187</v>
      </c>
      <c r="T590" s="8">
        <v>4.5999999999999996</v>
      </c>
      <c r="U590" s="8">
        <v>1.9</v>
      </c>
      <c r="V590" s="17">
        <v>1.9</v>
      </c>
      <c r="AD590" s="1"/>
      <c r="AE590" s="3"/>
      <c r="AF590" s="3"/>
      <c r="AG590" s="3"/>
      <c r="AH590" s="3"/>
      <c r="AI590" s="3"/>
      <c r="AJ590" s="1"/>
      <c r="AK590" s="1"/>
    </row>
    <row r="591" spans="1:37" x14ac:dyDescent="0.3">
      <c r="A591" s="14">
        <v>186</v>
      </c>
      <c r="B591" s="14">
        <v>3</v>
      </c>
      <c r="C591" s="9" t="s">
        <v>0</v>
      </c>
      <c r="D591" s="9" t="s">
        <v>411</v>
      </c>
      <c r="E591" s="9" t="s">
        <v>692</v>
      </c>
      <c r="F591" s="9" t="s">
        <v>693</v>
      </c>
      <c r="G591" s="9">
        <v>1</v>
      </c>
      <c r="H591" s="9" t="s">
        <v>26</v>
      </c>
      <c r="I591" s="9" t="s">
        <v>694</v>
      </c>
      <c r="J591" s="9">
        <v>1</v>
      </c>
      <c r="K591" s="9" t="b">
        <v>0</v>
      </c>
      <c r="L591" s="9" t="s">
        <v>194</v>
      </c>
      <c r="M591" s="9" t="b">
        <v>1</v>
      </c>
      <c r="N591" s="9" t="s">
        <v>695</v>
      </c>
      <c r="O591" s="9" t="s">
        <v>3362</v>
      </c>
      <c r="P591" s="7">
        <v>997</v>
      </c>
      <c r="Q591" s="7">
        <v>905</v>
      </c>
      <c r="R591" s="7">
        <v>510</v>
      </c>
      <c r="S591" s="7">
        <v>134</v>
      </c>
      <c r="T591" s="8">
        <v>3.9</v>
      </c>
      <c r="U591" s="8">
        <v>1.9</v>
      </c>
      <c r="V591" s="17">
        <v>1.9</v>
      </c>
      <c r="AD591" s="1"/>
      <c r="AE591" s="3"/>
      <c r="AF591" s="2"/>
      <c r="AG591" s="3"/>
      <c r="AH591" s="3"/>
      <c r="AI591" s="3"/>
      <c r="AJ591" s="1"/>
      <c r="AK591" s="1"/>
    </row>
    <row r="592" spans="1:37" x14ac:dyDescent="0.3">
      <c r="A592" s="14">
        <v>192</v>
      </c>
      <c r="B592" s="14">
        <v>3</v>
      </c>
      <c r="C592" s="9" t="s">
        <v>0</v>
      </c>
      <c r="D592" s="9" t="s">
        <v>411</v>
      </c>
      <c r="E592" s="9" t="s">
        <v>713</v>
      </c>
      <c r="F592" s="9" t="s">
        <v>714</v>
      </c>
      <c r="G592" s="9">
        <v>1</v>
      </c>
      <c r="H592" s="9" t="s">
        <v>715</v>
      </c>
      <c r="I592" s="9" t="s">
        <v>77</v>
      </c>
      <c r="J592" s="9">
        <v>1</v>
      </c>
      <c r="K592" s="9" t="b">
        <v>0</v>
      </c>
      <c r="L592" s="9" t="s">
        <v>194</v>
      </c>
      <c r="M592" s="9" t="b">
        <v>0</v>
      </c>
      <c r="N592" s="9" t="s">
        <v>716</v>
      </c>
      <c r="O592" s="9" t="s">
        <v>3368</v>
      </c>
      <c r="P592" s="7">
        <v>1061</v>
      </c>
      <c r="Q592" s="7">
        <v>775</v>
      </c>
      <c r="R592" s="7">
        <v>475</v>
      </c>
      <c r="S592" s="7">
        <v>138</v>
      </c>
      <c r="T592" s="8">
        <v>4.5999999999999996</v>
      </c>
      <c r="U592" s="8">
        <v>1.9</v>
      </c>
      <c r="V592" s="17">
        <v>1.9</v>
      </c>
      <c r="AD592" s="1"/>
      <c r="AE592" s="3"/>
      <c r="AF592" s="2"/>
      <c r="AG592" s="2"/>
      <c r="AH592" s="3"/>
      <c r="AI592" s="3"/>
      <c r="AJ592" s="1"/>
      <c r="AK592" s="1"/>
    </row>
    <row r="593" spans="1:37" x14ac:dyDescent="0.3">
      <c r="A593" s="14">
        <v>79</v>
      </c>
      <c r="B593" s="14">
        <v>2</v>
      </c>
      <c r="C593" s="9" t="s">
        <v>0</v>
      </c>
      <c r="D593" s="9" t="s">
        <v>180</v>
      </c>
      <c r="E593" s="9" t="s">
        <v>297</v>
      </c>
      <c r="F593" s="9" t="s">
        <v>298</v>
      </c>
      <c r="G593" s="9">
        <v>1</v>
      </c>
      <c r="H593" s="9" t="s">
        <v>299</v>
      </c>
      <c r="I593" s="9" t="s">
        <v>22</v>
      </c>
      <c r="J593" s="9"/>
      <c r="K593" s="9" t="b">
        <v>0</v>
      </c>
      <c r="L593" s="9" t="s">
        <v>296</v>
      </c>
      <c r="M593" s="9" t="b">
        <v>0</v>
      </c>
      <c r="N593" s="9" t="s">
        <v>300</v>
      </c>
      <c r="O593" s="9" t="s">
        <v>3255</v>
      </c>
      <c r="P593" s="7">
        <v>1340</v>
      </c>
      <c r="Q593" s="7">
        <v>1062</v>
      </c>
      <c r="R593" s="7">
        <v>567</v>
      </c>
      <c r="S593" s="7">
        <v>179</v>
      </c>
      <c r="T593" s="8">
        <v>4.3</v>
      </c>
      <c r="U593" s="8">
        <v>1.9</v>
      </c>
      <c r="V593" s="17">
        <v>1.9</v>
      </c>
      <c r="AD593" s="1"/>
      <c r="AE593" s="3"/>
      <c r="AF593" s="3"/>
      <c r="AG593" s="3"/>
      <c r="AH593" s="3"/>
      <c r="AI593" s="3"/>
      <c r="AJ593" s="1"/>
      <c r="AK593" s="1"/>
    </row>
    <row r="594" spans="1:37" x14ac:dyDescent="0.3">
      <c r="A594" s="14">
        <v>26</v>
      </c>
      <c r="B594" s="14">
        <v>1</v>
      </c>
      <c r="C594" s="9" t="s">
        <v>0</v>
      </c>
      <c r="D594" s="9" t="s">
        <v>1</v>
      </c>
      <c r="E594" s="9" t="s">
        <v>94</v>
      </c>
      <c r="F594" s="9" t="s">
        <v>95</v>
      </c>
      <c r="G594" s="9">
        <v>1</v>
      </c>
      <c r="H594" s="9"/>
      <c r="I594" s="9" t="s">
        <v>96</v>
      </c>
      <c r="J594" s="9"/>
      <c r="K594" s="9" t="b">
        <v>1</v>
      </c>
      <c r="L594" s="9" t="s">
        <v>7</v>
      </c>
      <c r="M594" s="9" t="b">
        <v>0</v>
      </c>
      <c r="N594" s="9" t="s">
        <v>97</v>
      </c>
      <c r="O594" s="9" t="s">
        <v>3202</v>
      </c>
      <c r="P594" s="7">
        <v>1428</v>
      </c>
      <c r="Q594" s="7">
        <v>966</v>
      </c>
      <c r="R594" s="7">
        <v>711</v>
      </c>
      <c r="S594" s="7">
        <v>187</v>
      </c>
      <c r="T594" s="8">
        <v>5.5</v>
      </c>
      <c r="U594" s="8">
        <v>1.9</v>
      </c>
      <c r="V594" s="17">
        <v>1.9</v>
      </c>
      <c r="AD594" s="1"/>
      <c r="AE594" s="3"/>
      <c r="AF594" s="2"/>
      <c r="AG594" s="3"/>
      <c r="AH594" s="3"/>
      <c r="AI594" s="3"/>
      <c r="AJ594" s="1"/>
      <c r="AK594" s="1"/>
    </row>
    <row r="595" spans="1:37" x14ac:dyDescent="0.3">
      <c r="A595" s="14">
        <v>240</v>
      </c>
      <c r="B595" s="14">
        <v>3</v>
      </c>
      <c r="C595" s="9" t="s">
        <v>0</v>
      </c>
      <c r="D595" s="9" t="s">
        <v>411</v>
      </c>
      <c r="E595" s="9" t="s">
        <v>876</v>
      </c>
      <c r="F595" s="9" t="s">
        <v>877</v>
      </c>
      <c r="G595" s="9">
        <v>1</v>
      </c>
      <c r="H595" s="9"/>
      <c r="I595" s="9" t="s">
        <v>22</v>
      </c>
      <c r="J595" s="9"/>
      <c r="K595" s="9" t="b">
        <v>0</v>
      </c>
      <c r="L595" s="9" t="s">
        <v>531</v>
      </c>
      <c r="M595" s="9" t="b">
        <v>0</v>
      </c>
      <c r="N595" s="9" t="s">
        <v>878</v>
      </c>
      <c r="O595" s="9" t="s">
        <v>3416</v>
      </c>
      <c r="P595" s="7">
        <v>954</v>
      </c>
      <c r="Q595" s="7">
        <v>734</v>
      </c>
      <c r="R595" s="7">
        <v>516</v>
      </c>
      <c r="S595" s="7">
        <v>128</v>
      </c>
      <c r="T595" s="8">
        <v>4.9000000000000004</v>
      </c>
      <c r="U595" s="8">
        <v>1.9</v>
      </c>
      <c r="V595" s="17">
        <v>1.9</v>
      </c>
      <c r="AD595" s="1"/>
      <c r="AE595" s="3"/>
      <c r="AF595" s="2"/>
      <c r="AG595" s="3"/>
      <c r="AH595" s="3"/>
      <c r="AI595" s="3"/>
      <c r="AJ595" s="1"/>
      <c r="AK595" s="1"/>
    </row>
    <row r="596" spans="1:37" x14ac:dyDescent="0.3">
      <c r="A596" s="14">
        <v>45</v>
      </c>
      <c r="B596" s="14">
        <v>1</v>
      </c>
      <c r="C596" s="9" t="s">
        <v>0</v>
      </c>
      <c r="D596" s="9" t="s">
        <v>1</v>
      </c>
      <c r="E596" s="9" t="s">
        <v>159</v>
      </c>
      <c r="F596" s="10" t="s">
        <v>160</v>
      </c>
      <c r="G596" s="9">
        <v>1</v>
      </c>
      <c r="H596" s="9"/>
      <c r="I596" s="9" t="s">
        <v>22</v>
      </c>
      <c r="J596" s="9"/>
      <c r="K596" s="9" t="b">
        <v>1</v>
      </c>
      <c r="L596" s="9" t="s">
        <v>7</v>
      </c>
      <c r="M596" s="9" t="b">
        <v>0</v>
      </c>
      <c r="N596" s="9" t="s">
        <v>161</v>
      </c>
      <c r="O596" s="9" t="s">
        <v>3221</v>
      </c>
      <c r="P596" s="7">
        <v>1429</v>
      </c>
      <c r="Q596" s="7">
        <v>1021</v>
      </c>
      <c r="R596" s="7">
        <v>776</v>
      </c>
      <c r="S596" s="7">
        <v>193</v>
      </c>
      <c r="T596" s="8">
        <v>5.3</v>
      </c>
      <c r="U596" s="8">
        <v>1.9</v>
      </c>
      <c r="V596" s="17">
        <v>1.9</v>
      </c>
      <c r="AD596" s="1"/>
      <c r="AE596" s="3"/>
      <c r="AF596" s="2"/>
      <c r="AG596" s="2"/>
      <c r="AH596" s="2"/>
      <c r="AI596" s="3"/>
      <c r="AJ596" s="1"/>
      <c r="AK596" s="1"/>
    </row>
    <row r="597" spans="1:37" x14ac:dyDescent="0.3">
      <c r="A597" s="14">
        <v>376</v>
      </c>
      <c r="B597" s="14">
        <v>1</v>
      </c>
      <c r="C597" s="9" t="s">
        <v>0</v>
      </c>
      <c r="D597" s="9" t="s">
        <v>1208</v>
      </c>
      <c r="E597" s="9" t="s">
        <v>1320</v>
      </c>
      <c r="F597" s="9" t="s">
        <v>1321</v>
      </c>
      <c r="G597" s="9">
        <v>1</v>
      </c>
      <c r="H597" s="9"/>
      <c r="I597" s="9" t="s">
        <v>572</v>
      </c>
      <c r="J597" s="9"/>
      <c r="K597" s="9" t="b">
        <v>1</v>
      </c>
      <c r="L597" s="9" t="s">
        <v>7</v>
      </c>
      <c r="M597" s="9" t="b">
        <v>0</v>
      </c>
      <c r="N597" s="9" t="s">
        <v>1322</v>
      </c>
      <c r="O597" s="9" t="s">
        <v>3552</v>
      </c>
      <c r="P597" s="7">
        <v>1399</v>
      </c>
      <c r="Q597" s="7">
        <v>1076</v>
      </c>
      <c r="R597" s="7">
        <v>709</v>
      </c>
      <c r="S597" s="7">
        <v>184</v>
      </c>
      <c r="T597" s="8">
        <v>5.2</v>
      </c>
      <c r="U597" s="8">
        <v>1.9</v>
      </c>
      <c r="V597" s="17">
        <v>1.9</v>
      </c>
      <c r="AD597" s="1"/>
      <c r="AE597" s="3"/>
      <c r="AF597" s="2"/>
      <c r="AG597" s="2"/>
      <c r="AH597" s="3"/>
      <c r="AI597" s="3"/>
      <c r="AJ597" s="1"/>
      <c r="AK597" s="1"/>
    </row>
    <row r="598" spans="1:37" x14ac:dyDescent="0.3">
      <c r="A598" s="14">
        <v>829</v>
      </c>
      <c r="B598" s="14">
        <v>1</v>
      </c>
      <c r="C598" s="9" t="s">
        <v>1659</v>
      </c>
      <c r="D598" s="9" t="s">
        <v>1208</v>
      </c>
      <c r="E598" s="9" t="s">
        <v>2731</v>
      </c>
      <c r="F598" s="9" t="s">
        <v>2732</v>
      </c>
      <c r="G598" s="9">
        <v>4</v>
      </c>
      <c r="H598" s="9"/>
      <c r="I598" s="9"/>
      <c r="J598" s="9"/>
      <c r="K598" s="9" t="b">
        <v>0</v>
      </c>
      <c r="L598" s="9" t="s">
        <v>7</v>
      </c>
      <c r="M598" s="9" t="b">
        <v>0</v>
      </c>
      <c r="N598" s="9" t="s">
        <v>2733</v>
      </c>
      <c r="O598" s="9" t="s">
        <v>4004</v>
      </c>
      <c r="P598" s="7">
        <v>1335</v>
      </c>
      <c r="Q598" s="7">
        <v>1041</v>
      </c>
      <c r="R598" s="7">
        <v>709</v>
      </c>
      <c r="S598" s="7">
        <v>168</v>
      </c>
      <c r="T598" s="8">
        <v>4.4000000000000004</v>
      </c>
      <c r="U598" s="8">
        <v>1.8</v>
      </c>
      <c r="V598" s="17">
        <v>1.8</v>
      </c>
      <c r="AD598" s="1"/>
      <c r="AE598" s="3"/>
      <c r="AF598" s="2"/>
      <c r="AG598" s="2"/>
      <c r="AH598" s="2"/>
      <c r="AI598" s="3"/>
      <c r="AJ598" s="1"/>
      <c r="AK598" s="1"/>
    </row>
    <row r="599" spans="1:37" x14ac:dyDescent="0.3">
      <c r="A599" s="14">
        <v>611</v>
      </c>
      <c r="B599" s="14">
        <v>3</v>
      </c>
      <c r="C599" s="9" t="s">
        <v>1659</v>
      </c>
      <c r="D599" s="9" t="s">
        <v>411</v>
      </c>
      <c r="E599" s="9" t="s">
        <v>2062</v>
      </c>
      <c r="F599" s="9" t="s">
        <v>2063</v>
      </c>
      <c r="G599" s="9">
        <v>4</v>
      </c>
      <c r="H599" s="9"/>
      <c r="I599" s="9"/>
      <c r="J599" s="9"/>
      <c r="K599" s="9" t="b">
        <v>0</v>
      </c>
      <c r="L599" s="9" t="s">
        <v>275</v>
      </c>
      <c r="M599" s="9" t="b">
        <v>0</v>
      </c>
      <c r="N599" s="9" t="s">
        <v>2064</v>
      </c>
      <c r="O599" s="9" t="s">
        <v>3786</v>
      </c>
      <c r="P599" s="7">
        <v>1134</v>
      </c>
      <c r="Q599" s="7">
        <v>624</v>
      </c>
      <c r="R599" s="7">
        <v>455</v>
      </c>
      <c r="S599" s="7">
        <v>146</v>
      </c>
      <c r="T599" s="8">
        <v>4.8</v>
      </c>
      <c r="U599" s="8">
        <v>1.8</v>
      </c>
      <c r="V599" s="17">
        <v>1.8</v>
      </c>
      <c r="AD599" s="1"/>
      <c r="AE599" s="3"/>
      <c r="AF599" s="2"/>
      <c r="AG599" s="3"/>
      <c r="AH599" s="3"/>
      <c r="AI599" s="3"/>
      <c r="AJ599" s="1"/>
      <c r="AK599" s="1"/>
    </row>
    <row r="600" spans="1:37" x14ac:dyDescent="0.3">
      <c r="A600" s="14">
        <v>912</v>
      </c>
      <c r="B600" s="14">
        <v>2</v>
      </c>
      <c r="C600" s="9" t="s">
        <v>1659</v>
      </c>
      <c r="D600" s="9" t="s">
        <v>1457</v>
      </c>
      <c r="E600" s="9" t="s">
        <v>2976</v>
      </c>
      <c r="F600" s="9" t="s">
        <v>2977</v>
      </c>
      <c r="G600" s="9">
        <v>3</v>
      </c>
      <c r="H600" s="9"/>
      <c r="I600" s="9"/>
      <c r="J600" s="9"/>
      <c r="K600" s="9" t="b">
        <v>0</v>
      </c>
      <c r="L600" s="9" t="s">
        <v>598</v>
      </c>
      <c r="M600" s="9" t="b">
        <v>0</v>
      </c>
      <c r="N600" s="9" t="s">
        <v>2978</v>
      </c>
      <c r="O600" s="9" t="s">
        <v>4084</v>
      </c>
      <c r="P600" s="7">
        <v>1299</v>
      </c>
      <c r="Q600" s="7">
        <v>958</v>
      </c>
      <c r="R600" s="7">
        <v>518</v>
      </c>
      <c r="S600" s="7">
        <v>161</v>
      </c>
      <c r="T600" s="8">
        <v>5.3</v>
      </c>
      <c r="U600" s="8">
        <v>1.8</v>
      </c>
      <c r="V600" s="17">
        <v>1.8</v>
      </c>
      <c r="AD600" s="1"/>
      <c r="AE600" s="3"/>
      <c r="AF600" s="2"/>
      <c r="AG600" s="3"/>
      <c r="AH600" s="3"/>
      <c r="AI600" s="3"/>
      <c r="AJ600" s="1"/>
      <c r="AK600" s="1"/>
    </row>
    <row r="601" spans="1:37" x14ac:dyDescent="0.3">
      <c r="A601" s="14">
        <v>631</v>
      </c>
      <c r="B601" s="14">
        <v>3</v>
      </c>
      <c r="C601" s="9" t="s">
        <v>1659</v>
      </c>
      <c r="D601" s="9" t="s">
        <v>411</v>
      </c>
      <c r="E601" s="9" t="s">
        <v>2123</v>
      </c>
      <c r="F601" s="9" t="s">
        <v>2124</v>
      </c>
      <c r="G601" s="9">
        <v>1</v>
      </c>
      <c r="H601" s="9"/>
      <c r="I601" s="9"/>
      <c r="J601" s="9"/>
      <c r="K601" s="9" t="b">
        <v>0</v>
      </c>
      <c r="L601" s="9" t="s">
        <v>1603</v>
      </c>
      <c r="M601" s="9" t="b">
        <v>0</v>
      </c>
      <c r="N601" s="9" t="s">
        <v>2125</v>
      </c>
      <c r="O601" s="9" t="s">
        <v>3806</v>
      </c>
      <c r="P601" s="7">
        <v>1061</v>
      </c>
      <c r="Q601" s="7">
        <v>836</v>
      </c>
      <c r="R601" s="7">
        <v>457</v>
      </c>
      <c r="S601" s="7">
        <v>132</v>
      </c>
      <c r="T601" s="8">
        <v>4.9000000000000004</v>
      </c>
      <c r="U601" s="8">
        <v>1.8</v>
      </c>
      <c r="V601" s="17">
        <v>1.8</v>
      </c>
      <c r="AD601" s="1"/>
      <c r="AE601" s="3"/>
      <c r="AF601" s="2"/>
      <c r="AG601" s="2"/>
      <c r="AH601" s="3"/>
      <c r="AI601" s="3"/>
      <c r="AJ601" s="1"/>
      <c r="AK601" s="1"/>
    </row>
    <row r="602" spans="1:37" x14ac:dyDescent="0.3">
      <c r="A602" s="14">
        <v>641</v>
      </c>
      <c r="B602" s="14">
        <v>3</v>
      </c>
      <c r="C602" s="9" t="s">
        <v>1659</v>
      </c>
      <c r="D602" s="9" t="s">
        <v>411</v>
      </c>
      <c r="E602" s="9" t="s">
        <v>2154</v>
      </c>
      <c r="F602" s="9" t="s">
        <v>2155</v>
      </c>
      <c r="G602" s="9">
        <v>4</v>
      </c>
      <c r="H602" s="9"/>
      <c r="I602" s="9"/>
      <c r="J602" s="9"/>
      <c r="K602" s="9" t="b">
        <v>0</v>
      </c>
      <c r="L602" s="9" t="s">
        <v>2157</v>
      </c>
      <c r="M602" s="9" t="b">
        <v>0</v>
      </c>
      <c r="N602" s="9" t="s">
        <v>2156</v>
      </c>
      <c r="O602" s="9" t="s">
        <v>3816</v>
      </c>
      <c r="P602" s="7">
        <v>874</v>
      </c>
      <c r="Q602" s="7">
        <v>756</v>
      </c>
      <c r="R602" s="7">
        <v>475</v>
      </c>
      <c r="S602" s="7">
        <v>109</v>
      </c>
      <c r="T602" s="8">
        <v>4.4000000000000004</v>
      </c>
      <c r="U602" s="8">
        <v>1.8</v>
      </c>
      <c r="V602" s="17">
        <v>1.8</v>
      </c>
      <c r="AD602" s="1"/>
      <c r="AE602" s="3"/>
      <c r="AF602" s="2"/>
      <c r="AG602" s="3"/>
      <c r="AH602" s="3"/>
      <c r="AI602" s="3"/>
      <c r="AJ602" s="1"/>
      <c r="AK602" s="1"/>
    </row>
    <row r="603" spans="1:37" x14ac:dyDescent="0.3">
      <c r="A603" s="14">
        <v>921</v>
      </c>
      <c r="B603" s="14">
        <v>2</v>
      </c>
      <c r="C603" s="9" t="s">
        <v>1659</v>
      </c>
      <c r="D603" s="9" t="s">
        <v>1457</v>
      </c>
      <c r="E603" s="9" t="s">
        <v>3008</v>
      </c>
      <c r="F603" s="9" t="s">
        <v>3009</v>
      </c>
      <c r="G603" s="9">
        <v>1</v>
      </c>
      <c r="H603" s="9"/>
      <c r="I603" s="9"/>
      <c r="J603" s="9"/>
      <c r="K603" s="9" t="b">
        <v>0</v>
      </c>
      <c r="L603" s="9" t="s">
        <v>3011</v>
      </c>
      <c r="M603" s="9" t="b">
        <v>0</v>
      </c>
      <c r="N603" s="9" t="s">
        <v>3010</v>
      </c>
      <c r="O603" s="9" t="s">
        <v>4093</v>
      </c>
      <c r="P603" s="7">
        <v>1306</v>
      </c>
      <c r="Q603" s="7">
        <v>1007</v>
      </c>
      <c r="R603" s="7">
        <v>545</v>
      </c>
      <c r="S603" s="7">
        <v>165</v>
      </c>
      <c r="T603" s="8">
        <v>5</v>
      </c>
      <c r="U603" s="8">
        <v>1.8</v>
      </c>
      <c r="V603" s="17">
        <v>1.8</v>
      </c>
      <c r="AD603" s="1"/>
      <c r="AE603" s="3"/>
      <c r="AF603" s="2"/>
      <c r="AG603" s="2"/>
      <c r="AH603" s="2"/>
      <c r="AI603" s="3"/>
      <c r="AJ603" s="1"/>
      <c r="AK603" s="1"/>
    </row>
    <row r="604" spans="1:37" x14ac:dyDescent="0.3">
      <c r="A604" s="14">
        <v>925</v>
      </c>
      <c r="B604" s="14">
        <v>2</v>
      </c>
      <c r="C604" s="9" t="s">
        <v>1659</v>
      </c>
      <c r="D604" s="9" t="s">
        <v>1457</v>
      </c>
      <c r="E604" s="9" t="s">
        <v>3022</v>
      </c>
      <c r="F604" s="9" t="s">
        <v>3023</v>
      </c>
      <c r="G604" s="9">
        <v>3</v>
      </c>
      <c r="H604" s="9"/>
      <c r="I604" s="9"/>
      <c r="J604" s="9"/>
      <c r="K604" s="9" t="b">
        <v>0</v>
      </c>
      <c r="L604" s="9" t="s">
        <v>234</v>
      </c>
      <c r="M604" s="9" t="b">
        <v>0</v>
      </c>
      <c r="N604" s="9" t="s">
        <v>3024</v>
      </c>
      <c r="O604" s="9" t="s">
        <v>4097</v>
      </c>
      <c r="P604" s="7">
        <v>1233</v>
      </c>
      <c r="Q604" s="7">
        <v>827</v>
      </c>
      <c r="R604" s="7">
        <v>471</v>
      </c>
      <c r="S604" s="7">
        <v>154</v>
      </c>
      <c r="T604" s="8">
        <v>5.4</v>
      </c>
      <c r="U604" s="8">
        <v>1.8</v>
      </c>
      <c r="V604" s="17">
        <v>1.8</v>
      </c>
      <c r="AD604" s="1"/>
      <c r="AE604" s="3"/>
      <c r="AF604" s="2"/>
      <c r="AG604" s="3"/>
      <c r="AH604" s="3"/>
      <c r="AI604" s="3"/>
      <c r="AJ604" s="1"/>
      <c r="AK604" s="1"/>
    </row>
    <row r="605" spans="1:37" ht="28.8" x14ac:dyDescent="0.3">
      <c r="A605" s="14">
        <v>900</v>
      </c>
      <c r="B605" s="14">
        <v>4</v>
      </c>
      <c r="C605" s="9" t="s">
        <v>1659</v>
      </c>
      <c r="D605" s="9" t="s">
        <v>1394</v>
      </c>
      <c r="E605" s="9" t="s">
        <v>2947</v>
      </c>
      <c r="F605" s="9" t="s">
        <v>2948</v>
      </c>
      <c r="G605" s="9">
        <v>1</v>
      </c>
      <c r="H605" s="9"/>
      <c r="I605" s="9"/>
      <c r="J605" s="9"/>
      <c r="K605" s="9" t="b">
        <v>0</v>
      </c>
      <c r="L605" s="9" t="s">
        <v>2568</v>
      </c>
      <c r="M605" s="9" t="b">
        <v>0</v>
      </c>
      <c r="N605" s="12" t="s">
        <v>3164</v>
      </c>
      <c r="O605" s="9"/>
      <c r="P605" s="7">
        <v>867</v>
      </c>
      <c r="Q605" s="7">
        <v>515</v>
      </c>
      <c r="R605" s="7">
        <v>310</v>
      </c>
      <c r="S605" s="7">
        <v>108</v>
      </c>
      <c r="T605" s="8">
        <v>5</v>
      </c>
      <c r="U605" s="8">
        <v>1.8</v>
      </c>
      <c r="V605" s="17">
        <v>1.8</v>
      </c>
      <c r="AD605" s="1"/>
      <c r="AE605" s="3"/>
      <c r="AF605" s="2"/>
      <c r="AG605" s="3"/>
      <c r="AH605" s="3"/>
      <c r="AI605" s="3"/>
      <c r="AJ605" s="1"/>
      <c r="AK605" s="1"/>
    </row>
    <row r="606" spans="1:37" x14ac:dyDescent="0.3">
      <c r="A606" s="14">
        <v>804</v>
      </c>
      <c r="B606" s="14">
        <v>1</v>
      </c>
      <c r="C606" s="9" t="s">
        <v>1659</v>
      </c>
      <c r="D606" s="9" t="s">
        <v>1077</v>
      </c>
      <c r="E606" s="9" t="s">
        <v>2656</v>
      </c>
      <c r="F606" s="9" t="s">
        <v>2657</v>
      </c>
      <c r="G606" s="9">
        <v>4</v>
      </c>
      <c r="H606" s="9"/>
      <c r="I606" s="9"/>
      <c r="J606" s="9"/>
      <c r="K606" s="9" t="b">
        <v>0</v>
      </c>
      <c r="L606" s="9" t="s">
        <v>7</v>
      </c>
      <c r="M606" s="9" t="b">
        <v>0</v>
      </c>
      <c r="N606" s="9" t="s">
        <v>2658</v>
      </c>
      <c r="O606" s="9" t="s">
        <v>3979</v>
      </c>
      <c r="P606" s="7">
        <v>1186</v>
      </c>
      <c r="Q606" s="7">
        <v>867</v>
      </c>
      <c r="R606" s="7">
        <v>496</v>
      </c>
      <c r="S606" s="7">
        <v>152</v>
      </c>
      <c r="T606" s="8">
        <v>5.4</v>
      </c>
      <c r="U606" s="8">
        <v>1.8</v>
      </c>
      <c r="V606" s="17">
        <v>1.8</v>
      </c>
      <c r="AD606" s="1"/>
      <c r="AE606" s="3"/>
      <c r="AF606" s="2"/>
      <c r="AG606" s="2"/>
      <c r="AH606" s="3"/>
      <c r="AI606" s="3"/>
      <c r="AJ606" s="1"/>
      <c r="AK606" s="1"/>
    </row>
    <row r="607" spans="1:37" x14ac:dyDescent="0.3">
      <c r="A607" s="14">
        <v>698</v>
      </c>
      <c r="B607" s="14">
        <v>3</v>
      </c>
      <c r="C607" s="9" t="s">
        <v>1659</v>
      </c>
      <c r="D607" s="9" t="s">
        <v>411</v>
      </c>
      <c r="E607" s="9" t="s">
        <v>2333</v>
      </c>
      <c r="F607" s="9" t="s">
        <v>2334</v>
      </c>
      <c r="G607" s="9">
        <v>3</v>
      </c>
      <c r="H607" s="9"/>
      <c r="I607" s="9"/>
      <c r="J607" s="9"/>
      <c r="K607" s="9" t="b">
        <v>0</v>
      </c>
      <c r="L607" s="9" t="s">
        <v>420</v>
      </c>
      <c r="M607" s="9" t="b">
        <v>0</v>
      </c>
      <c r="N607" s="9" t="s">
        <v>2335</v>
      </c>
      <c r="O607" s="9" t="s">
        <v>3873</v>
      </c>
      <c r="P607" s="7">
        <v>1189</v>
      </c>
      <c r="Q607" s="7">
        <v>973</v>
      </c>
      <c r="R607" s="7">
        <v>547</v>
      </c>
      <c r="S607" s="7">
        <v>152</v>
      </c>
      <c r="T607" s="8">
        <v>4.9000000000000004</v>
      </c>
      <c r="U607" s="8">
        <v>1.8</v>
      </c>
      <c r="V607" s="17">
        <v>1.8</v>
      </c>
      <c r="AD607" s="1"/>
      <c r="AE607" s="3"/>
      <c r="AF607" s="2"/>
      <c r="AG607" s="2"/>
      <c r="AH607" s="2"/>
      <c r="AI607" s="3"/>
      <c r="AJ607" s="1"/>
      <c r="AK607" s="1"/>
    </row>
    <row r="608" spans="1:37" x14ac:dyDescent="0.3">
      <c r="A608" s="14">
        <v>520</v>
      </c>
      <c r="B608" s="14">
        <v>1</v>
      </c>
      <c r="C608" s="9" t="s">
        <v>1659</v>
      </c>
      <c r="D608" s="9" t="s">
        <v>1</v>
      </c>
      <c r="E608" s="9" t="s">
        <v>1780</v>
      </c>
      <c r="F608" s="9" t="s">
        <v>1781</v>
      </c>
      <c r="G608" s="9">
        <v>4</v>
      </c>
      <c r="H608" s="9"/>
      <c r="I608" s="9"/>
      <c r="J608" s="9"/>
      <c r="K608" s="9" t="b">
        <v>0</v>
      </c>
      <c r="L608" s="9" t="s">
        <v>7</v>
      </c>
      <c r="M608" s="9" t="b">
        <v>0</v>
      </c>
      <c r="N608" s="9" t="s">
        <v>1782</v>
      </c>
      <c r="O608" s="9" t="s">
        <v>3695</v>
      </c>
      <c r="P608" s="7">
        <v>1354</v>
      </c>
      <c r="Q608" s="7">
        <v>1075</v>
      </c>
      <c r="R608" s="7">
        <v>613</v>
      </c>
      <c r="S608" s="7">
        <v>174</v>
      </c>
      <c r="T608" s="8">
        <v>5.3</v>
      </c>
      <c r="U608" s="8">
        <v>1.8</v>
      </c>
      <c r="V608" s="17">
        <v>1.8</v>
      </c>
      <c r="AD608" s="1"/>
      <c r="AE608" s="3"/>
      <c r="AF608" s="3"/>
      <c r="AG608" s="3"/>
      <c r="AH608" s="3"/>
      <c r="AI608" s="3"/>
      <c r="AJ608" s="1"/>
      <c r="AK608" s="1"/>
    </row>
    <row r="609" spans="1:37" x14ac:dyDescent="0.3">
      <c r="A609" s="14">
        <v>525</v>
      </c>
      <c r="B609" s="14">
        <v>1</v>
      </c>
      <c r="C609" s="9" t="s">
        <v>1659</v>
      </c>
      <c r="D609" s="9" t="s">
        <v>1</v>
      </c>
      <c r="E609" s="9" t="s">
        <v>1795</v>
      </c>
      <c r="F609" s="9" t="s">
        <v>1796</v>
      </c>
      <c r="G609" s="9">
        <v>4</v>
      </c>
      <c r="H609" s="9"/>
      <c r="I609" s="9"/>
      <c r="J609" s="9"/>
      <c r="K609" s="9" t="b">
        <v>0</v>
      </c>
      <c r="L609" s="9" t="s">
        <v>7</v>
      </c>
      <c r="M609" s="9" t="b">
        <v>0</v>
      </c>
      <c r="N609" s="9" t="s">
        <v>1797</v>
      </c>
      <c r="O609" s="9" t="s">
        <v>3700</v>
      </c>
      <c r="P609" s="7">
        <v>1386</v>
      </c>
      <c r="Q609" s="7">
        <v>1040</v>
      </c>
      <c r="R609" s="7">
        <v>532</v>
      </c>
      <c r="S609" s="7">
        <v>171</v>
      </c>
      <c r="T609" s="8">
        <v>5.3</v>
      </c>
      <c r="U609" s="8">
        <v>1.8</v>
      </c>
      <c r="V609" s="17">
        <v>1.8</v>
      </c>
      <c r="AD609" s="1"/>
      <c r="AE609" s="3"/>
      <c r="AF609" s="2"/>
      <c r="AG609" s="2"/>
      <c r="AH609" s="3"/>
      <c r="AI609" s="3"/>
      <c r="AJ609" s="1"/>
      <c r="AK609" s="1"/>
    </row>
    <row r="610" spans="1:37" x14ac:dyDescent="0.3">
      <c r="A610" s="14">
        <v>817</v>
      </c>
      <c r="B610" s="14">
        <v>1</v>
      </c>
      <c r="C610" s="9" t="s">
        <v>1659</v>
      </c>
      <c r="D610" s="9" t="s">
        <v>1077</v>
      </c>
      <c r="E610" s="9" t="s">
        <v>2695</v>
      </c>
      <c r="F610" s="9" t="s">
        <v>2696</v>
      </c>
      <c r="G610" s="9">
        <v>4</v>
      </c>
      <c r="H610" s="9"/>
      <c r="I610" s="9"/>
      <c r="J610" s="9"/>
      <c r="K610" s="9" t="b">
        <v>0</v>
      </c>
      <c r="L610" s="9" t="s">
        <v>7</v>
      </c>
      <c r="M610" s="9" t="b">
        <v>0</v>
      </c>
      <c r="N610" s="9" t="s">
        <v>2697</v>
      </c>
      <c r="O610" s="9" t="s">
        <v>3992</v>
      </c>
      <c r="P610" s="7">
        <v>1351</v>
      </c>
      <c r="Q610" s="7">
        <v>950</v>
      </c>
      <c r="R610" s="7">
        <v>530</v>
      </c>
      <c r="S610" s="7">
        <v>172</v>
      </c>
      <c r="T610" s="8">
        <v>5.6</v>
      </c>
      <c r="U610" s="8">
        <v>1.8</v>
      </c>
      <c r="V610" s="17">
        <v>1.8</v>
      </c>
      <c r="AD610" s="1"/>
      <c r="AE610" s="3"/>
      <c r="AF610" s="2"/>
      <c r="AG610" s="2"/>
      <c r="AH610" s="3"/>
      <c r="AI610" s="3"/>
      <c r="AJ610" s="1"/>
      <c r="AK610" s="1"/>
    </row>
    <row r="611" spans="1:37" x14ac:dyDescent="0.3">
      <c r="A611" s="14">
        <v>533</v>
      </c>
      <c r="B611" s="14">
        <v>1</v>
      </c>
      <c r="C611" s="9" t="s">
        <v>1659</v>
      </c>
      <c r="D611" s="9" t="s">
        <v>1</v>
      </c>
      <c r="E611" s="9" t="s">
        <v>1819</v>
      </c>
      <c r="F611" s="9" t="s">
        <v>1820</v>
      </c>
      <c r="G611" s="9">
        <v>1</v>
      </c>
      <c r="H611" s="9"/>
      <c r="I611" s="9"/>
      <c r="J611" s="9"/>
      <c r="K611" s="9" t="b">
        <v>0</v>
      </c>
      <c r="L611" s="9" t="s">
        <v>7</v>
      </c>
      <c r="M611" s="9" t="b">
        <v>0</v>
      </c>
      <c r="N611" s="9" t="s">
        <v>1821</v>
      </c>
      <c r="O611" s="9" t="s">
        <v>3708</v>
      </c>
      <c r="P611" s="7">
        <v>1302</v>
      </c>
      <c r="Q611" s="7">
        <v>1040</v>
      </c>
      <c r="R611" s="7">
        <v>598</v>
      </c>
      <c r="S611" s="7">
        <v>168</v>
      </c>
      <c r="T611" s="8">
        <v>5.0999999999999996</v>
      </c>
      <c r="U611" s="8">
        <v>1.8</v>
      </c>
      <c r="V611" s="17">
        <v>1.8</v>
      </c>
      <c r="AD611" s="1"/>
      <c r="AE611" s="3"/>
      <c r="AF611" s="2"/>
      <c r="AG611" s="3"/>
      <c r="AH611" s="3"/>
      <c r="AI611" s="3"/>
      <c r="AJ611" s="1"/>
      <c r="AK611" s="1"/>
    </row>
    <row r="612" spans="1:37" x14ac:dyDescent="0.3">
      <c r="A612" s="14">
        <v>755</v>
      </c>
      <c r="B612" s="14">
        <v>3</v>
      </c>
      <c r="C612" s="9" t="s">
        <v>1659</v>
      </c>
      <c r="D612" s="9" t="s">
        <v>411</v>
      </c>
      <c r="E612" s="9" t="s">
        <v>2507</v>
      </c>
      <c r="F612" s="9" t="s">
        <v>2508</v>
      </c>
      <c r="G612" s="9">
        <v>3</v>
      </c>
      <c r="H612" s="9"/>
      <c r="I612" s="9"/>
      <c r="J612" s="9"/>
      <c r="K612" s="9" t="b">
        <v>0</v>
      </c>
      <c r="L612" s="9" t="s">
        <v>185</v>
      </c>
      <c r="M612" s="9" t="b">
        <v>0</v>
      </c>
      <c r="N612" s="9" t="s">
        <v>2509</v>
      </c>
      <c r="O612" s="9" t="s">
        <v>3930</v>
      </c>
      <c r="P612" s="7">
        <v>1169</v>
      </c>
      <c r="Q612" s="7">
        <v>800</v>
      </c>
      <c r="R612" s="7">
        <v>445</v>
      </c>
      <c r="S612" s="7">
        <v>148</v>
      </c>
      <c r="T612" s="8">
        <v>5.3</v>
      </c>
      <c r="U612" s="8">
        <v>1.8</v>
      </c>
      <c r="V612" s="17">
        <v>1.8</v>
      </c>
      <c r="AD612" s="1"/>
      <c r="AE612" s="3"/>
      <c r="AF612" s="2"/>
      <c r="AG612" s="2"/>
      <c r="AH612" s="3"/>
      <c r="AI612" s="3"/>
      <c r="AJ612" s="1"/>
      <c r="AK612" s="1"/>
    </row>
    <row r="613" spans="1:37" x14ac:dyDescent="0.3">
      <c r="A613" s="14">
        <v>871</v>
      </c>
      <c r="B613" s="14">
        <v>1</v>
      </c>
      <c r="C613" s="9" t="s">
        <v>1659</v>
      </c>
      <c r="D613" s="9" t="s">
        <v>1208</v>
      </c>
      <c r="E613" s="9" t="s">
        <v>2857</v>
      </c>
      <c r="F613" s="9" t="s">
        <v>2858</v>
      </c>
      <c r="G613" s="9">
        <v>1</v>
      </c>
      <c r="H613" s="9"/>
      <c r="I613" s="9"/>
      <c r="J613" s="9"/>
      <c r="K613" s="9" t="b">
        <v>0</v>
      </c>
      <c r="L613" s="9" t="s">
        <v>7</v>
      </c>
      <c r="M613" s="9" t="b">
        <v>0</v>
      </c>
      <c r="N613" s="9" t="s">
        <v>2859</v>
      </c>
      <c r="O613" s="9" t="s">
        <v>4046</v>
      </c>
      <c r="P613" s="7">
        <v>1347</v>
      </c>
      <c r="Q613" s="7">
        <v>1033</v>
      </c>
      <c r="R613" s="7">
        <v>701</v>
      </c>
      <c r="S613" s="7">
        <v>174</v>
      </c>
      <c r="T613" s="8">
        <v>5</v>
      </c>
      <c r="U613" s="8">
        <v>1.8</v>
      </c>
      <c r="V613" s="17">
        <v>1.8</v>
      </c>
      <c r="AD613" s="1"/>
      <c r="AE613" s="3"/>
      <c r="AF613" s="3"/>
      <c r="AG613" s="3"/>
      <c r="AH613" s="3"/>
      <c r="AI613" s="3"/>
      <c r="AJ613" s="1"/>
      <c r="AK613" s="1"/>
    </row>
    <row r="614" spans="1:37" x14ac:dyDescent="0.3">
      <c r="A614" s="14">
        <v>546</v>
      </c>
      <c r="B614" s="14">
        <v>1</v>
      </c>
      <c r="C614" s="9" t="s">
        <v>1659</v>
      </c>
      <c r="D614" s="9" t="s">
        <v>1</v>
      </c>
      <c r="E614" s="9" t="s">
        <v>1857</v>
      </c>
      <c r="F614" s="9" t="s">
        <v>1858</v>
      </c>
      <c r="G614" s="9">
        <v>1</v>
      </c>
      <c r="H614" s="9"/>
      <c r="I614" s="9"/>
      <c r="J614" s="9"/>
      <c r="K614" s="9" t="b">
        <v>0</v>
      </c>
      <c r="L614" s="9" t="s">
        <v>7</v>
      </c>
      <c r="M614" s="9" t="b">
        <v>0</v>
      </c>
      <c r="N614" s="9" t="s">
        <v>1859</v>
      </c>
      <c r="O614" s="9" t="s">
        <v>3721</v>
      </c>
      <c r="P614" s="7">
        <v>1389</v>
      </c>
      <c r="Q614" s="7">
        <v>1090</v>
      </c>
      <c r="R614" s="7">
        <v>723</v>
      </c>
      <c r="S614" s="7">
        <v>178</v>
      </c>
      <c r="T614" s="8">
        <v>4.8</v>
      </c>
      <c r="U614" s="8">
        <v>1.8</v>
      </c>
      <c r="V614" s="17">
        <v>1.8</v>
      </c>
      <c r="AD614" s="1"/>
      <c r="AE614" s="3"/>
      <c r="AF614" s="2"/>
      <c r="AG614" s="3"/>
      <c r="AH614" s="3"/>
      <c r="AI614" s="3"/>
      <c r="AJ614" s="1"/>
      <c r="AK614" s="1"/>
    </row>
    <row r="615" spans="1:37" x14ac:dyDescent="0.3">
      <c r="A615" s="14">
        <v>51</v>
      </c>
      <c r="B615" s="14">
        <v>2</v>
      </c>
      <c r="C615" s="9" t="s">
        <v>0</v>
      </c>
      <c r="D615" s="9" t="s">
        <v>180</v>
      </c>
      <c r="E615" s="9" t="s">
        <v>181</v>
      </c>
      <c r="F615" s="9" t="s">
        <v>182</v>
      </c>
      <c r="G615" s="9">
        <v>1</v>
      </c>
      <c r="H615" s="9" t="s">
        <v>183</v>
      </c>
      <c r="I615" s="9"/>
      <c r="J615" s="9"/>
      <c r="K615" s="9" t="b">
        <v>0</v>
      </c>
      <c r="L615" s="9" t="s">
        <v>185</v>
      </c>
      <c r="M615" s="9" t="b">
        <v>0</v>
      </c>
      <c r="N615" s="9" t="s">
        <v>184</v>
      </c>
      <c r="O615" s="9" t="s">
        <v>3227</v>
      </c>
      <c r="P615" s="7">
        <v>1343</v>
      </c>
      <c r="Q615" s="7">
        <v>874</v>
      </c>
      <c r="R615" s="7">
        <v>560</v>
      </c>
      <c r="S615" s="7">
        <v>172</v>
      </c>
      <c r="T615" s="8">
        <v>5.2</v>
      </c>
      <c r="U615" s="8">
        <v>1.8</v>
      </c>
      <c r="V615" s="17">
        <v>1.8</v>
      </c>
      <c r="AD615" s="1"/>
      <c r="AE615" s="3"/>
      <c r="AF615" s="2"/>
      <c r="AG615" s="2"/>
      <c r="AH615" s="2"/>
      <c r="AI615" s="3"/>
      <c r="AJ615" s="1"/>
      <c r="AK615" s="1"/>
    </row>
    <row r="616" spans="1:37" x14ac:dyDescent="0.3">
      <c r="A616" s="14">
        <v>195</v>
      </c>
      <c r="B616" s="14">
        <v>3</v>
      </c>
      <c r="C616" s="9" t="s">
        <v>0</v>
      </c>
      <c r="D616" s="9" t="s">
        <v>411</v>
      </c>
      <c r="E616" s="9" t="s">
        <v>723</v>
      </c>
      <c r="F616" s="9" t="s">
        <v>724</v>
      </c>
      <c r="G616" s="9">
        <v>1</v>
      </c>
      <c r="H616" s="9"/>
      <c r="I616" s="9" t="s">
        <v>5</v>
      </c>
      <c r="J616" s="9">
        <v>1</v>
      </c>
      <c r="K616" s="9" t="b">
        <v>0</v>
      </c>
      <c r="L616" s="9" t="s">
        <v>437</v>
      </c>
      <c r="M616" s="9" t="b">
        <v>0</v>
      </c>
      <c r="N616" s="9" t="s">
        <v>725</v>
      </c>
      <c r="O616" s="9" t="s">
        <v>3371</v>
      </c>
      <c r="P616" s="7">
        <v>863</v>
      </c>
      <c r="Q616" s="7">
        <v>684</v>
      </c>
      <c r="R616" s="7">
        <v>408</v>
      </c>
      <c r="S616" s="7">
        <v>106</v>
      </c>
      <c r="T616" s="8">
        <v>4.5999999999999996</v>
      </c>
      <c r="U616" s="8">
        <v>1.8</v>
      </c>
      <c r="V616" s="17">
        <v>1.8</v>
      </c>
      <c r="AD616" s="1"/>
      <c r="AE616" s="3"/>
      <c r="AF616" s="2"/>
      <c r="AG616" s="2"/>
      <c r="AH616" s="2"/>
      <c r="AI616" s="3"/>
      <c r="AJ616" s="1"/>
      <c r="AK616" s="1"/>
    </row>
    <row r="617" spans="1:37" x14ac:dyDescent="0.3">
      <c r="A617" s="14">
        <v>29</v>
      </c>
      <c r="B617" s="14">
        <v>1</v>
      </c>
      <c r="C617" s="9" t="s">
        <v>0</v>
      </c>
      <c r="D617" s="9" t="s">
        <v>1</v>
      </c>
      <c r="E617" s="9" t="s">
        <v>105</v>
      </c>
      <c r="F617" s="9" t="s">
        <v>106</v>
      </c>
      <c r="G617" s="9">
        <v>1</v>
      </c>
      <c r="H617" s="9"/>
      <c r="I617" s="9" t="s">
        <v>5</v>
      </c>
      <c r="J617" s="9"/>
      <c r="K617" s="9" t="b">
        <v>0</v>
      </c>
      <c r="L617" s="9" t="s">
        <v>7</v>
      </c>
      <c r="M617" s="9" t="b">
        <v>1</v>
      </c>
      <c r="N617" s="9" t="s">
        <v>107</v>
      </c>
      <c r="O617" s="9" t="s">
        <v>3205</v>
      </c>
      <c r="P617" s="7">
        <v>1427</v>
      </c>
      <c r="Q617" s="7">
        <v>804</v>
      </c>
      <c r="R617" s="7">
        <v>500</v>
      </c>
      <c r="S617" s="7">
        <v>175</v>
      </c>
      <c r="T617" s="8">
        <v>5</v>
      </c>
      <c r="U617" s="8">
        <v>1.8</v>
      </c>
      <c r="V617" s="17">
        <v>1.8</v>
      </c>
      <c r="AD617" s="1"/>
      <c r="AE617" s="3"/>
      <c r="AF617" s="3"/>
      <c r="AG617" s="3"/>
      <c r="AH617" s="3"/>
      <c r="AI617" s="3"/>
      <c r="AJ617" s="1"/>
      <c r="AK617" s="1"/>
    </row>
    <row r="618" spans="1:37" x14ac:dyDescent="0.3">
      <c r="A618" s="14">
        <v>236</v>
      </c>
      <c r="B618" s="14">
        <v>3</v>
      </c>
      <c r="C618" s="9" t="s">
        <v>0</v>
      </c>
      <c r="D618" s="9" t="s">
        <v>411</v>
      </c>
      <c r="E618" s="9" t="s">
        <v>861</v>
      </c>
      <c r="F618" s="9" t="s">
        <v>862</v>
      </c>
      <c r="G618" s="9">
        <v>1</v>
      </c>
      <c r="H618" s="9" t="s">
        <v>863</v>
      </c>
      <c r="I618" s="9" t="s">
        <v>22</v>
      </c>
      <c r="J618" s="9"/>
      <c r="K618" s="9" t="b">
        <v>0</v>
      </c>
      <c r="L618" s="9" t="s">
        <v>238</v>
      </c>
      <c r="M618" s="9" t="b">
        <v>1</v>
      </c>
      <c r="N618" s="9" t="s">
        <v>864</v>
      </c>
      <c r="O618" s="9" t="s">
        <v>3412</v>
      </c>
      <c r="P618" s="7">
        <v>1232</v>
      </c>
      <c r="Q618" s="7">
        <v>929</v>
      </c>
      <c r="R618" s="7">
        <v>533</v>
      </c>
      <c r="S618" s="7">
        <v>153</v>
      </c>
      <c r="T618" s="8">
        <v>4.9000000000000004</v>
      </c>
      <c r="U618" s="8">
        <v>1.8</v>
      </c>
      <c r="V618" s="17">
        <v>1.8</v>
      </c>
      <c r="AD618" s="1"/>
      <c r="AE618" s="3"/>
      <c r="AF618" s="3"/>
      <c r="AG618" s="3"/>
      <c r="AH618" s="3"/>
      <c r="AI618" s="3"/>
      <c r="AJ618" s="1"/>
      <c r="AK618" s="1"/>
    </row>
    <row r="619" spans="1:37" x14ac:dyDescent="0.3">
      <c r="A619" s="14">
        <v>375</v>
      </c>
      <c r="B619" s="14">
        <v>1</v>
      </c>
      <c r="C619" s="9" t="s">
        <v>0</v>
      </c>
      <c r="D619" s="9" t="s">
        <v>1208</v>
      </c>
      <c r="E619" s="9" t="s">
        <v>1317</v>
      </c>
      <c r="F619" s="9" t="s">
        <v>1318</v>
      </c>
      <c r="G619" s="9">
        <v>1</v>
      </c>
      <c r="H619" s="9" t="s">
        <v>26</v>
      </c>
      <c r="I619" s="9" t="s">
        <v>5</v>
      </c>
      <c r="J619" s="9"/>
      <c r="K619" s="9" t="b">
        <v>0</v>
      </c>
      <c r="L619" s="9" t="s">
        <v>7</v>
      </c>
      <c r="M619" s="9" t="b">
        <v>0</v>
      </c>
      <c r="N619" s="9" t="s">
        <v>1319</v>
      </c>
      <c r="O619" s="9" t="s">
        <v>3551</v>
      </c>
      <c r="P619" s="7">
        <v>1405</v>
      </c>
      <c r="Q619" s="7">
        <v>1031</v>
      </c>
      <c r="R619" s="7">
        <v>612</v>
      </c>
      <c r="S619" s="7">
        <v>175</v>
      </c>
      <c r="T619" s="8">
        <v>4.7</v>
      </c>
      <c r="U619" s="8">
        <v>1.8</v>
      </c>
      <c r="V619" s="17">
        <v>1.8</v>
      </c>
      <c r="AD619" s="1"/>
      <c r="AE619" s="3"/>
      <c r="AF619" s="2"/>
      <c r="AG619" s="2"/>
      <c r="AH619" s="3"/>
      <c r="AI619" s="3"/>
      <c r="AJ619" s="1"/>
      <c r="AK619" s="1"/>
    </row>
    <row r="620" spans="1:37" x14ac:dyDescent="0.3">
      <c r="A620" s="14">
        <v>280</v>
      </c>
      <c r="B620" s="14">
        <v>3</v>
      </c>
      <c r="C620" s="9" t="s">
        <v>0</v>
      </c>
      <c r="D620" s="9" t="s">
        <v>411</v>
      </c>
      <c r="E620" s="9" t="s">
        <v>1006</v>
      </c>
      <c r="F620" s="9" t="s">
        <v>1007</v>
      </c>
      <c r="G620" s="9">
        <v>1</v>
      </c>
      <c r="H620" s="9"/>
      <c r="I620" s="9" t="s">
        <v>22</v>
      </c>
      <c r="J620" s="9"/>
      <c r="K620" s="9" t="b">
        <v>0</v>
      </c>
      <c r="L620" s="9" t="s">
        <v>416</v>
      </c>
      <c r="M620" s="9" t="b">
        <v>0</v>
      </c>
      <c r="N620" s="9" t="s">
        <v>1008</v>
      </c>
      <c r="O620" s="9" t="s">
        <v>3456</v>
      </c>
      <c r="P620" s="7">
        <v>1243</v>
      </c>
      <c r="Q620" s="7">
        <v>1003</v>
      </c>
      <c r="R620" s="7">
        <v>656</v>
      </c>
      <c r="S620" s="7">
        <v>160</v>
      </c>
      <c r="T620" s="8">
        <v>4.5</v>
      </c>
      <c r="U620" s="8">
        <v>1.8</v>
      </c>
      <c r="V620" s="17">
        <v>1.8</v>
      </c>
      <c r="AD620" s="1"/>
      <c r="AE620" s="3"/>
      <c r="AF620" s="2"/>
      <c r="AG620" s="3"/>
      <c r="AH620" s="3"/>
      <c r="AI620" s="3"/>
      <c r="AJ620" s="1"/>
      <c r="AK620" s="1"/>
    </row>
    <row r="621" spans="1:37" x14ac:dyDescent="0.3">
      <c r="A621" s="14">
        <v>281</v>
      </c>
      <c r="B621" s="14">
        <v>3</v>
      </c>
      <c r="C621" s="9" t="s">
        <v>0</v>
      </c>
      <c r="D621" s="9" t="s">
        <v>411</v>
      </c>
      <c r="E621" s="9" t="s">
        <v>1009</v>
      </c>
      <c r="F621" s="9" t="s">
        <v>1010</v>
      </c>
      <c r="G621" s="9">
        <v>1</v>
      </c>
      <c r="H621" s="9"/>
      <c r="I621" s="9" t="s">
        <v>5</v>
      </c>
      <c r="J621" s="9"/>
      <c r="K621" s="9" t="b">
        <v>1</v>
      </c>
      <c r="L621" s="9" t="s">
        <v>238</v>
      </c>
      <c r="M621" s="9" t="b">
        <v>0</v>
      </c>
      <c r="N621" s="9" t="s">
        <v>1011</v>
      </c>
      <c r="O621" s="9" t="s">
        <v>3457</v>
      </c>
      <c r="P621" s="7">
        <v>1250</v>
      </c>
      <c r="Q621" s="7">
        <v>902</v>
      </c>
      <c r="R621" s="7">
        <v>583</v>
      </c>
      <c r="S621" s="7">
        <v>154</v>
      </c>
      <c r="T621" s="8">
        <v>5</v>
      </c>
      <c r="U621" s="8">
        <v>1.8</v>
      </c>
      <c r="V621" s="17">
        <v>1.8</v>
      </c>
      <c r="AD621" s="1"/>
      <c r="AE621" s="3"/>
      <c r="AF621" s="2"/>
      <c r="AG621" s="2"/>
      <c r="AH621" s="3"/>
      <c r="AI621" s="3"/>
      <c r="AJ621" s="1"/>
      <c r="AK621" s="1"/>
    </row>
    <row r="622" spans="1:37" x14ac:dyDescent="0.3">
      <c r="A622" s="14">
        <v>618</v>
      </c>
      <c r="B622" s="14">
        <v>3</v>
      </c>
      <c r="C622" s="9" t="s">
        <v>1659</v>
      </c>
      <c r="D622" s="9" t="s">
        <v>411</v>
      </c>
      <c r="E622" s="9" t="s">
        <v>2084</v>
      </c>
      <c r="F622" s="9" t="s">
        <v>2085</v>
      </c>
      <c r="G622" s="9">
        <v>3</v>
      </c>
      <c r="H622" s="9"/>
      <c r="I622" s="9"/>
      <c r="J622" s="9"/>
      <c r="K622" s="9" t="b">
        <v>0</v>
      </c>
      <c r="L622" s="9"/>
      <c r="M622" s="9" t="b">
        <v>0</v>
      </c>
      <c r="N622" s="9" t="s">
        <v>2086</v>
      </c>
      <c r="O622" s="9" t="s">
        <v>3793</v>
      </c>
      <c r="P622" s="7">
        <v>390</v>
      </c>
      <c r="Q622" s="7">
        <v>347</v>
      </c>
      <c r="R622" s="7">
        <v>248</v>
      </c>
      <c r="S622" s="7">
        <v>70</v>
      </c>
      <c r="T622" s="8">
        <v>4.5</v>
      </c>
      <c r="U622" s="8">
        <v>2.6</v>
      </c>
      <c r="V622" s="26">
        <v>1.75</v>
      </c>
      <c r="W622" s="21" t="s">
        <v>4191</v>
      </c>
      <c r="AD622" s="1"/>
      <c r="AE622" s="3"/>
      <c r="AF622" s="3"/>
      <c r="AG622" s="3"/>
      <c r="AH622" s="3"/>
      <c r="AI622" s="3"/>
      <c r="AJ622" s="1"/>
      <c r="AK622" s="1"/>
    </row>
    <row r="623" spans="1:37" x14ac:dyDescent="0.3">
      <c r="A623" s="14">
        <v>889</v>
      </c>
      <c r="B623" s="14">
        <v>4</v>
      </c>
      <c r="C623" s="9" t="s">
        <v>1659</v>
      </c>
      <c r="D623" s="9" t="s">
        <v>1338</v>
      </c>
      <c r="E623" s="9" t="s">
        <v>2913</v>
      </c>
      <c r="F623" s="9" t="s">
        <v>2914</v>
      </c>
      <c r="G623" s="9">
        <v>4</v>
      </c>
      <c r="H623" s="9"/>
      <c r="I623" s="9"/>
      <c r="J623" s="9"/>
      <c r="K623" s="9" t="b">
        <v>0</v>
      </c>
      <c r="L623" s="9" t="s">
        <v>2513</v>
      </c>
      <c r="M623" s="9" t="b">
        <v>1</v>
      </c>
      <c r="N623" s="9" t="s">
        <v>2915</v>
      </c>
      <c r="O623" s="11" t="s">
        <v>4063</v>
      </c>
      <c r="P623" s="7" t="e">
        <v>#N/A</v>
      </c>
      <c r="Q623" s="7" t="e">
        <v>#N/A</v>
      </c>
      <c r="R623" s="7" t="e">
        <v>#N/A</v>
      </c>
      <c r="S623" s="7" t="e">
        <v>#N/A</v>
      </c>
      <c r="T623" s="8" t="e">
        <v>#N/A</v>
      </c>
      <c r="U623" s="8" t="e">
        <v>#N/A</v>
      </c>
      <c r="V623" s="26">
        <v>1.75</v>
      </c>
      <c r="W623" s="20" t="s">
        <v>4157</v>
      </c>
      <c r="AD623" s="1"/>
      <c r="AE623" s="3"/>
      <c r="AF623" s="2"/>
      <c r="AG623" s="3"/>
      <c r="AH623" s="3"/>
      <c r="AI623" s="3"/>
      <c r="AJ623" s="1"/>
      <c r="AK623" s="1"/>
    </row>
    <row r="624" spans="1:37" x14ac:dyDescent="0.3">
      <c r="A624" s="14">
        <v>756</v>
      </c>
      <c r="B624" s="14">
        <v>3</v>
      </c>
      <c r="C624" s="9" t="s">
        <v>1659</v>
      </c>
      <c r="D624" s="9" t="s">
        <v>411</v>
      </c>
      <c r="E624" s="9" t="s">
        <v>2510</v>
      </c>
      <c r="F624" s="9" t="s">
        <v>2511</v>
      </c>
      <c r="G624" s="9">
        <v>4</v>
      </c>
      <c r="H624" s="9"/>
      <c r="I624" s="9"/>
      <c r="J624" s="9"/>
      <c r="K624" s="9" t="b">
        <v>0</v>
      </c>
      <c r="L624" s="9" t="s">
        <v>2513</v>
      </c>
      <c r="M624" s="9" t="b">
        <v>0</v>
      </c>
      <c r="N624" s="9" t="s">
        <v>2512</v>
      </c>
      <c r="O624" s="9" t="s">
        <v>3931</v>
      </c>
      <c r="P624" s="7">
        <v>239</v>
      </c>
      <c r="Q624" s="7">
        <v>217</v>
      </c>
      <c r="R624" s="7">
        <v>154</v>
      </c>
      <c r="S624" s="7">
        <v>31</v>
      </c>
      <c r="T624" s="8">
        <v>3.9</v>
      </c>
      <c r="U624" s="8">
        <v>1.9</v>
      </c>
      <c r="V624" s="26">
        <v>1.75</v>
      </c>
      <c r="W624" s="23" t="s">
        <v>4159</v>
      </c>
      <c r="AD624" s="1"/>
      <c r="AE624" s="3"/>
      <c r="AF624" s="2"/>
      <c r="AG624" s="2"/>
      <c r="AH624" s="3"/>
      <c r="AI624" s="3"/>
      <c r="AJ624" s="1"/>
      <c r="AK624" s="1"/>
    </row>
    <row r="625" spans="1:37" x14ac:dyDescent="0.3">
      <c r="A625" s="14">
        <v>386</v>
      </c>
      <c r="B625" s="14">
        <v>4</v>
      </c>
      <c r="C625" s="9" t="s">
        <v>0</v>
      </c>
      <c r="D625" s="9" t="s">
        <v>1338</v>
      </c>
      <c r="E625" s="9" t="s">
        <v>1352</v>
      </c>
      <c r="F625" s="9" t="s">
        <v>1353</v>
      </c>
      <c r="G625" s="9">
        <v>1</v>
      </c>
      <c r="H625" s="9" t="s">
        <v>252</v>
      </c>
      <c r="I625" s="9"/>
      <c r="J625" s="9"/>
      <c r="K625" s="9" t="b">
        <v>0</v>
      </c>
      <c r="L625" s="9" t="s">
        <v>420</v>
      </c>
      <c r="M625" s="9" t="b">
        <v>0</v>
      </c>
      <c r="N625" s="9" t="s">
        <v>1354</v>
      </c>
      <c r="O625" s="9" t="s">
        <v>3562</v>
      </c>
      <c r="P625" s="7">
        <v>126</v>
      </c>
      <c r="Q625" s="7">
        <v>50</v>
      </c>
      <c r="R625" s="7">
        <v>31</v>
      </c>
      <c r="S625" s="7">
        <v>6</v>
      </c>
      <c r="T625" s="8">
        <v>5.7</v>
      </c>
      <c r="U625" s="18">
        <v>0.7</v>
      </c>
      <c r="V625" s="26">
        <v>1.75</v>
      </c>
      <c r="W625" s="23" t="s">
        <v>4169</v>
      </c>
      <c r="AD625" s="1"/>
      <c r="AE625" s="3"/>
      <c r="AF625" s="3"/>
      <c r="AG625" s="3"/>
      <c r="AH625" s="3"/>
      <c r="AI625" s="3"/>
      <c r="AJ625" s="1"/>
      <c r="AK625" s="1"/>
    </row>
    <row r="626" spans="1:37" x14ac:dyDescent="0.3">
      <c r="A626" s="14">
        <v>387</v>
      </c>
      <c r="B626" s="14">
        <v>4</v>
      </c>
      <c r="C626" s="9" t="s">
        <v>0</v>
      </c>
      <c r="D626" s="9" t="s">
        <v>1338</v>
      </c>
      <c r="E626" s="9" t="s">
        <v>1355</v>
      </c>
      <c r="F626" s="9" t="s">
        <v>1356</v>
      </c>
      <c r="G626" s="9">
        <v>1</v>
      </c>
      <c r="H626" s="9"/>
      <c r="I626" s="9" t="s">
        <v>22</v>
      </c>
      <c r="J626" s="9"/>
      <c r="K626" s="9" t="b">
        <v>0</v>
      </c>
      <c r="L626" s="9" t="s">
        <v>437</v>
      </c>
      <c r="M626" s="9" t="b">
        <v>0</v>
      </c>
      <c r="N626" s="9" t="s">
        <v>1357</v>
      </c>
      <c r="O626" s="9" t="s">
        <v>3563</v>
      </c>
      <c r="P626" s="7">
        <v>202</v>
      </c>
      <c r="Q626" s="7">
        <v>113</v>
      </c>
      <c r="R626" s="7">
        <v>78</v>
      </c>
      <c r="S626" s="7">
        <v>15</v>
      </c>
      <c r="T626" s="8">
        <v>4.9000000000000004</v>
      </c>
      <c r="U626" s="8">
        <v>1.1000000000000001</v>
      </c>
      <c r="V626" s="26">
        <v>1.75</v>
      </c>
      <c r="W626" s="23" t="s">
        <v>4170</v>
      </c>
      <c r="AD626" s="1"/>
      <c r="AE626" s="3"/>
      <c r="AF626" s="2"/>
      <c r="AG626" s="3"/>
      <c r="AH626" s="3"/>
      <c r="AI626" s="3"/>
      <c r="AJ626" s="1"/>
      <c r="AK626" s="1"/>
    </row>
    <row r="627" spans="1:37" x14ac:dyDescent="0.3">
      <c r="A627" s="14">
        <v>136</v>
      </c>
      <c r="B627" s="14">
        <v>3</v>
      </c>
      <c r="C627" s="9" t="s">
        <v>0</v>
      </c>
      <c r="D627" s="9" t="s">
        <v>411</v>
      </c>
      <c r="E627" s="9" t="s">
        <v>515</v>
      </c>
      <c r="F627" s="9" t="s">
        <v>516</v>
      </c>
      <c r="G627" s="9">
        <v>1</v>
      </c>
      <c r="H627" s="9" t="s">
        <v>517</v>
      </c>
      <c r="I627" s="9"/>
      <c r="J627" s="9"/>
      <c r="K627" s="9" t="b">
        <v>0</v>
      </c>
      <c r="L627" s="9" t="s">
        <v>7</v>
      </c>
      <c r="M627" s="9" t="b">
        <v>0</v>
      </c>
      <c r="N627" s="9" t="s">
        <v>496</v>
      </c>
      <c r="O627" s="9" t="s">
        <v>3312</v>
      </c>
      <c r="P627" s="7">
        <v>8</v>
      </c>
      <c r="Q627" s="7">
        <v>5</v>
      </c>
      <c r="R627" s="7">
        <v>2</v>
      </c>
      <c r="S627" s="7">
        <v>1</v>
      </c>
      <c r="T627" s="8">
        <v>4.2</v>
      </c>
      <c r="U627" s="18">
        <v>1.8</v>
      </c>
      <c r="V627" s="26">
        <v>1.75</v>
      </c>
      <c r="W627" s="23" t="s">
        <v>4173</v>
      </c>
      <c r="AD627" s="1"/>
      <c r="AE627" s="3"/>
      <c r="AF627" s="2"/>
      <c r="AG627" s="2"/>
      <c r="AH627" s="3"/>
      <c r="AI627" s="3"/>
      <c r="AJ627" s="1"/>
      <c r="AK627" s="1"/>
    </row>
    <row r="628" spans="1:37" x14ac:dyDescent="0.3">
      <c r="A628" s="14">
        <v>194</v>
      </c>
      <c r="B628" s="14">
        <v>3</v>
      </c>
      <c r="C628" s="9" t="s">
        <v>0</v>
      </c>
      <c r="D628" s="9" t="s">
        <v>411</v>
      </c>
      <c r="E628" s="9" t="s">
        <v>720</v>
      </c>
      <c r="F628" s="9" t="s">
        <v>721</v>
      </c>
      <c r="G628" s="9">
        <v>1</v>
      </c>
      <c r="H628" s="9"/>
      <c r="I628" s="9" t="s">
        <v>88</v>
      </c>
      <c r="J628" s="9"/>
      <c r="K628" s="9" t="b">
        <v>0</v>
      </c>
      <c r="L628" s="9"/>
      <c r="M628" s="9" t="b">
        <v>0</v>
      </c>
      <c r="N628" s="9" t="s">
        <v>722</v>
      </c>
      <c r="O628" s="9" t="s">
        <v>3370</v>
      </c>
      <c r="P628" s="7" t="e">
        <v>#N/A</v>
      </c>
      <c r="Q628" s="7" t="e">
        <v>#N/A</v>
      </c>
      <c r="R628" s="7" t="e">
        <v>#N/A</v>
      </c>
      <c r="S628" s="7" t="e">
        <v>#N/A</v>
      </c>
      <c r="T628" s="8" t="e">
        <v>#N/A</v>
      </c>
      <c r="U628" s="18" t="e">
        <v>#N/A</v>
      </c>
      <c r="V628" s="26">
        <v>1.75</v>
      </c>
      <c r="W628" s="23" t="s">
        <v>4178</v>
      </c>
      <c r="AD628" s="1"/>
      <c r="AE628" s="3"/>
      <c r="AF628" s="3"/>
      <c r="AG628" s="3"/>
      <c r="AH628" s="3"/>
      <c r="AI628" s="3"/>
      <c r="AJ628" s="1"/>
      <c r="AK628" s="1"/>
    </row>
    <row r="629" spans="1:37" x14ac:dyDescent="0.3">
      <c r="A629" s="14">
        <v>391</v>
      </c>
      <c r="B629" s="14">
        <v>4</v>
      </c>
      <c r="C629" s="9" t="s">
        <v>0</v>
      </c>
      <c r="D629" s="9" t="s">
        <v>1338</v>
      </c>
      <c r="E629" s="9" t="s">
        <v>1366</v>
      </c>
      <c r="F629" s="9" t="s">
        <v>1367</v>
      </c>
      <c r="G629" s="9">
        <v>1</v>
      </c>
      <c r="H629" s="9"/>
      <c r="I629" s="9" t="s">
        <v>22</v>
      </c>
      <c r="J629" s="9"/>
      <c r="K629" s="9" t="b">
        <v>0</v>
      </c>
      <c r="L629" s="9" t="s">
        <v>194</v>
      </c>
      <c r="M629" s="9" t="b">
        <v>0</v>
      </c>
      <c r="N629" s="9" t="s">
        <v>1368</v>
      </c>
      <c r="O629" s="9" t="s">
        <v>3567</v>
      </c>
      <c r="P629" s="7">
        <v>378</v>
      </c>
      <c r="Q629" s="7">
        <v>241</v>
      </c>
      <c r="R629" s="7">
        <v>136</v>
      </c>
      <c r="S629" s="7">
        <v>28</v>
      </c>
      <c r="T629" s="8">
        <v>5.0999999999999996</v>
      </c>
      <c r="U629" s="8">
        <v>1.1000000000000001</v>
      </c>
      <c r="V629" s="26">
        <v>1.75</v>
      </c>
      <c r="W629" s="23" t="s">
        <v>4179</v>
      </c>
      <c r="AD629" s="1"/>
      <c r="AE629" s="3"/>
      <c r="AF629" s="2"/>
      <c r="AG629" s="3"/>
      <c r="AH629" s="3"/>
      <c r="AI629" s="3"/>
      <c r="AJ629" s="1"/>
      <c r="AK629" s="1"/>
    </row>
    <row r="630" spans="1:37" x14ac:dyDescent="0.3">
      <c r="A630" s="14">
        <v>394</v>
      </c>
      <c r="B630" s="14">
        <v>4</v>
      </c>
      <c r="C630" s="9" t="s">
        <v>0</v>
      </c>
      <c r="D630" s="9" t="s">
        <v>1338</v>
      </c>
      <c r="E630" s="9" t="s">
        <v>1375</v>
      </c>
      <c r="F630" s="9" t="s">
        <v>1376</v>
      </c>
      <c r="G630" s="9">
        <v>1</v>
      </c>
      <c r="H630" s="9" t="s">
        <v>1377</v>
      </c>
      <c r="I630" s="9" t="s">
        <v>5</v>
      </c>
      <c r="J630" s="9"/>
      <c r="K630" s="9" t="b">
        <v>0</v>
      </c>
      <c r="L630" s="9" t="s">
        <v>437</v>
      </c>
      <c r="M630" s="9" t="b">
        <v>0</v>
      </c>
      <c r="N630" s="9" t="s">
        <v>1378</v>
      </c>
      <c r="O630" s="9" t="s">
        <v>3570</v>
      </c>
      <c r="P630" s="7">
        <v>182</v>
      </c>
      <c r="Q630" s="7">
        <v>165</v>
      </c>
      <c r="R630" s="7">
        <v>126</v>
      </c>
      <c r="S630" s="7">
        <v>25</v>
      </c>
      <c r="T630" s="8">
        <v>3.4</v>
      </c>
      <c r="U630" s="18">
        <v>2</v>
      </c>
      <c r="V630" s="26">
        <v>1.75</v>
      </c>
      <c r="W630" s="23" t="s">
        <v>4182</v>
      </c>
      <c r="AD630" s="1"/>
      <c r="AE630" s="3"/>
      <c r="AF630" s="2"/>
      <c r="AG630" s="3"/>
      <c r="AH630" s="3"/>
      <c r="AI630" s="3"/>
      <c r="AJ630" s="1"/>
      <c r="AK630" s="1"/>
    </row>
    <row r="631" spans="1:37" x14ac:dyDescent="0.3">
      <c r="A631" s="14">
        <v>418</v>
      </c>
      <c r="B631" s="14">
        <v>4</v>
      </c>
      <c r="C631" s="9" t="s">
        <v>0</v>
      </c>
      <c r="D631" s="9" t="s">
        <v>1394</v>
      </c>
      <c r="E631" s="9" t="s">
        <v>1451</v>
      </c>
      <c r="F631" s="9" t="s">
        <v>1452</v>
      </c>
      <c r="G631" s="9">
        <v>1</v>
      </c>
      <c r="H631" s="9" t="s">
        <v>631</v>
      </c>
      <c r="I631" s="9"/>
      <c r="J631" s="9">
        <v>1</v>
      </c>
      <c r="K631" s="9" t="b">
        <v>0</v>
      </c>
      <c r="L631" s="9"/>
      <c r="M631" s="9" t="b">
        <v>0</v>
      </c>
      <c r="N631" s="9" t="s">
        <v>1453</v>
      </c>
      <c r="O631" s="9" t="s">
        <v>3593</v>
      </c>
      <c r="P631" s="7" t="e">
        <v>#N/A</v>
      </c>
      <c r="Q631" s="7" t="e">
        <v>#N/A</v>
      </c>
      <c r="R631" s="7" t="e">
        <v>#N/A</v>
      </c>
      <c r="S631" s="7" t="e">
        <v>#N/A</v>
      </c>
      <c r="T631" s="8" t="e">
        <v>#N/A</v>
      </c>
      <c r="U631" s="8" t="e">
        <v>#N/A</v>
      </c>
      <c r="V631" s="26">
        <v>1.75</v>
      </c>
      <c r="W631" s="23" t="s">
        <v>4187</v>
      </c>
      <c r="AD631" s="1"/>
      <c r="AE631" s="3"/>
      <c r="AF631" s="3"/>
      <c r="AG631" s="3"/>
      <c r="AH631" s="3"/>
      <c r="AI631" s="3"/>
      <c r="AJ631" s="1"/>
      <c r="AK631" s="1"/>
    </row>
    <row r="632" spans="1:37" x14ac:dyDescent="0.3">
      <c r="A632" s="14">
        <v>615</v>
      </c>
      <c r="B632" s="14">
        <v>3</v>
      </c>
      <c r="C632" s="9" t="s">
        <v>1659</v>
      </c>
      <c r="D632" s="9" t="s">
        <v>411</v>
      </c>
      <c r="E632" s="9" t="s">
        <v>2074</v>
      </c>
      <c r="F632" s="9" t="s">
        <v>2075</v>
      </c>
      <c r="G632" s="9">
        <v>4</v>
      </c>
      <c r="H632" s="9"/>
      <c r="I632" s="9"/>
      <c r="J632" s="9"/>
      <c r="K632" s="9" t="b">
        <v>0</v>
      </c>
      <c r="L632" s="9" t="s">
        <v>437</v>
      </c>
      <c r="M632" s="9" t="b">
        <v>0</v>
      </c>
      <c r="N632" s="9" t="s">
        <v>2076</v>
      </c>
      <c r="O632" s="9" t="s">
        <v>3790</v>
      </c>
      <c r="P632" s="7">
        <v>556</v>
      </c>
      <c r="Q632" s="7">
        <v>453</v>
      </c>
      <c r="R632" s="7">
        <v>246</v>
      </c>
      <c r="S632" s="7">
        <v>66</v>
      </c>
      <c r="T632" s="8">
        <v>4.5</v>
      </c>
      <c r="U632" s="8">
        <v>1.7</v>
      </c>
      <c r="V632" s="17">
        <v>1.7</v>
      </c>
      <c r="AD632" s="1"/>
      <c r="AE632" s="3"/>
      <c r="AF632" s="2"/>
      <c r="AG632" s="2"/>
      <c r="AH632" s="3"/>
      <c r="AI632" s="3"/>
      <c r="AJ632" s="1"/>
      <c r="AK632" s="1"/>
    </row>
    <row r="633" spans="1:37" x14ac:dyDescent="0.3">
      <c r="A633" s="14">
        <v>632</v>
      </c>
      <c r="B633" s="14">
        <v>3</v>
      </c>
      <c r="C633" s="9" t="s">
        <v>1659</v>
      </c>
      <c r="D633" s="9" t="s">
        <v>411</v>
      </c>
      <c r="E633" s="9" t="s">
        <v>2126</v>
      </c>
      <c r="F633" s="9" t="s">
        <v>2127</v>
      </c>
      <c r="G633" s="9">
        <v>4</v>
      </c>
      <c r="H633" s="9"/>
      <c r="I633" s="9"/>
      <c r="J633" s="9"/>
      <c r="K633" s="9" t="b">
        <v>0</v>
      </c>
      <c r="L633" s="9" t="s">
        <v>437</v>
      </c>
      <c r="M633" s="9" t="b">
        <v>0</v>
      </c>
      <c r="N633" s="9" t="s">
        <v>2128</v>
      </c>
      <c r="O633" s="9" t="s">
        <v>3807</v>
      </c>
      <c r="P633" s="7">
        <v>897</v>
      </c>
      <c r="Q633" s="7">
        <v>605</v>
      </c>
      <c r="R633" s="7">
        <v>357</v>
      </c>
      <c r="S633" s="7">
        <v>104</v>
      </c>
      <c r="T633" s="8">
        <v>4.8</v>
      </c>
      <c r="U633" s="8">
        <v>1.7</v>
      </c>
      <c r="V633" s="17">
        <v>1.7</v>
      </c>
      <c r="AD633" s="1"/>
      <c r="AE633" s="3"/>
      <c r="AF633" s="2"/>
      <c r="AG633" s="3"/>
      <c r="AH633" s="3"/>
      <c r="AI633" s="3"/>
      <c r="AJ633" s="1"/>
      <c r="AK633" s="1"/>
    </row>
    <row r="634" spans="1:37" x14ac:dyDescent="0.3">
      <c r="A634" s="14">
        <v>896</v>
      </c>
      <c r="B634" s="14">
        <v>4</v>
      </c>
      <c r="C634" s="9" t="s">
        <v>1659</v>
      </c>
      <c r="D634" s="9" t="s">
        <v>1394</v>
      </c>
      <c r="E634" s="9" t="s">
        <v>2935</v>
      </c>
      <c r="F634" s="9" t="s">
        <v>2936</v>
      </c>
      <c r="G634" s="9">
        <v>1</v>
      </c>
      <c r="H634" s="9"/>
      <c r="I634" s="9"/>
      <c r="J634" s="9"/>
      <c r="K634" s="9" t="b">
        <v>0</v>
      </c>
      <c r="L634" s="9"/>
      <c r="M634" s="9" t="b">
        <v>0</v>
      </c>
      <c r="N634" s="9" t="s">
        <v>2937</v>
      </c>
      <c r="O634" s="9" t="s">
        <v>4070</v>
      </c>
      <c r="P634" s="7">
        <v>174</v>
      </c>
      <c r="Q634" s="7">
        <v>106</v>
      </c>
      <c r="R634" s="7">
        <v>71</v>
      </c>
      <c r="S634" s="7">
        <v>21</v>
      </c>
      <c r="T634" s="8">
        <v>4.9000000000000004</v>
      </c>
      <c r="U634" s="18">
        <v>1.7</v>
      </c>
      <c r="V634" s="17">
        <v>1.7</v>
      </c>
      <c r="AD634" s="1"/>
      <c r="AE634" s="3"/>
      <c r="AF634" s="3"/>
      <c r="AG634" s="3"/>
      <c r="AH634" s="3"/>
      <c r="AI634" s="3"/>
      <c r="AJ634" s="1"/>
      <c r="AK634" s="1"/>
    </row>
    <row r="635" spans="1:37" x14ac:dyDescent="0.3">
      <c r="A635" s="14">
        <v>897</v>
      </c>
      <c r="B635" s="14">
        <v>4</v>
      </c>
      <c r="C635" s="9" t="s">
        <v>1659</v>
      </c>
      <c r="D635" s="9" t="s">
        <v>1394</v>
      </c>
      <c r="E635" s="9" t="s">
        <v>2938</v>
      </c>
      <c r="F635" s="9" t="s">
        <v>2939</v>
      </c>
      <c r="G635" s="9">
        <v>1</v>
      </c>
      <c r="H635" s="9"/>
      <c r="I635" s="9"/>
      <c r="J635" s="9"/>
      <c r="K635" s="9" t="b">
        <v>0</v>
      </c>
      <c r="L635" s="9"/>
      <c r="M635" s="9" t="b">
        <v>0</v>
      </c>
      <c r="N635" s="9" t="s">
        <v>2940</v>
      </c>
      <c r="O635" s="9" t="s">
        <v>4071</v>
      </c>
      <c r="P635" s="7">
        <v>881</v>
      </c>
      <c r="Q635" s="7">
        <v>695</v>
      </c>
      <c r="R635" s="7">
        <v>418</v>
      </c>
      <c r="S635" s="7">
        <v>107</v>
      </c>
      <c r="T635" s="8">
        <v>4.4000000000000004</v>
      </c>
      <c r="U635" s="8">
        <v>1.7</v>
      </c>
      <c r="V635" s="17">
        <v>1.7</v>
      </c>
      <c r="AD635" s="1"/>
      <c r="AE635" s="3"/>
      <c r="AF635" s="2"/>
      <c r="AG635" s="2"/>
      <c r="AH635" s="2"/>
      <c r="AI635" s="3"/>
      <c r="AJ635" s="1"/>
      <c r="AK635" s="1"/>
    </row>
    <row r="636" spans="1:37" x14ac:dyDescent="0.3">
      <c r="A636" s="14">
        <v>902</v>
      </c>
      <c r="B636" s="14">
        <v>4</v>
      </c>
      <c r="C636" s="9" t="s">
        <v>1659</v>
      </c>
      <c r="D636" s="9" t="s">
        <v>1394</v>
      </c>
      <c r="E636" s="9" t="s">
        <v>3168</v>
      </c>
      <c r="F636" s="9" t="s">
        <v>3169</v>
      </c>
      <c r="G636" s="9">
        <v>1</v>
      </c>
      <c r="H636" s="9"/>
      <c r="I636" s="9"/>
      <c r="J636" s="9"/>
      <c r="K636" s="9" t="b">
        <v>0</v>
      </c>
      <c r="L636" s="9"/>
      <c r="M636" s="9" t="b">
        <v>0</v>
      </c>
      <c r="N636" s="9" t="s">
        <v>3170</v>
      </c>
      <c r="O636" s="9"/>
      <c r="P636" s="7">
        <v>142</v>
      </c>
      <c r="Q636" s="7">
        <v>118</v>
      </c>
      <c r="R636" s="7">
        <v>84</v>
      </c>
      <c r="S636" s="7">
        <v>17</v>
      </c>
      <c r="T636" s="8">
        <v>4.4000000000000004</v>
      </c>
      <c r="U636" s="18">
        <v>1.7</v>
      </c>
      <c r="V636" s="17">
        <v>1.7</v>
      </c>
      <c r="AD636" s="1"/>
      <c r="AE636" s="3"/>
      <c r="AF636" s="2"/>
      <c r="AG636" s="2"/>
      <c r="AH636" s="2"/>
      <c r="AI636" s="3"/>
      <c r="AJ636" s="1"/>
      <c r="AK636" s="1"/>
    </row>
    <row r="637" spans="1:37" x14ac:dyDescent="0.3">
      <c r="A637" s="14">
        <v>668</v>
      </c>
      <c r="B637" s="14">
        <v>3</v>
      </c>
      <c r="C637" s="9" t="s">
        <v>1659</v>
      </c>
      <c r="D637" s="9" t="s">
        <v>411</v>
      </c>
      <c r="E637" s="9" t="s">
        <v>2240</v>
      </c>
      <c r="F637" s="9" t="s">
        <v>2241</v>
      </c>
      <c r="G637" s="9">
        <v>1</v>
      </c>
      <c r="H637" s="9"/>
      <c r="I637" s="9"/>
      <c r="J637" s="9"/>
      <c r="K637" s="9" t="b">
        <v>0</v>
      </c>
      <c r="L637" s="9" t="s">
        <v>526</v>
      </c>
      <c r="M637" s="9" t="b">
        <v>0</v>
      </c>
      <c r="N637" s="9" t="s">
        <v>2242</v>
      </c>
      <c r="O637" s="9" t="s">
        <v>3843</v>
      </c>
      <c r="P637" s="7">
        <v>968</v>
      </c>
      <c r="Q637" s="7">
        <v>725</v>
      </c>
      <c r="R637" s="7">
        <v>384</v>
      </c>
      <c r="S637" s="7">
        <v>115</v>
      </c>
      <c r="T637" s="8">
        <v>4.7</v>
      </c>
      <c r="U637" s="8">
        <v>1.7</v>
      </c>
      <c r="V637" s="17">
        <v>1.7</v>
      </c>
      <c r="AD637" s="1"/>
      <c r="AE637" s="3"/>
      <c r="AF637" s="2"/>
      <c r="AG637" s="3"/>
      <c r="AH637" s="3"/>
      <c r="AI637" s="3"/>
      <c r="AJ637" s="1"/>
      <c r="AK637" s="1"/>
    </row>
    <row r="638" spans="1:37" x14ac:dyDescent="0.3">
      <c r="A638" s="14">
        <v>571</v>
      </c>
      <c r="B638" s="14">
        <v>2</v>
      </c>
      <c r="C638" s="9" t="s">
        <v>1659</v>
      </c>
      <c r="D638" s="9" t="s">
        <v>180</v>
      </c>
      <c r="E638" s="9" t="s">
        <v>1935</v>
      </c>
      <c r="F638" s="9" t="s">
        <v>1936</v>
      </c>
      <c r="G638" s="9">
        <v>3</v>
      </c>
      <c r="H638" s="9"/>
      <c r="I638" s="9"/>
      <c r="J638" s="9"/>
      <c r="K638" s="9" t="b">
        <v>0</v>
      </c>
      <c r="L638" s="9" t="s">
        <v>185</v>
      </c>
      <c r="M638" s="9" t="b">
        <v>0</v>
      </c>
      <c r="N638" s="9" t="s">
        <v>1937</v>
      </c>
      <c r="O638" s="9" t="s">
        <v>3746</v>
      </c>
      <c r="P638" s="7">
        <v>1275</v>
      </c>
      <c r="Q638" s="7">
        <v>996</v>
      </c>
      <c r="R638" s="7">
        <v>677</v>
      </c>
      <c r="S638" s="7">
        <v>151</v>
      </c>
      <c r="T638" s="8">
        <v>5</v>
      </c>
      <c r="U638" s="8">
        <v>1.7</v>
      </c>
      <c r="V638" s="17">
        <v>1.7</v>
      </c>
      <c r="AD638" s="1"/>
      <c r="AE638" s="3"/>
      <c r="AF638" s="2"/>
      <c r="AG638" s="3"/>
      <c r="AH638" s="3"/>
      <c r="AI638" s="3"/>
      <c r="AJ638" s="1"/>
      <c r="AK638" s="1"/>
    </row>
    <row r="639" spans="1:37" x14ac:dyDescent="0.3">
      <c r="A639" s="14">
        <v>721</v>
      </c>
      <c r="B639" s="14">
        <v>3</v>
      </c>
      <c r="C639" s="9" t="s">
        <v>1659</v>
      </c>
      <c r="D639" s="9" t="s">
        <v>411</v>
      </c>
      <c r="E639" s="9" t="s">
        <v>2403</v>
      </c>
      <c r="F639" s="9" t="s">
        <v>2404</v>
      </c>
      <c r="G639" s="9">
        <v>1</v>
      </c>
      <c r="H639" s="9"/>
      <c r="I639" s="9"/>
      <c r="J639" s="9"/>
      <c r="K639" s="9" t="b">
        <v>0</v>
      </c>
      <c r="L639" s="9" t="s">
        <v>194</v>
      </c>
      <c r="M639" s="9" t="b">
        <v>0</v>
      </c>
      <c r="N639" s="9" t="s">
        <v>2405</v>
      </c>
      <c r="O639" s="9" t="s">
        <v>3896</v>
      </c>
      <c r="P639" s="7">
        <v>1126</v>
      </c>
      <c r="Q639" s="7">
        <v>917</v>
      </c>
      <c r="R639" s="7">
        <v>619</v>
      </c>
      <c r="S639" s="7">
        <v>137</v>
      </c>
      <c r="T639" s="8">
        <v>4.9000000000000004</v>
      </c>
      <c r="U639" s="8">
        <v>1.7</v>
      </c>
      <c r="V639" s="17">
        <v>1.7</v>
      </c>
      <c r="AD639" s="1"/>
      <c r="AE639" s="3"/>
      <c r="AF639" s="2"/>
      <c r="AG639" s="2"/>
      <c r="AH639" s="3"/>
      <c r="AI639" s="3"/>
      <c r="AJ639" s="1"/>
      <c r="AK639" s="1"/>
    </row>
    <row r="640" spans="1:37" x14ac:dyDescent="0.3">
      <c r="A640" s="14">
        <v>597</v>
      </c>
      <c r="B640" s="14">
        <v>2</v>
      </c>
      <c r="C640" s="9" t="s">
        <v>1659</v>
      </c>
      <c r="D640" s="9" t="s">
        <v>180</v>
      </c>
      <c r="E640" s="9" t="s">
        <v>2017</v>
      </c>
      <c r="F640" s="9" t="s">
        <v>2018</v>
      </c>
      <c r="G640" s="9">
        <v>4</v>
      </c>
      <c r="H640" s="9"/>
      <c r="I640" s="9"/>
      <c r="J640" s="9"/>
      <c r="K640" s="9" t="b">
        <v>0</v>
      </c>
      <c r="L640" s="9" t="s">
        <v>1603</v>
      </c>
      <c r="M640" s="9" t="b">
        <v>0</v>
      </c>
      <c r="N640" s="9" t="s">
        <v>2019</v>
      </c>
      <c r="O640" s="9" t="s">
        <v>3772</v>
      </c>
      <c r="P640" s="7">
        <v>1281</v>
      </c>
      <c r="Q640" s="7">
        <v>816</v>
      </c>
      <c r="R640" s="7">
        <v>564</v>
      </c>
      <c r="S640" s="7">
        <v>153</v>
      </c>
      <c r="T640" s="8">
        <v>5.3</v>
      </c>
      <c r="U640" s="8">
        <v>1.7</v>
      </c>
      <c r="V640" s="17">
        <v>1.7</v>
      </c>
      <c r="AD640" s="1"/>
      <c r="AE640" s="3"/>
      <c r="AF640" s="2"/>
      <c r="AG640" s="2"/>
      <c r="AH640" s="3"/>
      <c r="AI640" s="3"/>
      <c r="AJ640" s="1"/>
      <c r="AK640" s="1"/>
    </row>
    <row r="641" spans="1:37" x14ac:dyDescent="0.3">
      <c r="A641" s="14">
        <v>5</v>
      </c>
      <c r="B641" s="14">
        <v>1</v>
      </c>
      <c r="C641" s="9" t="s">
        <v>0</v>
      </c>
      <c r="D641" s="9" t="s">
        <v>1</v>
      </c>
      <c r="E641" s="9" t="s">
        <v>20</v>
      </c>
      <c r="F641" s="9" t="s">
        <v>21</v>
      </c>
      <c r="G641" s="9">
        <v>1</v>
      </c>
      <c r="H641" s="9"/>
      <c r="I641" s="9" t="s">
        <v>22</v>
      </c>
      <c r="J641" s="9"/>
      <c r="K641" s="9" t="b">
        <v>0</v>
      </c>
      <c r="L641" s="9" t="s">
        <v>7</v>
      </c>
      <c r="M641" s="9" t="b">
        <v>0</v>
      </c>
      <c r="N641" s="9" t="s">
        <v>23</v>
      </c>
      <c r="O641" s="9" t="s">
        <v>3181</v>
      </c>
      <c r="P641" s="7">
        <v>1359</v>
      </c>
      <c r="Q641" s="7">
        <v>1115</v>
      </c>
      <c r="R641" s="7">
        <v>714</v>
      </c>
      <c r="S641" s="7">
        <v>164</v>
      </c>
      <c r="T641" s="8">
        <v>4.0999999999999996</v>
      </c>
      <c r="U641" s="8">
        <v>1.7</v>
      </c>
      <c r="V641" s="17">
        <v>1.7</v>
      </c>
      <c r="AD641" s="1"/>
      <c r="AE641" s="3"/>
      <c r="AF641" s="2"/>
      <c r="AG641" s="2"/>
      <c r="AH641" s="3"/>
      <c r="AI641" s="3"/>
      <c r="AJ641" s="1"/>
      <c r="AK641" s="1"/>
    </row>
    <row r="642" spans="1:37" x14ac:dyDescent="0.3">
      <c r="A642" s="14">
        <v>349</v>
      </c>
      <c r="B642" s="14">
        <v>1</v>
      </c>
      <c r="C642" s="9" t="s">
        <v>0</v>
      </c>
      <c r="D642" s="9" t="s">
        <v>1208</v>
      </c>
      <c r="E642" s="9" t="s">
        <v>1235</v>
      </c>
      <c r="F642" s="9" t="s">
        <v>1236</v>
      </c>
      <c r="G642" s="9">
        <v>1</v>
      </c>
      <c r="H642" s="9" t="s">
        <v>26</v>
      </c>
      <c r="I642" s="9"/>
      <c r="J642" s="9"/>
      <c r="K642" s="9" t="b">
        <v>0</v>
      </c>
      <c r="L642" s="9" t="s">
        <v>7</v>
      </c>
      <c r="M642" s="9" t="b">
        <v>0</v>
      </c>
      <c r="N642" s="9" t="s">
        <v>1237</v>
      </c>
      <c r="O642" s="9" t="s">
        <v>3525</v>
      </c>
      <c r="P642" s="7">
        <v>1478</v>
      </c>
      <c r="Q642" s="7">
        <v>1040</v>
      </c>
      <c r="R642" s="7">
        <v>718</v>
      </c>
      <c r="S642" s="7">
        <v>174</v>
      </c>
      <c r="T642" s="8">
        <v>4.7</v>
      </c>
      <c r="U642" s="8">
        <v>1.7</v>
      </c>
      <c r="V642" s="17">
        <v>1.7</v>
      </c>
      <c r="AD642" s="1"/>
      <c r="AE642" s="3"/>
      <c r="AF642" s="2"/>
      <c r="AG642" s="3"/>
      <c r="AH642" s="3"/>
      <c r="AI642" s="3"/>
      <c r="AJ642" s="1"/>
      <c r="AK642" s="1"/>
    </row>
    <row r="643" spans="1:37" x14ac:dyDescent="0.3">
      <c r="A643" s="14">
        <v>142</v>
      </c>
      <c r="B643" s="14">
        <v>3</v>
      </c>
      <c r="C643" s="9" t="s">
        <v>0</v>
      </c>
      <c r="D643" s="9" t="s">
        <v>411</v>
      </c>
      <c r="E643" s="9" t="s">
        <v>538</v>
      </c>
      <c r="F643" s="9" t="s">
        <v>539</v>
      </c>
      <c r="G643" s="9">
        <v>1</v>
      </c>
      <c r="H643" s="9" t="s">
        <v>540</v>
      </c>
      <c r="I643" s="9" t="s">
        <v>22</v>
      </c>
      <c r="J643" s="9">
        <v>2</v>
      </c>
      <c r="K643" s="9" t="b">
        <v>0</v>
      </c>
      <c r="L643" s="9" t="s">
        <v>497</v>
      </c>
      <c r="M643" s="9" t="b">
        <v>0</v>
      </c>
      <c r="N643" s="9" t="s">
        <v>541</v>
      </c>
      <c r="O643" s="9" t="s">
        <v>3318</v>
      </c>
      <c r="P643" s="7">
        <v>1242</v>
      </c>
      <c r="Q643" s="7">
        <v>851</v>
      </c>
      <c r="R643" s="7">
        <v>429</v>
      </c>
      <c r="S643" s="7">
        <v>145</v>
      </c>
      <c r="T643" s="8">
        <v>5.3</v>
      </c>
      <c r="U643" s="8">
        <v>1.7</v>
      </c>
      <c r="V643" s="17">
        <v>1.7</v>
      </c>
      <c r="AD643" s="1"/>
      <c r="AE643" s="3"/>
      <c r="AF643" s="3"/>
      <c r="AG643" s="3"/>
      <c r="AH643" s="3"/>
      <c r="AI643" s="3"/>
      <c r="AJ643" s="1"/>
      <c r="AK643" s="1"/>
    </row>
    <row r="644" spans="1:37" x14ac:dyDescent="0.3">
      <c r="A644" s="14">
        <v>65</v>
      </c>
      <c r="B644" s="14">
        <v>2</v>
      </c>
      <c r="C644" s="9" t="s">
        <v>0</v>
      </c>
      <c r="D644" s="9" t="s">
        <v>180</v>
      </c>
      <c r="E644" s="9" t="s">
        <v>239</v>
      </c>
      <c r="F644" s="9" t="s">
        <v>240</v>
      </c>
      <c r="G644" s="9">
        <v>1</v>
      </c>
      <c r="H644" s="9" t="s">
        <v>241</v>
      </c>
      <c r="I644" s="9" t="s">
        <v>77</v>
      </c>
      <c r="J644" s="9"/>
      <c r="K644" s="9" t="b">
        <v>0</v>
      </c>
      <c r="L644" s="9" t="s">
        <v>189</v>
      </c>
      <c r="M644" s="9" t="b">
        <v>0</v>
      </c>
      <c r="N644" s="9" t="s">
        <v>242</v>
      </c>
      <c r="O644" s="9" t="s">
        <v>3241</v>
      </c>
      <c r="P644" s="7">
        <v>1343</v>
      </c>
      <c r="Q644" s="7">
        <v>1071</v>
      </c>
      <c r="R644" s="7">
        <v>668</v>
      </c>
      <c r="S644" s="7">
        <v>163</v>
      </c>
      <c r="T644" s="8">
        <v>4.4000000000000004</v>
      </c>
      <c r="U644" s="8">
        <v>1.7</v>
      </c>
      <c r="V644" s="17">
        <v>1.7</v>
      </c>
      <c r="AD644" s="1"/>
      <c r="AE644" s="3"/>
      <c r="AF644" s="2"/>
      <c r="AG644" s="2"/>
      <c r="AH644" s="3"/>
      <c r="AI644" s="3"/>
      <c r="AJ644" s="1"/>
      <c r="AK644" s="1"/>
    </row>
    <row r="645" spans="1:37" x14ac:dyDescent="0.3">
      <c r="A645" s="14">
        <v>436</v>
      </c>
      <c r="B645" s="14">
        <v>2</v>
      </c>
      <c r="C645" s="9" t="s">
        <v>0</v>
      </c>
      <c r="D645" s="9" t="s">
        <v>1457</v>
      </c>
      <c r="E645" s="9" t="s">
        <v>1512</v>
      </c>
      <c r="F645" s="9" t="s">
        <v>1513</v>
      </c>
      <c r="G645" s="9">
        <v>1</v>
      </c>
      <c r="H645" s="9"/>
      <c r="I645" s="9" t="s">
        <v>5</v>
      </c>
      <c r="J645" s="9"/>
      <c r="K645" s="9" t="b">
        <v>0</v>
      </c>
      <c r="L645" s="9" t="s">
        <v>1482</v>
      </c>
      <c r="M645" s="9" t="b">
        <v>1</v>
      </c>
      <c r="N645" s="9" t="s">
        <v>1514</v>
      </c>
      <c r="O645" s="9" t="s">
        <v>3611</v>
      </c>
      <c r="P645" s="7">
        <v>1422</v>
      </c>
      <c r="Q645" s="7">
        <v>835</v>
      </c>
      <c r="R645" s="7">
        <v>597</v>
      </c>
      <c r="S645" s="7">
        <v>168</v>
      </c>
      <c r="T645" s="8">
        <v>5.3</v>
      </c>
      <c r="U645" s="8">
        <v>1.7</v>
      </c>
      <c r="V645" s="17">
        <v>1.7</v>
      </c>
      <c r="AD645" s="1"/>
      <c r="AE645" s="3"/>
      <c r="AF645" s="3"/>
      <c r="AG645" s="3"/>
      <c r="AH645" s="3"/>
      <c r="AI645" s="3"/>
      <c r="AJ645" s="1"/>
      <c r="AK645" s="1"/>
    </row>
    <row r="646" spans="1:37" x14ac:dyDescent="0.3">
      <c r="A646" s="14">
        <v>450</v>
      </c>
      <c r="B646" s="14">
        <v>2</v>
      </c>
      <c r="C646" s="9" t="s">
        <v>0</v>
      </c>
      <c r="D646" s="9" t="s">
        <v>1457</v>
      </c>
      <c r="E646" s="9" t="s">
        <v>1561</v>
      </c>
      <c r="F646" s="9" t="s">
        <v>1562</v>
      </c>
      <c r="G646" s="9">
        <v>1</v>
      </c>
      <c r="H646" s="9" t="s">
        <v>1563</v>
      </c>
      <c r="I646" s="9"/>
      <c r="J646" s="9">
        <v>3</v>
      </c>
      <c r="K646" s="9" t="b">
        <v>0</v>
      </c>
      <c r="L646" s="9" t="s">
        <v>286</v>
      </c>
      <c r="M646" s="9" t="b">
        <v>1</v>
      </c>
      <c r="N646" s="9" t="s">
        <v>1564</v>
      </c>
      <c r="O646" s="9" t="s">
        <v>3625</v>
      </c>
      <c r="P646" s="7">
        <v>1365</v>
      </c>
      <c r="Q646" s="7">
        <v>925</v>
      </c>
      <c r="R646" s="7">
        <v>496</v>
      </c>
      <c r="S646" s="7">
        <v>162</v>
      </c>
      <c r="T646" s="8">
        <v>5.0999999999999996</v>
      </c>
      <c r="U646" s="8">
        <v>1.7</v>
      </c>
      <c r="V646" s="17">
        <v>1.7</v>
      </c>
      <c r="AD646" s="1"/>
      <c r="AE646" s="3"/>
      <c r="AF646" s="3"/>
      <c r="AG646" s="3"/>
      <c r="AH646" s="3"/>
      <c r="AI646" s="3"/>
      <c r="AJ646" s="1"/>
      <c r="AK646" s="1"/>
    </row>
    <row r="647" spans="1:37" x14ac:dyDescent="0.3">
      <c r="A647" s="14">
        <v>198</v>
      </c>
      <c r="B647" s="14">
        <v>3</v>
      </c>
      <c r="C647" s="9" t="s">
        <v>0</v>
      </c>
      <c r="D647" s="9" t="s">
        <v>411</v>
      </c>
      <c r="E647" s="9" t="s">
        <v>733</v>
      </c>
      <c r="F647" s="9" t="s">
        <v>734</v>
      </c>
      <c r="G647" s="9">
        <v>1</v>
      </c>
      <c r="H647" s="9"/>
      <c r="I647" s="9" t="s">
        <v>22</v>
      </c>
      <c r="J647" s="9"/>
      <c r="K647" s="9" t="b">
        <v>0</v>
      </c>
      <c r="L647" s="9" t="s">
        <v>416</v>
      </c>
      <c r="M647" s="9" t="b">
        <v>0</v>
      </c>
      <c r="N647" s="9" t="s">
        <v>735</v>
      </c>
      <c r="O647" s="9" t="s">
        <v>3374</v>
      </c>
      <c r="P647" s="7">
        <v>920</v>
      </c>
      <c r="Q647" s="7">
        <v>504</v>
      </c>
      <c r="R647" s="7">
        <v>355</v>
      </c>
      <c r="S647" s="7">
        <v>108</v>
      </c>
      <c r="T647" s="8">
        <v>4.7</v>
      </c>
      <c r="U647" s="8">
        <v>1.7</v>
      </c>
      <c r="V647" s="17">
        <v>1.7</v>
      </c>
      <c r="AD647" s="1"/>
      <c r="AE647" s="3"/>
      <c r="AF647" s="2"/>
      <c r="AG647" s="2"/>
      <c r="AH647" s="2"/>
      <c r="AI647" s="3"/>
      <c r="AJ647" s="1"/>
      <c r="AK647" s="1"/>
    </row>
    <row r="648" spans="1:37" x14ac:dyDescent="0.3">
      <c r="A648" s="14">
        <v>201</v>
      </c>
      <c r="B648" s="14">
        <v>3</v>
      </c>
      <c r="C648" s="9" t="s">
        <v>0</v>
      </c>
      <c r="D648" s="9" t="s">
        <v>411</v>
      </c>
      <c r="E648" s="9" t="s">
        <v>744</v>
      </c>
      <c r="F648" s="9" t="s">
        <v>745</v>
      </c>
      <c r="G648" s="9">
        <v>1</v>
      </c>
      <c r="H648" s="9" t="s">
        <v>746</v>
      </c>
      <c r="I648" s="9" t="s">
        <v>5</v>
      </c>
      <c r="J648" s="9"/>
      <c r="K648" s="9" t="b">
        <v>0</v>
      </c>
      <c r="L648" s="9" t="s">
        <v>238</v>
      </c>
      <c r="M648" s="9" t="b">
        <v>0</v>
      </c>
      <c r="N648" s="9" t="s">
        <v>747</v>
      </c>
      <c r="O648" s="9" t="s">
        <v>3377</v>
      </c>
      <c r="P648" s="7">
        <v>874</v>
      </c>
      <c r="Q648" s="7">
        <v>681</v>
      </c>
      <c r="R648" s="7">
        <v>366</v>
      </c>
      <c r="S648" s="7">
        <v>101</v>
      </c>
      <c r="T648" s="8">
        <v>4.5</v>
      </c>
      <c r="U648" s="8">
        <v>1.7</v>
      </c>
      <c r="V648" s="17">
        <v>1.7</v>
      </c>
      <c r="AD648" s="1"/>
      <c r="AE648" s="3"/>
      <c r="AF648" s="2"/>
      <c r="AG648" s="3"/>
      <c r="AH648" s="3"/>
      <c r="AI648" s="3"/>
      <c r="AJ648" s="1"/>
      <c r="AK648" s="1"/>
    </row>
    <row r="649" spans="1:37" x14ac:dyDescent="0.3">
      <c r="A649" s="14">
        <v>82</v>
      </c>
      <c r="B649" s="14">
        <v>2</v>
      </c>
      <c r="C649" s="9" t="s">
        <v>0</v>
      </c>
      <c r="D649" s="9" t="s">
        <v>180</v>
      </c>
      <c r="E649" s="9" t="s">
        <v>310</v>
      </c>
      <c r="F649" s="9" t="s">
        <v>311</v>
      </c>
      <c r="G649" s="9">
        <v>1</v>
      </c>
      <c r="H649" s="9"/>
      <c r="I649" s="9" t="s">
        <v>312</v>
      </c>
      <c r="J649" s="9">
        <v>1</v>
      </c>
      <c r="K649" s="9" t="b">
        <v>0</v>
      </c>
      <c r="L649" s="9" t="s">
        <v>238</v>
      </c>
      <c r="M649" s="9" t="b">
        <v>0</v>
      </c>
      <c r="N649" s="9" t="s">
        <v>313</v>
      </c>
      <c r="O649" s="9" t="s">
        <v>3258</v>
      </c>
      <c r="P649" s="7">
        <v>1410</v>
      </c>
      <c r="Q649" s="7">
        <v>1030</v>
      </c>
      <c r="R649" s="7">
        <v>632</v>
      </c>
      <c r="S649" s="7">
        <v>168</v>
      </c>
      <c r="T649" s="8">
        <v>5.3</v>
      </c>
      <c r="U649" s="8">
        <v>1.7</v>
      </c>
      <c r="V649" s="17">
        <v>1.7</v>
      </c>
      <c r="AD649" s="1"/>
      <c r="AE649" s="3"/>
      <c r="AF649" s="2"/>
      <c r="AG649" s="2"/>
      <c r="AH649" s="3"/>
      <c r="AI649" s="3"/>
      <c r="AJ649" s="1"/>
      <c r="AK649" s="1"/>
    </row>
    <row r="650" spans="1:37" x14ac:dyDescent="0.3">
      <c r="A650" s="14">
        <v>211</v>
      </c>
      <c r="B650" s="14">
        <v>3</v>
      </c>
      <c r="C650" s="9" t="s">
        <v>0</v>
      </c>
      <c r="D650" s="9" t="s">
        <v>411</v>
      </c>
      <c r="E650" s="9" t="s">
        <v>781</v>
      </c>
      <c r="F650" s="9" t="s">
        <v>782</v>
      </c>
      <c r="G650" s="9">
        <v>1</v>
      </c>
      <c r="H650" s="9" t="s">
        <v>26</v>
      </c>
      <c r="I650" s="9"/>
      <c r="J650" s="9"/>
      <c r="K650" s="9" t="b">
        <v>0</v>
      </c>
      <c r="L650" s="9" t="s">
        <v>430</v>
      </c>
      <c r="M650" s="9" t="b">
        <v>0</v>
      </c>
      <c r="N650" s="9" t="s">
        <v>783</v>
      </c>
      <c r="O650" s="9" t="s">
        <v>3387</v>
      </c>
      <c r="P650" s="7">
        <v>1167</v>
      </c>
      <c r="Q650" s="7">
        <v>721</v>
      </c>
      <c r="R650" s="7">
        <v>480</v>
      </c>
      <c r="S650" s="7">
        <v>140</v>
      </c>
      <c r="T650" s="8">
        <v>5.3</v>
      </c>
      <c r="U650" s="8">
        <v>1.7</v>
      </c>
      <c r="V650" s="17">
        <v>1.7</v>
      </c>
      <c r="AD650" s="1"/>
      <c r="AE650" s="3"/>
      <c r="AF650" s="2"/>
      <c r="AG650" s="2"/>
      <c r="AH650" s="2"/>
      <c r="AI650" s="3"/>
      <c r="AJ650" s="1"/>
      <c r="AK650" s="1"/>
    </row>
    <row r="651" spans="1:37" x14ac:dyDescent="0.3">
      <c r="A651" s="14">
        <v>219</v>
      </c>
      <c r="B651" s="14">
        <v>3</v>
      </c>
      <c r="C651" s="9" t="s">
        <v>0</v>
      </c>
      <c r="D651" s="9" t="s">
        <v>411</v>
      </c>
      <c r="E651" s="9" t="s">
        <v>807</v>
      </c>
      <c r="F651" s="9" t="s">
        <v>808</v>
      </c>
      <c r="G651" s="9">
        <v>1</v>
      </c>
      <c r="H651" s="9" t="s">
        <v>10</v>
      </c>
      <c r="I651" s="9" t="s">
        <v>22</v>
      </c>
      <c r="J651" s="9"/>
      <c r="K651" s="9" t="b">
        <v>0</v>
      </c>
      <c r="L651" s="9" t="s">
        <v>185</v>
      </c>
      <c r="M651" s="9" t="b">
        <v>0</v>
      </c>
      <c r="N651" s="9" t="s">
        <v>809</v>
      </c>
      <c r="O651" s="9" t="s">
        <v>3395</v>
      </c>
      <c r="P651" s="7">
        <v>843</v>
      </c>
      <c r="Q651" s="7">
        <v>683</v>
      </c>
      <c r="R651" s="7">
        <v>489</v>
      </c>
      <c r="S651" s="7">
        <v>101</v>
      </c>
      <c r="T651" s="8">
        <v>4.4000000000000004</v>
      </c>
      <c r="U651" s="8">
        <v>1.7</v>
      </c>
      <c r="V651" s="17">
        <v>1.7</v>
      </c>
      <c r="AD651" s="1"/>
      <c r="AE651" s="3"/>
      <c r="AF651" s="2"/>
      <c r="AG651" s="2"/>
      <c r="AH651" s="3"/>
      <c r="AI651" s="3"/>
      <c r="AJ651" s="1"/>
      <c r="AK651" s="1"/>
    </row>
    <row r="652" spans="1:37" x14ac:dyDescent="0.3">
      <c r="A652" s="14">
        <v>325</v>
      </c>
      <c r="B652" s="14">
        <v>1</v>
      </c>
      <c r="C652" s="9" t="s">
        <v>0</v>
      </c>
      <c r="D652" s="9" t="s">
        <v>1077</v>
      </c>
      <c r="E652" s="9" t="s">
        <v>1154</v>
      </c>
      <c r="F652" s="9" t="s">
        <v>1155</v>
      </c>
      <c r="G652" s="9">
        <v>1</v>
      </c>
      <c r="H652" s="9"/>
      <c r="I652" s="9" t="s">
        <v>22</v>
      </c>
      <c r="J652" s="9"/>
      <c r="K652" s="9" t="b">
        <v>0</v>
      </c>
      <c r="L652" s="9" t="s">
        <v>7</v>
      </c>
      <c r="M652" s="9" t="b">
        <v>0</v>
      </c>
      <c r="N652" s="9" t="s">
        <v>1156</v>
      </c>
      <c r="O652" s="9" t="s">
        <v>3501</v>
      </c>
      <c r="P652" s="7">
        <v>1404</v>
      </c>
      <c r="Q652" s="7">
        <v>1021</v>
      </c>
      <c r="R652" s="7">
        <v>658</v>
      </c>
      <c r="S652" s="7">
        <v>171</v>
      </c>
      <c r="T652" s="8">
        <v>3.9</v>
      </c>
      <c r="U652" s="8">
        <v>1.7</v>
      </c>
      <c r="V652" s="17">
        <v>1.7</v>
      </c>
      <c r="AD652" s="1"/>
      <c r="AE652" s="3"/>
      <c r="AF652" s="2"/>
      <c r="AG652" s="3"/>
      <c r="AH652" s="3"/>
      <c r="AI652" s="3"/>
      <c r="AJ652" s="1"/>
      <c r="AK652" s="1"/>
    </row>
    <row r="653" spans="1:37" x14ac:dyDescent="0.3">
      <c r="A653" s="14">
        <v>329</v>
      </c>
      <c r="B653" s="14">
        <v>1</v>
      </c>
      <c r="C653" s="9" t="s">
        <v>0</v>
      </c>
      <c r="D653" s="9" t="s">
        <v>1077</v>
      </c>
      <c r="E653" s="9" t="s">
        <v>1167</v>
      </c>
      <c r="F653" s="9" t="s">
        <v>1168</v>
      </c>
      <c r="G653" s="9">
        <v>1</v>
      </c>
      <c r="H653" s="9"/>
      <c r="I653" s="9" t="s">
        <v>22</v>
      </c>
      <c r="J653" s="9"/>
      <c r="K653" s="9" t="b">
        <v>0</v>
      </c>
      <c r="L653" s="9" t="s">
        <v>7</v>
      </c>
      <c r="M653" s="9" t="b">
        <v>0</v>
      </c>
      <c r="N653" s="9" t="s">
        <v>1169</v>
      </c>
      <c r="O653" s="9" t="s">
        <v>3505</v>
      </c>
      <c r="P653" s="7">
        <v>1347</v>
      </c>
      <c r="Q653" s="7">
        <v>842</v>
      </c>
      <c r="R653" s="7">
        <v>638</v>
      </c>
      <c r="S653" s="7">
        <v>164</v>
      </c>
      <c r="T653" s="8">
        <v>5.2</v>
      </c>
      <c r="U653" s="8">
        <v>1.7</v>
      </c>
      <c r="V653" s="17">
        <v>1.7</v>
      </c>
      <c r="AD653" s="1"/>
      <c r="AE653" s="3"/>
      <c r="AF653" s="2"/>
      <c r="AG653" s="2"/>
      <c r="AH653" s="3"/>
      <c r="AI653" s="3"/>
      <c r="AJ653" s="1"/>
      <c r="AK653" s="1"/>
    </row>
    <row r="654" spans="1:37" x14ac:dyDescent="0.3">
      <c r="A654" s="14">
        <v>268</v>
      </c>
      <c r="B654" s="14">
        <v>3</v>
      </c>
      <c r="C654" s="9" t="s">
        <v>0</v>
      </c>
      <c r="D654" s="9" t="s">
        <v>411</v>
      </c>
      <c r="E654" s="9" t="s">
        <v>969</v>
      </c>
      <c r="F654" s="9" t="s">
        <v>970</v>
      </c>
      <c r="G654" s="9">
        <v>1</v>
      </c>
      <c r="H654" s="9" t="s">
        <v>631</v>
      </c>
      <c r="I654" s="9" t="s">
        <v>51</v>
      </c>
      <c r="J654" s="9">
        <v>1</v>
      </c>
      <c r="K654" s="9" t="b">
        <v>0</v>
      </c>
      <c r="L654" s="9" t="s">
        <v>234</v>
      </c>
      <c r="M654" s="9" t="b">
        <v>0</v>
      </c>
      <c r="N654" s="9" t="s">
        <v>971</v>
      </c>
      <c r="O654" s="9" t="s">
        <v>3444</v>
      </c>
      <c r="P654" s="7">
        <v>873</v>
      </c>
      <c r="Q654" s="7">
        <v>666</v>
      </c>
      <c r="R654" s="7">
        <v>402</v>
      </c>
      <c r="S654" s="7">
        <v>102</v>
      </c>
      <c r="T654" s="8">
        <v>4.8</v>
      </c>
      <c r="U654" s="8">
        <v>1.7</v>
      </c>
      <c r="V654" s="17">
        <v>1.7</v>
      </c>
      <c r="AD654" s="1"/>
      <c r="AE654" s="3"/>
      <c r="AF654" s="2"/>
      <c r="AG654" s="2"/>
      <c r="AH654" s="2"/>
      <c r="AI654" s="3"/>
      <c r="AJ654" s="1"/>
      <c r="AK654" s="1"/>
    </row>
    <row r="655" spans="1:37" x14ac:dyDescent="0.3">
      <c r="A655" s="14">
        <v>614</v>
      </c>
      <c r="B655" s="14">
        <v>3</v>
      </c>
      <c r="C655" s="9" t="s">
        <v>1659</v>
      </c>
      <c r="D655" s="9" t="s">
        <v>411</v>
      </c>
      <c r="E655" s="9" t="s">
        <v>2071</v>
      </c>
      <c r="F655" s="9" t="s">
        <v>2072</v>
      </c>
      <c r="G655" s="9">
        <v>3</v>
      </c>
      <c r="H655" s="9"/>
      <c r="I655" s="9"/>
      <c r="J655" s="9"/>
      <c r="K655" s="9" t="b">
        <v>0</v>
      </c>
      <c r="L655" s="9" t="s">
        <v>425</v>
      </c>
      <c r="M655" s="9" t="b">
        <v>0</v>
      </c>
      <c r="N655" s="9" t="s">
        <v>2073</v>
      </c>
      <c r="O655" s="9" t="s">
        <v>3789</v>
      </c>
      <c r="P655" s="7">
        <v>1168</v>
      </c>
      <c r="Q655" s="7">
        <v>721</v>
      </c>
      <c r="R655" s="7">
        <v>358</v>
      </c>
      <c r="S655" s="7">
        <v>131</v>
      </c>
      <c r="T655" s="8">
        <v>5.0999999999999996</v>
      </c>
      <c r="U655" s="8">
        <v>1.6</v>
      </c>
      <c r="V655" s="17">
        <v>1.6</v>
      </c>
      <c r="AD655" s="1"/>
      <c r="AE655" s="3"/>
      <c r="AF655" s="2"/>
      <c r="AG655" s="2"/>
      <c r="AH655" s="2"/>
      <c r="AI655" s="3"/>
      <c r="AJ655" s="1"/>
      <c r="AK655" s="1"/>
    </row>
    <row r="656" spans="1:37" x14ac:dyDescent="0.3">
      <c r="A656" s="14">
        <v>627</v>
      </c>
      <c r="B656" s="14">
        <v>3</v>
      </c>
      <c r="C656" s="9" t="s">
        <v>1659</v>
      </c>
      <c r="D656" s="9" t="s">
        <v>411</v>
      </c>
      <c r="E656" s="9" t="s">
        <v>2111</v>
      </c>
      <c r="F656" s="9" t="s">
        <v>2112</v>
      </c>
      <c r="G656" s="9">
        <v>1</v>
      </c>
      <c r="H656" s="9"/>
      <c r="I656" s="9"/>
      <c r="J656" s="9"/>
      <c r="K656" s="9" t="b">
        <v>0</v>
      </c>
      <c r="L656" s="9" t="s">
        <v>437</v>
      </c>
      <c r="M656" s="9" t="b">
        <v>0</v>
      </c>
      <c r="N656" s="9" t="s">
        <v>2113</v>
      </c>
      <c r="O656" s="9" t="s">
        <v>3802</v>
      </c>
      <c r="P656" s="7">
        <v>527</v>
      </c>
      <c r="Q656" s="7">
        <v>474</v>
      </c>
      <c r="R656" s="7">
        <v>313</v>
      </c>
      <c r="S656" s="7">
        <v>59</v>
      </c>
      <c r="T656" s="8">
        <v>3.7</v>
      </c>
      <c r="U656" s="8">
        <v>1.6</v>
      </c>
      <c r="V656" s="17">
        <v>1.6</v>
      </c>
      <c r="AD656" s="1"/>
      <c r="AE656" s="3"/>
      <c r="AF656" s="3"/>
      <c r="AG656" s="3"/>
      <c r="AH656" s="3"/>
      <c r="AI656" s="3"/>
      <c r="AJ656" s="1"/>
      <c r="AK656" s="1"/>
    </row>
    <row r="657" spans="1:37" x14ac:dyDescent="0.3">
      <c r="A657" s="14">
        <v>875</v>
      </c>
      <c r="B657" s="14">
        <v>4</v>
      </c>
      <c r="C657" s="9" t="s">
        <v>1659</v>
      </c>
      <c r="D657" s="9" t="s">
        <v>1338</v>
      </c>
      <c r="E657" s="9" t="s">
        <v>2870</v>
      </c>
      <c r="F657" s="9" t="s">
        <v>2871</v>
      </c>
      <c r="G657" s="9">
        <v>1</v>
      </c>
      <c r="H657" s="9"/>
      <c r="I657" s="9"/>
      <c r="J657" s="9"/>
      <c r="K657" s="9" t="b">
        <v>0</v>
      </c>
      <c r="L657" s="9"/>
      <c r="M657" s="9" t="b">
        <v>0</v>
      </c>
      <c r="N657" s="9" t="s">
        <v>2872</v>
      </c>
      <c r="O657" s="9" t="s">
        <v>4050</v>
      </c>
      <c r="P657" s="7">
        <v>317</v>
      </c>
      <c r="Q657" s="7">
        <v>142</v>
      </c>
      <c r="R657" s="7">
        <v>104</v>
      </c>
      <c r="S657" s="7">
        <v>35</v>
      </c>
      <c r="T657" s="8">
        <v>4</v>
      </c>
      <c r="U657" s="8">
        <v>1.6</v>
      </c>
      <c r="V657" s="17">
        <v>1.6</v>
      </c>
      <c r="AD657" s="1"/>
      <c r="AE657" s="3"/>
      <c r="AF657" s="2"/>
      <c r="AG657" s="2"/>
      <c r="AH657" s="2"/>
      <c r="AI657" s="3"/>
      <c r="AJ657" s="1"/>
      <c r="AK657" s="1"/>
    </row>
    <row r="658" spans="1:37" x14ac:dyDescent="0.3">
      <c r="A658" s="14">
        <v>879</v>
      </c>
      <c r="B658" s="14">
        <v>4</v>
      </c>
      <c r="C658" s="9" t="s">
        <v>1659</v>
      </c>
      <c r="D658" s="9" t="s">
        <v>1338</v>
      </c>
      <c r="E658" s="9" t="s">
        <v>2883</v>
      </c>
      <c r="F658" s="9" t="s">
        <v>2884</v>
      </c>
      <c r="G658" s="9">
        <v>4</v>
      </c>
      <c r="H658" s="9"/>
      <c r="I658" s="9"/>
      <c r="J658" s="9"/>
      <c r="K658" s="9" t="b">
        <v>0</v>
      </c>
      <c r="L658" s="9" t="s">
        <v>437</v>
      </c>
      <c r="M658" s="9" t="b">
        <v>0</v>
      </c>
      <c r="N658" s="9" t="s">
        <v>2885</v>
      </c>
      <c r="O658" s="9" t="s">
        <v>4054</v>
      </c>
      <c r="P658" s="7">
        <v>556</v>
      </c>
      <c r="Q658" s="7">
        <v>377</v>
      </c>
      <c r="R658" s="7">
        <v>203</v>
      </c>
      <c r="S658" s="7">
        <v>64</v>
      </c>
      <c r="T658" s="8">
        <v>4.9000000000000004</v>
      </c>
      <c r="U658" s="8">
        <v>1.6</v>
      </c>
      <c r="V658" s="17">
        <v>1.6</v>
      </c>
      <c r="AD658" s="1"/>
      <c r="AE658" s="3"/>
      <c r="AF658" s="3"/>
      <c r="AG658" s="3"/>
      <c r="AH658" s="3"/>
      <c r="AI658" s="3"/>
      <c r="AJ658" s="1"/>
      <c r="AK658" s="1"/>
    </row>
    <row r="659" spans="1:37" x14ac:dyDescent="0.3">
      <c r="A659" s="14">
        <v>681</v>
      </c>
      <c r="B659" s="14">
        <v>3</v>
      </c>
      <c r="C659" s="9" t="s">
        <v>1659</v>
      </c>
      <c r="D659" s="9" t="s">
        <v>411</v>
      </c>
      <c r="E659" s="9" t="s">
        <v>2280</v>
      </c>
      <c r="F659" s="9" t="s">
        <v>2281</v>
      </c>
      <c r="G659" s="9">
        <v>1</v>
      </c>
      <c r="H659" s="9"/>
      <c r="I659" s="9"/>
      <c r="J659" s="9"/>
      <c r="K659" s="9" t="b">
        <v>0</v>
      </c>
      <c r="L659" s="9" t="s">
        <v>425</v>
      </c>
      <c r="M659" s="9" t="b">
        <v>0</v>
      </c>
      <c r="N659" s="9" t="s">
        <v>2282</v>
      </c>
      <c r="O659" s="9" t="s">
        <v>3856</v>
      </c>
      <c r="P659" s="7">
        <v>1092</v>
      </c>
      <c r="Q659" s="7">
        <v>742</v>
      </c>
      <c r="R659" s="7">
        <v>414</v>
      </c>
      <c r="S659" s="7">
        <v>125</v>
      </c>
      <c r="T659" s="8">
        <v>5.4</v>
      </c>
      <c r="U659" s="8">
        <v>1.6</v>
      </c>
      <c r="V659" s="17">
        <v>1.6</v>
      </c>
      <c r="AD659" s="1"/>
      <c r="AE659" s="3"/>
      <c r="AF659" s="3"/>
      <c r="AG659" s="3"/>
      <c r="AH659" s="3"/>
      <c r="AI659" s="3"/>
      <c r="AJ659" s="1"/>
      <c r="AK659" s="1"/>
    </row>
    <row r="660" spans="1:37" x14ac:dyDescent="0.3">
      <c r="A660" s="14">
        <v>688</v>
      </c>
      <c r="B660" s="14">
        <v>3</v>
      </c>
      <c r="C660" s="9" t="s">
        <v>1659</v>
      </c>
      <c r="D660" s="9" t="s">
        <v>411</v>
      </c>
      <c r="E660" s="9" t="s">
        <v>2303</v>
      </c>
      <c r="F660" s="9" t="s">
        <v>2304</v>
      </c>
      <c r="G660" s="9">
        <v>3</v>
      </c>
      <c r="H660" s="9"/>
      <c r="I660" s="9"/>
      <c r="J660" s="9"/>
      <c r="K660" s="9" t="b">
        <v>0</v>
      </c>
      <c r="L660" s="9" t="s">
        <v>437</v>
      </c>
      <c r="M660" s="9" t="b">
        <v>0</v>
      </c>
      <c r="N660" s="9" t="s">
        <v>2305</v>
      </c>
      <c r="O660" s="9" t="s">
        <v>3863</v>
      </c>
      <c r="P660" s="7">
        <v>638</v>
      </c>
      <c r="Q660" s="7">
        <v>447</v>
      </c>
      <c r="R660" s="7">
        <v>364</v>
      </c>
      <c r="S660" s="7">
        <v>73</v>
      </c>
      <c r="T660" s="8">
        <v>4.2</v>
      </c>
      <c r="U660" s="8">
        <v>1.6</v>
      </c>
      <c r="V660" s="17">
        <v>1.6</v>
      </c>
      <c r="AD660" s="1"/>
      <c r="AE660" s="3"/>
      <c r="AF660" s="2"/>
      <c r="AG660" s="2"/>
      <c r="AH660" s="2"/>
      <c r="AI660" s="3"/>
      <c r="AJ660" s="1"/>
      <c r="AK660" s="1"/>
    </row>
    <row r="661" spans="1:37" x14ac:dyDescent="0.3">
      <c r="A661" s="14">
        <v>690</v>
      </c>
      <c r="B661" s="14">
        <v>3</v>
      </c>
      <c r="C661" s="9" t="s">
        <v>1659</v>
      </c>
      <c r="D661" s="9" t="s">
        <v>411</v>
      </c>
      <c r="E661" s="9" t="s">
        <v>2309</v>
      </c>
      <c r="F661" s="9" t="s">
        <v>2310</v>
      </c>
      <c r="G661" s="9">
        <v>1</v>
      </c>
      <c r="H661" s="9"/>
      <c r="I661" s="9"/>
      <c r="J661" s="9"/>
      <c r="K661" s="9" t="b">
        <v>0</v>
      </c>
      <c r="L661" s="9" t="s">
        <v>425</v>
      </c>
      <c r="M661" s="9" t="b">
        <v>0</v>
      </c>
      <c r="N661" s="9" t="s">
        <v>2311</v>
      </c>
      <c r="O661" s="9" t="s">
        <v>3865</v>
      </c>
      <c r="P661" s="7">
        <v>1188</v>
      </c>
      <c r="Q661" s="7">
        <v>928</v>
      </c>
      <c r="R661" s="7">
        <v>473</v>
      </c>
      <c r="S661" s="7">
        <v>134</v>
      </c>
      <c r="T661" s="8">
        <v>5.0999999999999996</v>
      </c>
      <c r="U661" s="8">
        <v>1.6</v>
      </c>
      <c r="V661" s="17">
        <v>1.6</v>
      </c>
      <c r="AD661" s="1"/>
      <c r="AE661" s="3"/>
      <c r="AF661" s="2"/>
      <c r="AG661" s="3"/>
      <c r="AH661" s="3"/>
      <c r="AI661" s="3"/>
      <c r="AJ661" s="1"/>
      <c r="AK661" s="1"/>
    </row>
    <row r="662" spans="1:37" x14ac:dyDescent="0.3">
      <c r="A662" s="14">
        <v>724</v>
      </c>
      <c r="B662" s="14">
        <v>3</v>
      </c>
      <c r="C662" s="9" t="s">
        <v>1659</v>
      </c>
      <c r="D662" s="9" t="s">
        <v>411</v>
      </c>
      <c r="E662" s="9" t="s">
        <v>2412</v>
      </c>
      <c r="F662" s="9" t="s">
        <v>2413</v>
      </c>
      <c r="G662" s="9">
        <v>1</v>
      </c>
      <c r="H662" s="9"/>
      <c r="I662" s="9"/>
      <c r="J662" s="9"/>
      <c r="K662" s="9" t="b">
        <v>0</v>
      </c>
      <c r="L662" s="9" t="s">
        <v>416</v>
      </c>
      <c r="M662" s="9" t="b">
        <v>0</v>
      </c>
      <c r="N662" s="9" t="s">
        <v>2414</v>
      </c>
      <c r="O662" s="9" t="s">
        <v>3899</v>
      </c>
      <c r="P662" s="7">
        <v>1129</v>
      </c>
      <c r="Q662" s="7">
        <v>795</v>
      </c>
      <c r="R662" s="7">
        <v>384</v>
      </c>
      <c r="S662" s="7">
        <v>130</v>
      </c>
      <c r="T662" s="8">
        <v>5.4</v>
      </c>
      <c r="U662" s="8">
        <v>1.6</v>
      </c>
      <c r="V662" s="17">
        <v>1.6</v>
      </c>
      <c r="AD662" s="1"/>
      <c r="AE662" s="3"/>
      <c r="AF662" s="3"/>
      <c r="AG662" s="3"/>
      <c r="AH662" s="3"/>
      <c r="AI662" s="3"/>
      <c r="AJ662" s="1"/>
      <c r="AK662" s="1"/>
    </row>
    <row r="663" spans="1:37" x14ac:dyDescent="0.3">
      <c r="A663" s="14">
        <v>592</v>
      </c>
      <c r="B663" s="14">
        <v>2</v>
      </c>
      <c r="C663" s="9" t="s">
        <v>1659</v>
      </c>
      <c r="D663" s="9" t="s">
        <v>180</v>
      </c>
      <c r="E663" s="9" t="s">
        <v>2001</v>
      </c>
      <c r="F663" s="9" t="s">
        <v>2002</v>
      </c>
      <c r="G663" s="9">
        <v>3</v>
      </c>
      <c r="H663" s="9"/>
      <c r="I663" s="9"/>
      <c r="J663" s="9"/>
      <c r="K663" s="9" t="b">
        <v>0</v>
      </c>
      <c r="L663" s="9" t="s">
        <v>399</v>
      </c>
      <c r="M663" s="9" t="b">
        <v>0</v>
      </c>
      <c r="N663" s="9" t="s">
        <v>2003</v>
      </c>
      <c r="O663" s="9" t="s">
        <v>3767</v>
      </c>
      <c r="P663" s="7">
        <v>1219</v>
      </c>
      <c r="Q663" s="7">
        <v>981</v>
      </c>
      <c r="R663" s="7">
        <v>613</v>
      </c>
      <c r="S663" s="7">
        <v>139</v>
      </c>
      <c r="T663" s="8">
        <v>4.5</v>
      </c>
      <c r="U663" s="8">
        <v>1.6</v>
      </c>
      <c r="V663" s="17">
        <v>1.6</v>
      </c>
      <c r="AD663" s="1"/>
      <c r="AE663" s="3"/>
      <c r="AF663" s="2"/>
      <c r="AG663" s="2"/>
      <c r="AH663" s="2"/>
      <c r="AI663" s="3"/>
      <c r="AJ663" s="1"/>
      <c r="AK663" s="1"/>
    </row>
    <row r="664" spans="1:37" x14ac:dyDescent="0.3">
      <c r="A664" s="14">
        <v>953</v>
      </c>
      <c r="B664" s="14">
        <v>2</v>
      </c>
      <c r="C664" s="9" t="s">
        <v>1659</v>
      </c>
      <c r="D664" s="9" t="s">
        <v>1457</v>
      </c>
      <c r="E664" s="9" t="s">
        <v>3108</v>
      </c>
      <c r="F664" s="9" t="s">
        <v>3109</v>
      </c>
      <c r="G664" s="9">
        <v>3</v>
      </c>
      <c r="H664" s="9"/>
      <c r="I664" s="9"/>
      <c r="J664" s="9"/>
      <c r="K664" s="9" t="b">
        <v>0</v>
      </c>
      <c r="L664" s="9" t="s">
        <v>3007</v>
      </c>
      <c r="M664" s="9" t="b">
        <v>0</v>
      </c>
      <c r="N664" s="9" t="s">
        <v>3110</v>
      </c>
      <c r="O664" s="9" t="s">
        <v>4125</v>
      </c>
      <c r="P664" s="7">
        <v>1339</v>
      </c>
      <c r="Q664" s="7">
        <v>941</v>
      </c>
      <c r="R664" s="7">
        <v>597</v>
      </c>
      <c r="S664" s="7">
        <v>151</v>
      </c>
      <c r="T664" s="8">
        <v>4.5999999999999996</v>
      </c>
      <c r="U664" s="8">
        <v>1.6</v>
      </c>
      <c r="V664" s="17">
        <v>1.6</v>
      </c>
      <c r="AD664" s="1"/>
      <c r="AE664" s="3"/>
      <c r="AF664" s="2"/>
      <c r="AG664" s="3"/>
      <c r="AH664" s="3"/>
      <c r="AI664" s="3"/>
      <c r="AJ664" s="1"/>
      <c r="AK664" s="1"/>
    </row>
    <row r="665" spans="1:37" x14ac:dyDescent="0.3">
      <c r="A665" s="14">
        <v>774</v>
      </c>
      <c r="B665" s="14">
        <v>3</v>
      </c>
      <c r="C665" s="9" t="s">
        <v>1659</v>
      </c>
      <c r="D665" s="9" t="s">
        <v>411</v>
      </c>
      <c r="E665" s="9" t="s">
        <v>2565</v>
      </c>
      <c r="F665" s="9" t="s">
        <v>2566</v>
      </c>
      <c r="G665" s="9">
        <v>1</v>
      </c>
      <c r="H665" s="9"/>
      <c r="I665" s="9"/>
      <c r="J665" s="9"/>
      <c r="K665" s="9" t="b">
        <v>0</v>
      </c>
      <c r="L665" s="9" t="s">
        <v>2568</v>
      </c>
      <c r="M665" s="9" t="b">
        <v>0</v>
      </c>
      <c r="N665" s="9" t="s">
        <v>2567</v>
      </c>
      <c r="O665" s="9" t="s">
        <v>3949</v>
      </c>
      <c r="P665" s="7">
        <v>1026</v>
      </c>
      <c r="Q665" s="7">
        <v>622</v>
      </c>
      <c r="R665" s="7">
        <v>390</v>
      </c>
      <c r="S665" s="7">
        <v>113</v>
      </c>
      <c r="T665" s="8">
        <v>5.2</v>
      </c>
      <c r="U665" s="8">
        <v>1.6</v>
      </c>
      <c r="V665" s="17">
        <v>1.6</v>
      </c>
      <c r="AD665" s="1"/>
      <c r="AE665" s="3"/>
      <c r="AF665" s="2"/>
      <c r="AG665" s="2"/>
      <c r="AH665" s="3"/>
      <c r="AI665" s="3"/>
      <c r="AJ665" s="1"/>
      <c r="AK665" s="1"/>
    </row>
    <row r="666" spans="1:37" x14ac:dyDescent="0.3">
      <c r="A666" s="14">
        <v>787</v>
      </c>
      <c r="B666" s="14">
        <v>3</v>
      </c>
      <c r="C666" s="9" t="s">
        <v>1659</v>
      </c>
      <c r="D666" s="9" t="s">
        <v>411</v>
      </c>
      <c r="E666" s="9" t="s">
        <v>2605</v>
      </c>
      <c r="F666" s="9" t="s">
        <v>2606</v>
      </c>
      <c r="G666" s="9">
        <v>1</v>
      </c>
      <c r="H666" s="9"/>
      <c r="I666" s="9"/>
      <c r="J666" s="9"/>
      <c r="K666" s="9" t="b">
        <v>0</v>
      </c>
      <c r="L666" s="9" t="s">
        <v>531</v>
      </c>
      <c r="M666" s="9" t="b">
        <v>0</v>
      </c>
      <c r="N666" s="9" t="s">
        <v>2607</v>
      </c>
      <c r="O666" s="9" t="s">
        <v>3962</v>
      </c>
      <c r="P666" s="7">
        <v>1213</v>
      </c>
      <c r="Q666" s="7">
        <v>846</v>
      </c>
      <c r="R666" s="7">
        <v>480</v>
      </c>
      <c r="S666" s="7">
        <v>135</v>
      </c>
      <c r="T666" s="8">
        <v>5.2</v>
      </c>
      <c r="U666" s="8">
        <v>1.6</v>
      </c>
      <c r="V666" s="17">
        <v>1.6</v>
      </c>
      <c r="AD666" s="1"/>
      <c r="AE666" s="3"/>
      <c r="AF666" s="2"/>
      <c r="AG666" s="2"/>
      <c r="AH666" s="2"/>
      <c r="AI666" s="3"/>
      <c r="AJ666" s="1"/>
      <c r="AK666" s="1"/>
    </row>
    <row r="667" spans="1:37" x14ac:dyDescent="0.3">
      <c r="A667" s="14">
        <v>873</v>
      </c>
      <c r="B667" s="14">
        <v>1</v>
      </c>
      <c r="C667" s="9" t="s">
        <v>1659</v>
      </c>
      <c r="D667" s="9" t="s">
        <v>1208</v>
      </c>
      <c r="E667" s="9" t="s">
        <v>2863</v>
      </c>
      <c r="F667" s="9" t="s">
        <v>2864</v>
      </c>
      <c r="G667" s="9">
        <v>1</v>
      </c>
      <c r="H667" s="9"/>
      <c r="I667" s="9"/>
      <c r="J667" s="9"/>
      <c r="K667" s="9" t="b">
        <v>0</v>
      </c>
      <c r="L667" s="9" t="s">
        <v>7</v>
      </c>
      <c r="M667" s="9" t="b">
        <v>0</v>
      </c>
      <c r="N667" s="9" t="s">
        <v>2865</v>
      </c>
      <c r="O667" s="9" t="s">
        <v>4048</v>
      </c>
      <c r="P667" s="7">
        <v>1292</v>
      </c>
      <c r="Q667" s="7">
        <v>947</v>
      </c>
      <c r="R667" s="7">
        <v>573</v>
      </c>
      <c r="S667" s="7">
        <v>142</v>
      </c>
      <c r="T667" s="8">
        <v>5.3</v>
      </c>
      <c r="U667" s="8">
        <v>1.6</v>
      </c>
      <c r="V667" s="17">
        <v>1.6</v>
      </c>
      <c r="AD667" s="1"/>
      <c r="AE667" s="3"/>
      <c r="AF667" s="3"/>
      <c r="AG667" s="3"/>
      <c r="AH667" s="3"/>
      <c r="AI667" s="3"/>
      <c r="AJ667" s="1"/>
      <c r="AK667" s="1"/>
    </row>
    <row r="668" spans="1:37" x14ac:dyDescent="0.3">
      <c r="A668" s="14">
        <v>965</v>
      </c>
      <c r="B668" s="14">
        <v>2</v>
      </c>
      <c r="C668" s="9" t="s">
        <v>1659</v>
      </c>
      <c r="D668" s="9" t="s">
        <v>1457</v>
      </c>
      <c r="E668" s="9" t="s">
        <v>3148</v>
      </c>
      <c r="F668" s="9" t="s">
        <v>3149</v>
      </c>
      <c r="G668" s="9">
        <v>3</v>
      </c>
      <c r="H668" s="9"/>
      <c r="I668" s="9"/>
      <c r="J668" s="9"/>
      <c r="K668" s="9" t="b">
        <v>0</v>
      </c>
      <c r="L668" s="9"/>
      <c r="M668" s="9" t="b">
        <v>0</v>
      </c>
      <c r="N668" s="9" t="s">
        <v>3150</v>
      </c>
      <c r="O668" s="9" t="s">
        <v>4137</v>
      </c>
      <c r="P668" s="7">
        <v>1332</v>
      </c>
      <c r="Q668" s="7">
        <v>775</v>
      </c>
      <c r="R668" s="7">
        <v>425</v>
      </c>
      <c r="S668" s="7">
        <v>147</v>
      </c>
      <c r="T668" s="8">
        <v>5.6</v>
      </c>
      <c r="U668" s="8">
        <v>1.6</v>
      </c>
      <c r="V668" s="17">
        <v>1.6</v>
      </c>
      <c r="AD668" s="1"/>
      <c r="AE668" s="3"/>
      <c r="AF668" s="2"/>
      <c r="AG668" s="3"/>
      <c r="AH668" s="3"/>
      <c r="AI668" s="3"/>
      <c r="AJ668" s="1"/>
      <c r="AK668" s="1"/>
    </row>
    <row r="669" spans="1:37" x14ac:dyDescent="0.3">
      <c r="A669" s="14">
        <v>7</v>
      </c>
      <c r="B669" s="14">
        <v>1</v>
      </c>
      <c r="C669" s="9" t="s">
        <v>0</v>
      </c>
      <c r="D669" s="9" t="s">
        <v>1</v>
      </c>
      <c r="E669" s="9" t="s">
        <v>28</v>
      </c>
      <c r="F669" s="9" t="s">
        <v>29</v>
      </c>
      <c r="G669" s="9">
        <v>1</v>
      </c>
      <c r="H669" s="9"/>
      <c r="I669" s="9" t="s">
        <v>22</v>
      </c>
      <c r="J669" s="9"/>
      <c r="K669" s="9" t="b">
        <v>0</v>
      </c>
      <c r="L669" s="9" t="s">
        <v>7</v>
      </c>
      <c r="M669" s="9" t="b">
        <v>0</v>
      </c>
      <c r="N669" s="9" t="s">
        <v>30</v>
      </c>
      <c r="O669" s="9" t="s">
        <v>3183</v>
      </c>
      <c r="P669" s="7">
        <v>1441</v>
      </c>
      <c r="Q669" s="7">
        <v>1072</v>
      </c>
      <c r="R669" s="7">
        <v>639</v>
      </c>
      <c r="S669" s="7">
        <v>165</v>
      </c>
      <c r="T669" s="8">
        <v>4.5999999999999996</v>
      </c>
      <c r="U669" s="8">
        <v>1.6</v>
      </c>
      <c r="V669" s="17">
        <v>1.6</v>
      </c>
      <c r="AD669" s="1"/>
      <c r="AE669" s="3"/>
      <c r="AF669" s="2"/>
      <c r="AG669" s="3"/>
      <c r="AH669" s="3"/>
      <c r="AI669" s="3"/>
      <c r="AJ669" s="1"/>
      <c r="AK669" s="1"/>
    </row>
    <row r="670" spans="1:37" x14ac:dyDescent="0.3">
      <c r="A670" s="14">
        <v>140</v>
      </c>
      <c r="B670" s="14">
        <v>3</v>
      </c>
      <c r="C670" s="9" t="s">
        <v>0</v>
      </c>
      <c r="D670" s="9" t="s">
        <v>411</v>
      </c>
      <c r="E670" s="9" t="s">
        <v>532</v>
      </c>
      <c r="F670" s="9" t="s">
        <v>533</v>
      </c>
      <c r="G670" s="9">
        <v>1</v>
      </c>
      <c r="H670" s="9"/>
      <c r="I670" s="9" t="s">
        <v>51</v>
      </c>
      <c r="J670" s="9">
        <v>1</v>
      </c>
      <c r="K670" s="9" t="b">
        <v>0</v>
      </c>
      <c r="L670" s="9" t="s">
        <v>238</v>
      </c>
      <c r="M670" s="9" t="b">
        <v>0</v>
      </c>
      <c r="N670" s="9" t="s">
        <v>534</v>
      </c>
      <c r="O670" s="9" t="s">
        <v>3316</v>
      </c>
      <c r="P670" s="7">
        <v>1145</v>
      </c>
      <c r="Q670" s="7">
        <v>748</v>
      </c>
      <c r="R670" s="7">
        <v>473</v>
      </c>
      <c r="S670" s="7">
        <v>132</v>
      </c>
      <c r="T670" s="8">
        <v>5.5</v>
      </c>
      <c r="U670" s="8">
        <v>1.6</v>
      </c>
      <c r="V670" s="17">
        <v>1.6</v>
      </c>
      <c r="AD670" s="1"/>
      <c r="AE670" s="3"/>
      <c r="AF670" s="3"/>
      <c r="AG670" s="3"/>
      <c r="AH670" s="3"/>
      <c r="AI670" s="3"/>
      <c r="AJ670" s="1"/>
      <c r="AK670" s="1"/>
    </row>
    <row r="671" spans="1:37" x14ac:dyDescent="0.3">
      <c r="A671" s="14">
        <v>164</v>
      </c>
      <c r="B671" s="14">
        <v>3</v>
      </c>
      <c r="C671" s="9" t="s">
        <v>0</v>
      </c>
      <c r="D671" s="9" t="s">
        <v>411</v>
      </c>
      <c r="E671" s="9" t="s">
        <v>619</v>
      </c>
      <c r="F671" s="9" t="s">
        <v>620</v>
      </c>
      <c r="G671" s="9">
        <v>1</v>
      </c>
      <c r="H671" s="9"/>
      <c r="I671" s="9" t="s">
        <v>77</v>
      </c>
      <c r="J671" s="9"/>
      <c r="K671" s="9" t="b">
        <v>1</v>
      </c>
      <c r="L671" s="9" t="s">
        <v>416</v>
      </c>
      <c r="M671" s="9" t="b">
        <v>0</v>
      </c>
      <c r="N671" s="9" t="s">
        <v>621</v>
      </c>
      <c r="O671" s="9" t="s">
        <v>3340</v>
      </c>
      <c r="P671" s="7">
        <v>854</v>
      </c>
      <c r="Q671" s="7">
        <v>615</v>
      </c>
      <c r="R671" s="7">
        <v>327</v>
      </c>
      <c r="S671" s="7">
        <v>98</v>
      </c>
      <c r="T671" s="8">
        <v>5.3</v>
      </c>
      <c r="U671" s="8">
        <v>1.6</v>
      </c>
      <c r="V671" s="17">
        <v>1.6</v>
      </c>
      <c r="AD671" s="1"/>
      <c r="AE671" s="3"/>
      <c r="AF671" s="2"/>
      <c r="AG671" s="2"/>
      <c r="AH671" s="3"/>
      <c r="AI671" s="3"/>
      <c r="AJ671" s="1"/>
      <c r="AK671" s="1"/>
    </row>
    <row r="672" spans="1:37" x14ac:dyDescent="0.3">
      <c r="A672" s="14">
        <v>166</v>
      </c>
      <c r="B672" s="14">
        <v>3</v>
      </c>
      <c r="C672" s="9" t="s">
        <v>0</v>
      </c>
      <c r="D672" s="9" t="s">
        <v>411</v>
      </c>
      <c r="E672" s="9" t="s">
        <v>626</v>
      </c>
      <c r="F672" s="9" t="s">
        <v>627</v>
      </c>
      <c r="G672" s="9">
        <v>1</v>
      </c>
      <c r="H672" s="9"/>
      <c r="I672" s="9" t="s">
        <v>22</v>
      </c>
      <c r="J672" s="9"/>
      <c r="K672" s="9" t="b">
        <v>1</v>
      </c>
      <c r="L672" s="9" t="s">
        <v>238</v>
      </c>
      <c r="M672" s="9" t="b">
        <v>0</v>
      </c>
      <c r="N672" s="9" t="s">
        <v>628</v>
      </c>
      <c r="O672" s="9" t="s">
        <v>3342</v>
      </c>
      <c r="P672" s="7">
        <v>1126</v>
      </c>
      <c r="Q672" s="7">
        <v>844</v>
      </c>
      <c r="R672" s="7">
        <v>575</v>
      </c>
      <c r="S672" s="7">
        <v>126</v>
      </c>
      <c r="T672" s="8">
        <v>5</v>
      </c>
      <c r="U672" s="8">
        <v>1.6</v>
      </c>
      <c r="V672" s="17">
        <v>1.6</v>
      </c>
      <c r="AD672" s="1"/>
      <c r="AE672" s="3"/>
      <c r="AF672" s="2"/>
      <c r="AG672" s="2"/>
      <c r="AH672" s="2"/>
      <c r="AI672" s="3"/>
      <c r="AJ672" s="1"/>
      <c r="AK672" s="1"/>
    </row>
    <row r="673" spans="1:37" x14ac:dyDescent="0.3">
      <c r="A673" s="14">
        <v>72</v>
      </c>
      <c r="B673" s="14">
        <v>2</v>
      </c>
      <c r="C673" s="9" t="s">
        <v>0</v>
      </c>
      <c r="D673" s="9" t="s">
        <v>180</v>
      </c>
      <c r="E673" s="9" t="s">
        <v>267</v>
      </c>
      <c r="F673" s="9" t="s">
        <v>268</v>
      </c>
      <c r="G673" s="9">
        <v>1</v>
      </c>
      <c r="H673" s="9"/>
      <c r="I673" s="9" t="s">
        <v>22</v>
      </c>
      <c r="J673" s="9"/>
      <c r="K673" s="9" t="b">
        <v>0</v>
      </c>
      <c r="L673" s="9" t="s">
        <v>270</v>
      </c>
      <c r="M673" s="9" t="b">
        <v>0</v>
      </c>
      <c r="N673" s="9" t="s">
        <v>269</v>
      </c>
      <c r="O673" s="9" t="s">
        <v>3248</v>
      </c>
      <c r="P673" s="7">
        <v>1285</v>
      </c>
      <c r="Q673" s="7">
        <v>853</v>
      </c>
      <c r="R673" s="7">
        <v>533</v>
      </c>
      <c r="S673" s="7">
        <v>148</v>
      </c>
      <c r="T673" s="8">
        <v>4.8</v>
      </c>
      <c r="U673" s="8">
        <v>1.6</v>
      </c>
      <c r="V673" s="17">
        <v>1.6</v>
      </c>
      <c r="AD673" s="1"/>
      <c r="AE673" s="3"/>
      <c r="AF673" s="2"/>
      <c r="AG673" s="3"/>
      <c r="AH673" s="3"/>
      <c r="AI673" s="3"/>
      <c r="AJ673" s="1"/>
      <c r="AK673" s="1"/>
    </row>
    <row r="674" spans="1:37" x14ac:dyDescent="0.3">
      <c r="A674" s="14">
        <v>451</v>
      </c>
      <c r="B674" s="14">
        <v>2</v>
      </c>
      <c r="C674" s="9" t="s">
        <v>0</v>
      </c>
      <c r="D674" s="9" t="s">
        <v>1457</v>
      </c>
      <c r="E674" s="9" t="s">
        <v>1565</v>
      </c>
      <c r="F674" s="9" t="s">
        <v>1566</v>
      </c>
      <c r="G674" s="9">
        <v>1</v>
      </c>
      <c r="H674" s="9" t="s">
        <v>1377</v>
      </c>
      <c r="I674" s="9"/>
      <c r="J674" s="9"/>
      <c r="K674" s="9" t="b">
        <v>0</v>
      </c>
      <c r="L674" s="9" t="s">
        <v>1568</v>
      </c>
      <c r="M674" s="9" t="b">
        <v>1</v>
      </c>
      <c r="N674" s="9" t="s">
        <v>1567</v>
      </c>
      <c r="O674" s="9" t="s">
        <v>3626</v>
      </c>
      <c r="P674" s="7">
        <v>1373</v>
      </c>
      <c r="Q674" s="7">
        <v>1018</v>
      </c>
      <c r="R674" s="7">
        <v>627</v>
      </c>
      <c r="S674" s="7">
        <v>157</v>
      </c>
      <c r="T674" s="8">
        <v>5.0999999999999996</v>
      </c>
      <c r="U674" s="8">
        <v>1.6</v>
      </c>
      <c r="V674" s="17">
        <v>1.6</v>
      </c>
      <c r="AD674" s="1"/>
      <c r="AE674" s="3"/>
      <c r="AF674" s="2"/>
      <c r="AG674" s="3"/>
      <c r="AH674" s="3"/>
      <c r="AI674" s="3"/>
      <c r="AJ674" s="1"/>
      <c r="AK674" s="1"/>
    </row>
    <row r="675" spans="1:37" x14ac:dyDescent="0.3">
      <c r="A675" s="14">
        <v>231</v>
      </c>
      <c r="B675" s="14">
        <v>3</v>
      </c>
      <c r="C675" s="9" t="s">
        <v>0</v>
      </c>
      <c r="D675" s="9" t="s">
        <v>411</v>
      </c>
      <c r="E675" s="9" t="s">
        <v>846</v>
      </c>
      <c r="F675" s="9" t="s">
        <v>847</v>
      </c>
      <c r="G675" s="9">
        <v>1</v>
      </c>
      <c r="H675" s="9"/>
      <c r="I675" s="9" t="s">
        <v>118</v>
      </c>
      <c r="J675" s="9"/>
      <c r="K675" s="9" t="b">
        <v>1</v>
      </c>
      <c r="L675" s="9" t="s">
        <v>238</v>
      </c>
      <c r="M675" s="9" t="b">
        <v>0</v>
      </c>
      <c r="N675" s="9" t="s">
        <v>848</v>
      </c>
      <c r="O675" s="9" t="s">
        <v>3407</v>
      </c>
      <c r="P675" s="7">
        <v>1030</v>
      </c>
      <c r="Q675" s="7">
        <v>604</v>
      </c>
      <c r="R675" s="7">
        <v>396</v>
      </c>
      <c r="S675" s="7">
        <v>118</v>
      </c>
      <c r="T675" s="8">
        <v>5.7</v>
      </c>
      <c r="U675" s="8">
        <v>1.6</v>
      </c>
      <c r="V675" s="17">
        <v>1.6</v>
      </c>
      <c r="AD675" s="1"/>
      <c r="AE675" s="3"/>
      <c r="AF675" s="2"/>
      <c r="AG675" s="3"/>
      <c r="AH675" s="3"/>
      <c r="AI675" s="3"/>
      <c r="AJ675" s="1"/>
      <c r="AK675" s="1"/>
    </row>
    <row r="676" spans="1:37" x14ac:dyDescent="0.3">
      <c r="A676" s="14">
        <v>466</v>
      </c>
      <c r="B676" s="14">
        <v>2</v>
      </c>
      <c r="C676" s="9" t="s">
        <v>0</v>
      </c>
      <c r="D676" s="9" t="s">
        <v>1457</v>
      </c>
      <c r="E676" s="9" t="s">
        <v>1614</v>
      </c>
      <c r="F676" s="9" t="s">
        <v>1615</v>
      </c>
      <c r="G676" s="9">
        <v>1</v>
      </c>
      <c r="H676" s="9"/>
      <c r="I676" s="9" t="s">
        <v>46</v>
      </c>
      <c r="J676" s="9">
        <v>1</v>
      </c>
      <c r="K676" s="9" t="b">
        <v>0</v>
      </c>
      <c r="L676" s="9" t="s">
        <v>1556</v>
      </c>
      <c r="M676" s="9" t="b">
        <v>0</v>
      </c>
      <c r="N676" s="9" t="s">
        <v>1616</v>
      </c>
      <c r="O676" s="9" t="s">
        <v>3641</v>
      </c>
      <c r="P676" s="7">
        <v>1314</v>
      </c>
      <c r="Q676" s="7">
        <v>873</v>
      </c>
      <c r="R676" s="7">
        <v>504</v>
      </c>
      <c r="S676" s="7">
        <v>151</v>
      </c>
      <c r="T676" s="8">
        <v>5</v>
      </c>
      <c r="U676" s="8">
        <v>1.6</v>
      </c>
      <c r="V676" s="17">
        <v>1.6</v>
      </c>
      <c r="AD676" s="1"/>
      <c r="AE676" s="3"/>
      <c r="AF676" s="2"/>
      <c r="AG676" s="2"/>
      <c r="AH676" s="3"/>
      <c r="AI676" s="3"/>
      <c r="AJ676" s="1"/>
      <c r="AK676" s="1"/>
    </row>
    <row r="677" spans="1:37" x14ac:dyDescent="0.3">
      <c r="A677" s="14">
        <v>327</v>
      </c>
      <c r="B677" s="14">
        <v>1</v>
      </c>
      <c r="C677" s="9" t="s">
        <v>0</v>
      </c>
      <c r="D677" s="9" t="s">
        <v>1077</v>
      </c>
      <c r="E677" s="9" t="s">
        <v>1160</v>
      </c>
      <c r="F677" s="9" t="s">
        <v>1161</v>
      </c>
      <c r="G677" s="9">
        <v>1</v>
      </c>
      <c r="H677" s="9"/>
      <c r="I677" s="9" t="s">
        <v>572</v>
      </c>
      <c r="J677" s="9"/>
      <c r="K677" s="9" t="b">
        <v>1</v>
      </c>
      <c r="L677" s="9" t="s">
        <v>7</v>
      </c>
      <c r="M677" s="9" t="b">
        <v>0</v>
      </c>
      <c r="N677" s="9" t="s">
        <v>1162</v>
      </c>
      <c r="O677" s="9" t="s">
        <v>3503</v>
      </c>
      <c r="P677" s="7">
        <v>1390</v>
      </c>
      <c r="Q677" s="7">
        <v>1032</v>
      </c>
      <c r="R677" s="7">
        <v>601</v>
      </c>
      <c r="S677" s="7">
        <v>155</v>
      </c>
      <c r="T677" s="8">
        <v>5.0999999999999996</v>
      </c>
      <c r="U677" s="8">
        <v>1.6</v>
      </c>
      <c r="V677" s="17">
        <v>1.6</v>
      </c>
      <c r="AD677" s="1"/>
      <c r="AE677" s="3"/>
      <c r="AF677" s="2"/>
      <c r="AG677" s="3"/>
      <c r="AH677" s="3"/>
      <c r="AI677" s="3"/>
      <c r="AJ677" s="1"/>
      <c r="AK677" s="1"/>
    </row>
    <row r="678" spans="1:37" x14ac:dyDescent="0.3">
      <c r="A678" s="14">
        <v>397</v>
      </c>
      <c r="B678" s="14">
        <v>4</v>
      </c>
      <c r="C678" s="9" t="s">
        <v>0</v>
      </c>
      <c r="D678" s="9" t="s">
        <v>1338</v>
      </c>
      <c r="E678" s="9" t="s">
        <v>1385</v>
      </c>
      <c r="F678" s="9" t="s">
        <v>1386</v>
      </c>
      <c r="G678" s="9">
        <v>1</v>
      </c>
      <c r="H678" s="9" t="s">
        <v>1377</v>
      </c>
      <c r="I678" s="9"/>
      <c r="J678" s="9">
        <v>2</v>
      </c>
      <c r="K678" s="9" t="b">
        <v>0</v>
      </c>
      <c r="L678" s="9" t="s">
        <v>437</v>
      </c>
      <c r="M678" s="9" t="b">
        <v>0</v>
      </c>
      <c r="N678" s="9" t="s">
        <v>1387</v>
      </c>
      <c r="O678" s="9" t="s">
        <v>3573</v>
      </c>
      <c r="P678" s="7">
        <v>404</v>
      </c>
      <c r="Q678" s="7">
        <v>233</v>
      </c>
      <c r="R678" s="7">
        <v>161</v>
      </c>
      <c r="S678" s="7">
        <v>46</v>
      </c>
      <c r="T678" s="8">
        <v>5</v>
      </c>
      <c r="U678" s="8">
        <v>1.6</v>
      </c>
      <c r="V678" s="17">
        <v>1.6</v>
      </c>
      <c r="AD678" s="1"/>
      <c r="AE678" s="3"/>
      <c r="AF678" s="3"/>
      <c r="AG678" s="3"/>
      <c r="AH678" s="3"/>
      <c r="AI678" s="3"/>
      <c r="AJ678" s="1"/>
      <c r="AK678" s="1"/>
    </row>
    <row r="679" spans="1:37" x14ac:dyDescent="0.3">
      <c r="A679" s="14">
        <v>609</v>
      </c>
      <c r="B679" s="14">
        <v>3</v>
      </c>
      <c r="C679" s="9" t="s">
        <v>1659</v>
      </c>
      <c r="D679" s="9" t="s">
        <v>411</v>
      </c>
      <c r="E679" s="9" t="s">
        <v>2055</v>
      </c>
      <c r="F679" s="9" t="s">
        <v>2056</v>
      </c>
      <c r="G679" s="9">
        <v>3</v>
      </c>
      <c r="H679" s="9"/>
      <c r="I679" s="9"/>
      <c r="J679" s="9"/>
      <c r="K679" s="9" t="b">
        <v>0</v>
      </c>
      <c r="L679" s="9" t="s">
        <v>437</v>
      </c>
      <c r="M679" s="9" t="b">
        <v>0</v>
      </c>
      <c r="N679" s="9" t="s">
        <v>2057</v>
      </c>
      <c r="O679" s="9" t="s">
        <v>3784</v>
      </c>
      <c r="P679" s="7">
        <v>972</v>
      </c>
      <c r="Q679" s="7">
        <v>725</v>
      </c>
      <c r="R679" s="7">
        <v>388</v>
      </c>
      <c r="S679" s="7">
        <v>101</v>
      </c>
      <c r="T679" s="8">
        <v>4.5999999999999996</v>
      </c>
      <c r="U679" s="8">
        <v>1.5</v>
      </c>
      <c r="V679" s="17">
        <v>1.5</v>
      </c>
      <c r="AD679" s="1"/>
      <c r="AE679" s="3"/>
      <c r="AF679" s="3"/>
      <c r="AG679" s="3"/>
      <c r="AH679" s="3"/>
      <c r="AI679" s="3"/>
      <c r="AJ679" s="1"/>
      <c r="AK679" s="1"/>
    </row>
    <row r="680" spans="1:37" x14ac:dyDescent="0.3">
      <c r="A680" s="14">
        <v>617</v>
      </c>
      <c r="B680" s="14">
        <v>3</v>
      </c>
      <c r="C680" s="9" t="s">
        <v>1659</v>
      </c>
      <c r="D680" s="9" t="s">
        <v>411</v>
      </c>
      <c r="E680" s="9" t="s">
        <v>2080</v>
      </c>
      <c r="F680" s="9" t="s">
        <v>2081</v>
      </c>
      <c r="G680" s="9">
        <v>1</v>
      </c>
      <c r="H680" s="9"/>
      <c r="I680" s="9"/>
      <c r="J680" s="9"/>
      <c r="K680" s="9" t="b">
        <v>0</v>
      </c>
      <c r="L680" s="9" t="s">
        <v>2083</v>
      </c>
      <c r="M680" s="9" t="b">
        <v>0</v>
      </c>
      <c r="N680" s="9" t="s">
        <v>2082</v>
      </c>
      <c r="O680" s="9" t="s">
        <v>3792</v>
      </c>
      <c r="P680" s="7">
        <v>867</v>
      </c>
      <c r="Q680" s="7">
        <v>475</v>
      </c>
      <c r="R680" s="7">
        <v>235</v>
      </c>
      <c r="S680" s="7">
        <v>88</v>
      </c>
      <c r="T680" s="8">
        <v>5.5</v>
      </c>
      <c r="U680" s="8">
        <v>1.5</v>
      </c>
      <c r="V680" s="17">
        <v>1.5</v>
      </c>
      <c r="AD680" s="1"/>
      <c r="AE680" s="3"/>
      <c r="AF680" s="3"/>
      <c r="AG680" s="3"/>
      <c r="AH680" s="3"/>
      <c r="AI680" s="3"/>
      <c r="AJ680" s="1"/>
      <c r="AK680" s="1"/>
    </row>
    <row r="681" spans="1:37" x14ac:dyDescent="0.3">
      <c r="A681" s="14">
        <v>483</v>
      </c>
      <c r="B681" s="14">
        <v>1</v>
      </c>
      <c r="C681" s="9" t="s">
        <v>1659</v>
      </c>
      <c r="D681" s="9" t="s">
        <v>1</v>
      </c>
      <c r="E681" s="9" t="s">
        <v>1669</v>
      </c>
      <c r="F681" s="9" t="s">
        <v>1670</v>
      </c>
      <c r="G681" s="9">
        <v>4</v>
      </c>
      <c r="H681" s="9"/>
      <c r="I681" s="9"/>
      <c r="J681" s="9"/>
      <c r="K681" s="9" t="b">
        <v>0</v>
      </c>
      <c r="L681" s="9" t="s">
        <v>7</v>
      </c>
      <c r="M681" s="9" t="b">
        <v>0</v>
      </c>
      <c r="N681" s="9" t="s">
        <v>1671</v>
      </c>
      <c r="O681" s="9" t="s">
        <v>3658</v>
      </c>
      <c r="P681" s="7">
        <v>1316</v>
      </c>
      <c r="Q681" s="7">
        <v>847</v>
      </c>
      <c r="R681" s="7">
        <v>480</v>
      </c>
      <c r="S681" s="7">
        <v>139</v>
      </c>
      <c r="T681" s="8">
        <v>5.5</v>
      </c>
      <c r="U681" s="8">
        <v>1.5</v>
      </c>
      <c r="V681" s="17">
        <v>1.5</v>
      </c>
      <c r="AD681" s="1"/>
      <c r="AE681" s="3"/>
      <c r="AF681" s="2"/>
      <c r="AG681" s="2"/>
      <c r="AH681" s="3"/>
      <c r="AI681" s="3"/>
      <c r="AJ681" s="1"/>
      <c r="AK681" s="1"/>
    </row>
    <row r="682" spans="1:37" x14ac:dyDescent="0.3">
      <c r="A682" s="14">
        <v>484</v>
      </c>
      <c r="B682" s="14">
        <v>1</v>
      </c>
      <c r="C682" s="9" t="s">
        <v>1659</v>
      </c>
      <c r="D682" s="9" t="s">
        <v>1</v>
      </c>
      <c r="E682" s="9" t="s">
        <v>1672</v>
      </c>
      <c r="F682" s="9" t="s">
        <v>1673</v>
      </c>
      <c r="G682" s="9">
        <v>3</v>
      </c>
      <c r="H682" s="9"/>
      <c r="I682" s="9"/>
      <c r="J682" s="9"/>
      <c r="K682" s="9" t="b">
        <v>0</v>
      </c>
      <c r="L682" s="9" t="s">
        <v>7</v>
      </c>
      <c r="M682" s="9" t="b">
        <v>0</v>
      </c>
      <c r="N682" s="9" t="s">
        <v>1674</v>
      </c>
      <c r="O682" s="9" t="s">
        <v>3659</v>
      </c>
      <c r="P682" s="7">
        <v>1303</v>
      </c>
      <c r="Q682" s="7">
        <v>981</v>
      </c>
      <c r="R682" s="7">
        <v>675</v>
      </c>
      <c r="S682" s="7">
        <v>135</v>
      </c>
      <c r="T682" s="8">
        <v>4.8</v>
      </c>
      <c r="U682" s="8">
        <v>1.5</v>
      </c>
      <c r="V682" s="17">
        <v>1.5</v>
      </c>
      <c r="AD682" s="1"/>
      <c r="AE682" s="3"/>
      <c r="AF682" s="2"/>
      <c r="AG682" s="2"/>
      <c r="AH682" s="3"/>
      <c r="AI682" s="3"/>
      <c r="AJ682" s="1"/>
      <c r="AK682" s="1"/>
    </row>
    <row r="683" spans="1:37" x14ac:dyDescent="0.3">
      <c r="A683" s="14">
        <v>874</v>
      </c>
      <c r="B683" s="14">
        <v>4</v>
      </c>
      <c r="C683" s="9" t="s">
        <v>1659</v>
      </c>
      <c r="D683" s="9" t="s">
        <v>1338</v>
      </c>
      <c r="E683" s="9" t="s">
        <v>2866</v>
      </c>
      <c r="F683" s="9" t="s">
        <v>2867</v>
      </c>
      <c r="G683" s="9">
        <v>1</v>
      </c>
      <c r="H683" s="9"/>
      <c r="I683" s="9"/>
      <c r="J683" s="9"/>
      <c r="K683" s="9" t="b">
        <v>0</v>
      </c>
      <c r="L683" s="9" t="s">
        <v>2869</v>
      </c>
      <c r="M683" s="9" t="b">
        <v>0</v>
      </c>
      <c r="N683" s="9" t="s">
        <v>2868</v>
      </c>
      <c r="O683" s="9" t="s">
        <v>4049</v>
      </c>
      <c r="P683" s="7">
        <v>28</v>
      </c>
      <c r="Q683" s="7">
        <v>24</v>
      </c>
      <c r="R683" s="7">
        <v>22</v>
      </c>
      <c r="S683" s="7">
        <v>3</v>
      </c>
      <c r="T683" s="8">
        <v>4</v>
      </c>
      <c r="U683" s="18">
        <v>1.5</v>
      </c>
      <c r="V683" s="19">
        <v>1.5</v>
      </c>
      <c r="W683" s="21" t="s">
        <v>4144</v>
      </c>
      <c r="AD683" s="1"/>
      <c r="AE683" s="3"/>
      <c r="AF683" s="2"/>
      <c r="AG683" s="2"/>
      <c r="AH683" s="2"/>
      <c r="AI683" s="3"/>
      <c r="AJ683" s="1"/>
      <c r="AK683" s="1"/>
    </row>
    <row r="684" spans="1:37" x14ac:dyDescent="0.3">
      <c r="A684" s="14">
        <v>895</v>
      </c>
      <c r="B684" s="14">
        <v>4</v>
      </c>
      <c r="C684" s="9" t="s">
        <v>1659</v>
      </c>
      <c r="D684" s="9" t="s">
        <v>1394</v>
      </c>
      <c r="E684" s="9" t="s">
        <v>2932</v>
      </c>
      <c r="F684" s="9" t="s">
        <v>2933</v>
      </c>
      <c r="G684" s="9">
        <v>1</v>
      </c>
      <c r="H684" s="9"/>
      <c r="I684" s="9"/>
      <c r="J684" s="9"/>
      <c r="K684" s="9" t="b">
        <v>0</v>
      </c>
      <c r="L684" s="9"/>
      <c r="M684" s="9" t="b">
        <v>0</v>
      </c>
      <c r="N684" s="9" t="s">
        <v>2934</v>
      </c>
      <c r="O684" s="9" t="s">
        <v>4069</v>
      </c>
      <c r="P684" s="7">
        <v>814</v>
      </c>
      <c r="Q684" s="7">
        <v>591</v>
      </c>
      <c r="R684" s="7">
        <v>365</v>
      </c>
      <c r="S684" s="7">
        <v>87</v>
      </c>
      <c r="T684" s="8">
        <v>4.7</v>
      </c>
      <c r="U684" s="8">
        <v>1.5</v>
      </c>
      <c r="V684" s="17">
        <v>1.5</v>
      </c>
      <c r="AD684" s="1"/>
      <c r="AE684" s="3"/>
      <c r="AF684" s="2"/>
      <c r="AG684" s="2"/>
      <c r="AH684" s="2"/>
      <c r="AI684" s="3"/>
      <c r="AJ684" s="1"/>
      <c r="AK684" s="1"/>
    </row>
    <row r="685" spans="1:37" x14ac:dyDescent="0.3">
      <c r="A685" s="14">
        <v>495</v>
      </c>
      <c r="B685" s="14">
        <v>1</v>
      </c>
      <c r="C685" s="9" t="s">
        <v>1659</v>
      </c>
      <c r="D685" s="9" t="s">
        <v>1</v>
      </c>
      <c r="E685" s="9" t="s">
        <v>1705</v>
      </c>
      <c r="F685" s="9" t="s">
        <v>1706</v>
      </c>
      <c r="G685" s="9">
        <v>4</v>
      </c>
      <c r="H685" s="9"/>
      <c r="I685" s="9"/>
      <c r="J685" s="9"/>
      <c r="K685" s="9" t="b">
        <v>0</v>
      </c>
      <c r="L685" s="9" t="s">
        <v>7</v>
      </c>
      <c r="M685" s="9" t="b">
        <v>0</v>
      </c>
      <c r="N685" s="9" t="s">
        <v>1707</v>
      </c>
      <c r="O685" s="9" t="s">
        <v>3670</v>
      </c>
      <c r="P685" s="7">
        <v>1401</v>
      </c>
      <c r="Q685" s="7">
        <v>1065</v>
      </c>
      <c r="R685" s="7">
        <v>541</v>
      </c>
      <c r="S685" s="7">
        <v>148</v>
      </c>
      <c r="T685" s="8">
        <v>5.5</v>
      </c>
      <c r="U685" s="8">
        <v>1.5</v>
      </c>
      <c r="V685" s="17">
        <v>1.5</v>
      </c>
      <c r="AD685" s="1"/>
      <c r="AE685" s="3"/>
      <c r="AF685" s="2"/>
      <c r="AG685" s="3"/>
      <c r="AH685" s="3"/>
      <c r="AI685" s="3"/>
      <c r="AJ685" s="1"/>
      <c r="AK685" s="1"/>
    </row>
    <row r="686" spans="1:37" x14ac:dyDescent="0.3">
      <c r="A686" s="14">
        <v>647</v>
      </c>
      <c r="B686" s="14">
        <v>3</v>
      </c>
      <c r="C686" s="9" t="s">
        <v>1659</v>
      </c>
      <c r="D686" s="9" t="s">
        <v>411</v>
      </c>
      <c r="E686" s="9" t="s">
        <v>2173</v>
      </c>
      <c r="F686" s="9" t="s">
        <v>2174</v>
      </c>
      <c r="G686" s="9">
        <v>1</v>
      </c>
      <c r="H686" s="9"/>
      <c r="I686" s="9"/>
      <c r="J686" s="9"/>
      <c r="K686" s="9" t="b">
        <v>0</v>
      </c>
      <c r="L686" s="9" t="s">
        <v>2176</v>
      </c>
      <c r="M686" s="9" t="b">
        <v>0</v>
      </c>
      <c r="N686" s="9" t="s">
        <v>2175</v>
      </c>
      <c r="O686" s="9" t="s">
        <v>3822</v>
      </c>
      <c r="P686" s="7">
        <v>988</v>
      </c>
      <c r="Q686" s="7">
        <v>790</v>
      </c>
      <c r="R686" s="7">
        <v>473</v>
      </c>
      <c r="S686" s="7">
        <v>104</v>
      </c>
      <c r="T686" s="8">
        <v>4.5999999999999996</v>
      </c>
      <c r="U686" s="8">
        <v>1.5</v>
      </c>
      <c r="V686" s="17">
        <v>1.5</v>
      </c>
      <c r="AD686" s="1"/>
      <c r="AE686" s="3"/>
      <c r="AF686" s="3"/>
      <c r="AG686" s="3"/>
      <c r="AH686" s="3"/>
      <c r="AI686" s="3"/>
      <c r="AJ686" s="1"/>
      <c r="AK686" s="1"/>
    </row>
    <row r="687" spans="1:37" x14ac:dyDescent="0.3">
      <c r="A687" s="14">
        <v>499</v>
      </c>
      <c r="B687" s="14">
        <v>1</v>
      </c>
      <c r="C687" s="9" t="s">
        <v>1659</v>
      </c>
      <c r="D687" s="9" t="s">
        <v>1</v>
      </c>
      <c r="E687" s="9" t="s">
        <v>1717</v>
      </c>
      <c r="F687" s="9" t="s">
        <v>1718</v>
      </c>
      <c r="G687" s="9">
        <v>4</v>
      </c>
      <c r="H687" s="9"/>
      <c r="I687" s="9"/>
      <c r="J687" s="9"/>
      <c r="K687" s="9" t="b">
        <v>0</v>
      </c>
      <c r="L687" s="9" t="s">
        <v>7</v>
      </c>
      <c r="M687" s="9" t="b">
        <v>0</v>
      </c>
      <c r="N687" s="9" t="s">
        <v>1719</v>
      </c>
      <c r="O687" s="9" t="s">
        <v>3674</v>
      </c>
      <c r="P687" s="7">
        <v>1316</v>
      </c>
      <c r="Q687" s="7">
        <v>1080</v>
      </c>
      <c r="R687" s="7">
        <v>710</v>
      </c>
      <c r="S687" s="7">
        <v>136</v>
      </c>
      <c r="T687" s="8">
        <v>4.2</v>
      </c>
      <c r="U687" s="8">
        <v>1.5</v>
      </c>
      <c r="V687" s="17">
        <v>1.5</v>
      </c>
      <c r="AD687" s="1"/>
      <c r="AE687" s="3"/>
      <c r="AF687" s="2"/>
      <c r="AG687" s="2"/>
      <c r="AH687" s="3"/>
      <c r="AI687" s="3"/>
      <c r="AJ687" s="1"/>
      <c r="AK687" s="1"/>
    </row>
    <row r="688" spans="1:37" x14ac:dyDescent="0.3">
      <c r="A688" s="14">
        <v>660</v>
      </c>
      <c r="B688" s="14">
        <v>3</v>
      </c>
      <c r="C688" s="9" t="s">
        <v>1659</v>
      </c>
      <c r="D688" s="9" t="s">
        <v>411</v>
      </c>
      <c r="E688" s="9" t="s">
        <v>2215</v>
      </c>
      <c r="F688" s="9" t="s">
        <v>2216</v>
      </c>
      <c r="G688" s="9">
        <v>4</v>
      </c>
      <c r="H688" s="9"/>
      <c r="I688" s="9"/>
      <c r="J688" s="9"/>
      <c r="K688" s="9" t="b">
        <v>0</v>
      </c>
      <c r="L688" s="9" t="s">
        <v>416</v>
      </c>
      <c r="M688" s="9" t="b">
        <v>0</v>
      </c>
      <c r="N688" s="9" t="s">
        <v>2217</v>
      </c>
      <c r="O688" s="9" t="s">
        <v>3835</v>
      </c>
      <c r="P688" s="7">
        <v>857</v>
      </c>
      <c r="Q688" s="7">
        <v>657</v>
      </c>
      <c r="R688" s="7">
        <v>471</v>
      </c>
      <c r="S688" s="7">
        <v>88</v>
      </c>
      <c r="T688" s="8">
        <v>4.5999999999999996</v>
      </c>
      <c r="U688" s="8">
        <v>1.5</v>
      </c>
      <c r="V688" s="17">
        <v>1.5</v>
      </c>
      <c r="AD688" s="1"/>
      <c r="AE688" s="3"/>
      <c r="AF688" s="3"/>
      <c r="AG688" s="3"/>
      <c r="AH688" s="3"/>
      <c r="AI688" s="3"/>
      <c r="AJ688" s="1"/>
      <c r="AK688" s="1"/>
    </row>
    <row r="689" spans="1:37" x14ac:dyDescent="0.3">
      <c r="A689" s="14">
        <v>935</v>
      </c>
      <c r="B689" s="14">
        <v>2</v>
      </c>
      <c r="C689" s="9" t="s">
        <v>1659</v>
      </c>
      <c r="D689" s="9" t="s">
        <v>1457</v>
      </c>
      <c r="E689" s="9" t="s">
        <v>3052</v>
      </c>
      <c r="F689" s="9" t="s">
        <v>3053</v>
      </c>
      <c r="G689" s="9">
        <v>3</v>
      </c>
      <c r="H689" s="9"/>
      <c r="I689" s="9"/>
      <c r="J689" s="9"/>
      <c r="K689" s="9" t="b">
        <v>0</v>
      </c>
      <c r="L689" s="9" t="s">
        <v>286</v>
      </c>
      <c r="M689" s="9" t="b">
        <v>0</v>
      </c>
      <c r="N689" s="9" t="s">
        <v>3054</v>
      </c>
      <c r="O689" s="9" t="s">
        <v>4107</v>
      </c>
      <c r="P689" s="7">
        <v>1316</v>
      </c>
      <c r="Q689" s="7">
        <v>805</v>
      </c>
      <c r="R689" s="7">
        <v>442</v>
      </c>
      <c r="S689" s="7">
        <v>136</v>
      </c>
      <c r="T689" s="8">
        <v>5.5</v>
      </c>
      <c r="U689" s="8">
        <v>1.5</v>
      </c>
      <c r="V689" s="17">
        <v>1.5</v>
      </c>
      <c r="AD689" s="1"/>
      <c r="AE689" s="3"/>
      <c r="AF689" s="2"/>
      <c r="AG689" s="2"/>
      <c r="AH689" s="3"/>
      <c r="AI689" s="3"/>
      <c r="AJ689" s="1"/>
      <c r="AK689" s="1"/>
    </row>
    <row r="690" spans="1:37" x14ac:dyDescent="0.3">
      <c r="A690" s="14">
        <v>809</v>
      </c>
      <c r="B690" s="14">
        <v>1</v>
      </c>
      <c r="C690" s="9" t="s">
        <v>1659</v>
      </c>
      <c r="D690" s="9" t="s">
        <v>1077</v>
      </c>
      <c r="E690" s="9" t="s">
        <v>2671</v>
      </c>
      <c r="F690" s="9" t="s">
        <v>2672</v>
      </c>
      <c r="G690" s="9">
        <v>3</v>
      </c>
      <c r="H690" s="9"/>
      <c r="I690" s="9"/>
      <c r="J690" s="9"/>
      <c r="K690" s="9" t="b">
        <v>0</v>
      </c>
      <c r="L690" s="9" t="s">
        <v>7</v>
      </c>
      <c r="M690" s="9" t="b">
        <v>1</v>
      </c>
      <c r="N690" s="9" t="s">
        <v>2673</v>
      </c>
      <c r="O690" s="9" t="s">
        <v>3984</v>
      </c>
      <c r="P690" s="7">
        <v>1349</v>
      </c>
      <c r="Q690" s="7">
        <v>923</v>
      </c>
      <c r="R690" s="7">
        <v>487</v>
      </c>
      <c r="S690" s="7">
        <v>137</v>
      </c>
      <c r="T690" s="8">
        <v>5.5</v>
      </c>
      <c r="U690" s="8">
        <v>1.5</v>
      </c>
      <c r="V690" s="17">
        <v>1.5</v>
      </c>
      <c r="AD690" s="1"/>
      <c r="AE690" s="3"/>
      <c r="AF690" s="2"/>
      <c r="AG690" s="2"/>
      <c r="AH690" s="2"/>
      <c r="AI690" s="3"/>
      <c r="AJ690" s="1"/>
      <c r="AK690" s="1"/>
    </row>
    <row r="691" spans="1:37" x14ac:dyDescent="0.3">
      <c r="A691" s="14">
        <v>693</v>
      </c>
      <c r="B691" s="14">
        <v>3</v>
      </c>
      <c r="C691" s="9" t="s">
        <v>1659</v>
      </c>
      <c r="D691" s="9" t="s">
        <v>411</v>
      </c>
      <c r="E691" s="9" t="s">
        <v>2318</v>
      </c>
      <c r="F691" s="9" t="s">
        <v>2319</v>
      </c>
      <c r="G691" s="9">
        <v>3</v>
      </c>
      <c r="H691" s="9"/>
      <c r="I691" s="9"/>
      <c r="J691" s="9"/>
      <c r="K691" s="9" t="b">
        <v>0</v>
      </c>
      <c r="L691" s="9" t="s">
        <v>931</v>
      </c>
      <c r="M691" s="9" t="b">
        <v>0</v>
      </c>
      <c r="N691" s="9" t="s">
        <v>2320</v>
      </c>
      <c r="O691" s="9" t="s">
        <v>3868</v>
      </c>
      <c r="P691" s="7">
        <v>1012</v>
      </c>
      <c r="Q691" s="7">
        <v>753</v>
      </c>
      <c r="R691" s="7">
        <v>387</v>
      </c>
      <c r="S691" s="7">
        <v>109</v>
      </c>
      <c r="T691" s="8">
        <v>5.4</v>
      </c>
      <c r="U691" s="8">
        <v>1.5</v>
      </c>
      <c r="V691" s="17">
        <v>1.5</v>
      </c>
      <c r="AD691" s="1"/>
      <c r="AE691" s="3"/>
      <c r="AF691" s="2"/>
      <c r="AG691" s="3"/>
      <c r="AH691" s="3"/>
      <c r="AI691" s="3"/>
      <c r="AJ691" s="1"/>
      <c r="AK691" s="1"/>
    </row>
    <row r="692" spans="1:37" x14ac:dyDescent="0.3">
      <c r="A692" s="14">
        <v>883</v>
      </c>
      <c r="B692" s="14">
        <v>4</v>
      </c>
      <c r="C692" s="9" t="s">
        <v>1659</v>
      </c>
      <c r="D692" s="9" t="s">
        <v>1338</v>
      </c>
      <c r="E692" s="9" t="s">
        <v>2895</v>
      </c>
      <c r="F692" s="9" t="s">
        <v>2896</v>
      </c>
      <c r="G692" s="9">
        <v>3</v>
      </c>
      <c r="H692" s="9"/>
      <c r="I692" s="9"/>
      <c r="J692" s="9"/>
      <c r="K692" s="9" t="b">
        <v>0</v>
      </c>
      <c r="L692" s="9" t="s">
        <v>437</v>
      </c>
      <c r="M692" s="9" t="b">
        <v>0</v>
      </c>
      <c r="N692" s="9" t="s">
        <v>2897</v>
      </c>
      <c r="O692" s="9" t="s">
        <v>4058</v>
      </c>
      <c r="P692" s="7">
        <v>100</v>
      </c>
      <c r="Q692" s="7">
        <v>56</v>
      </c>
      <c r="R692" s="7">
        <v>37</v>
      </c>
      <c r="S692" s="7">
        <v>13</v>
      </c>
      <c r="T692" s="8">
        <v>5.6</v>
      </c>
      <c r="U692" s="18">
        <v>1.9</v>
      </c>
      <c r="V692" s="19">
        <v>1.5</v>
      </c>
      <c r="W692" s="23" t="s">
        <v>4151</v>
      </c>
      <c r="AD692" s="1"/>
      <c r="AE692" s="3"/>
      <c r="AF692" s="2"/>
      <c r="AG692" s="2"/>
      <c r="AH692" s="3"/>
      <c r="AI692" s="3"/>
      <c r="AJ692" s="1"/>
      <c r="AK692" s="1"/>
    </row>
    <row r="693" spans="1:37" x14ac:dyDescent="0.3">
      <c r="A693" s="14">
        <v>578</v>
      </c>
      <c r="B693" s="14">
        <v>2</v>
      </c>
      <c r="C693" s="9" t="s">
        <v>1659</v>
      </c>
      <c r="D693" s="9" t="s">
        <v>180</v>
      </c>
      <c r="E693" s="9" t="s">
        <v>1957</v>
      </c>
      <c r="F693" s="9" t="s">
        <v>1958</v>
      </c>
      <c r="G693" s="9">
        <v>3</v>
      </c>
      <c r="H693" s="9"/>
      <c r="I693" s="9"/>
      <c r="J693" s="9"/>
      <c r="K693" s="9" t="b">
        <v>0</v>
      </c>
      <c r="L693" s="9" t="s">
        <v>238</v>
      </c>
      <c r="M693" s="9" t="b">
        <v>0</v>
      </c>
      <c r="N693" s="9" t="s">
        <v>1959</v>
      </c>
      <c r="O693" s="9" t="s">
        <v>3753</v>
      </c>
      <c r="P693" s="7">
        <v>1247</v>
      </c>
      <c r="Q693" s="7">
        <v>815</v>
      </c>
      <c r="R693" s="7">
        <v>414</v>
      </c>
      <c r="S693" s="7">
        <v>133</v>
      </c>
      <c r="T693" s="8">
        <v>5.3</v>
      </c>
      <c r="U693" s="8">
        <v>1.5</v>
      </c>
      <c r="V693" s="17">
        <v>1.5</v>
      </c>
      <c r="AD693" s="1"/>
      <c r="AE693" s="3"/>
      <c r="AF693" s="2"/>
      <c r="AG693" s="3"/>
      <c r="AH693" s="3"/>
      <c r="AI693" s="3"/>
      <c r="AJ693" s="1"/>
      <c r="AK693" s="1"/>
    </row>
    <row r="694" spans="1:37" x14ac:dyDescent="0.3">
      <c r="A694" s="14">
        <v>884</v>
      </c>
      <c r="B694" s="14">
        <v>4</v>
      </c>
      <c r="C694" s="9" t="s">
        <v>1659</v>
      </c>
      <c r="D694" s="9" t="s">
        <v>1338</v>
      </c>
      <c r="E694" s="9" t="s">
        <v>2898</v>
      </c>
      <c r="F694" s="9" t="s">
        <v>2899</v>
      </c>
      <c r="G694" s="9">
        <v>4</v>
      </c>
      <c r="H694" s="9"/>
      <c r="I694" s="9"/>
      <c r="J694" s="9"/>
      <c r="K694" s="9" t="b">
        <v>0</v>
      </c>
      <c r="L694" s="9" t="s">
        <v>2157</v>
      </c>
      <c r="M694" s="9" t="b">
        <v>0</v>
      </c>
      <c r="N694" s="9" t="s">
        <v>2900</v>
      </c>
      <c r="O694" s="9" t="s">
        <v>4059</v>
      </c>
      <c r="P694" s="7">
        <v>592</v>
      </c>
      <c r="Q694" s="7">
        <v>467</v>
      </c>
      <c r="R694" s="7">
        <v>339</v>
      </c>
      <c r="S694" s="7">
        <v>63</v>
      </c>
      <c r="T694" s="8">
        <v>4.5999999999999996</v>
      </c>
      <c r="U694" s="8">
        <v>1.5</v>
      </c>
      <c r="V694" s="17">
        <v>1.5</v>
      </c>
      <c r="AD694" s="1"/>
      <c r="AE694" s="3"/>
      <c r="AF694" s="2"/>
      <c r="AG694" s="2"/>
      <c r="AH694" s="3"/>
      <c r="AI694" s="3"/>
      <c r="AJ694" s="1"/>
      <c r="AK694" s="1"/>
    </row>
    <row r="695" spans="1:37" x14ac:dyDescent="0.3">
      <c r="A695" s="14">
        <v>710</v>
      </c>
      <c r="B695" s="14">
        <v>3</v>
      </c>
      <c r="C695" s="9" t="s">
        <v>1659</v>
      </c>
      <c r="D695" s="9" t="s">
        <v>411</v>
      </c>
      <c r="E695" s="9" t="s">
        <v>2369</v>
      </c>
      <c r="F695" s="9" t="s">
        <v>2370</v>
      </c>
      <c r="G695" s="9">
        <v>1</v>
      </c>
      <c r="H695" s="9"/>
      <c r="I695" s="9"/>
      <c r="J695" s="9"/>
      <c r="K695" s="9" t="b">
        <v>0</v>
      </c>
      <c r="L695" s="9" t="s">
        <v>286</v>
      </c>
      <c r="M695" s="9" t="b">
        <v>0</v>
      </c>
      <c r="N695" s="9" t="s">
        <v>2371</v>
      </c>
      <c r="O695" s="9" t="s">
        <v>3885</v>
      </c>
      <c r="P695" s="7">
        <v>1184</v>
      </c>
      <c r="Q695" s="7">
        <v>838</v>
      </c>
      <c r="R695" s="7">
        <v>426</v>
      </c>
      <c r="S695" s="7">
        <v>127</v>
      </c>
      <c r="T695" s="8">
        <v>5.3</v>
      </c>
      <c r="U695" s="8">
        <v>1.5</v>
      </c>
      <c r="V695" s="17">
        <v>1.5</v>
      </c>
      <c r="AD695" s="1"/>
      <c r="AE695" s="3"/>
      <c r="AF695" s="3"/>
      <c r="AG695" s="3"/>
      <c r="AH695" s="3"/>
      <c r="AI695" s="3"/>
      <c r="AJ695" s="1"/>
      <c r="AK695" s="1"/>
    </row>
    <row r="696" spans="1:37" x14ac:dyDescent="0.3">
      <c r="A696" s="14">
        <v>715</v>
      </c>
      <c r="B696" s="14">
        <v>3</v>
      </c>
      <c r="C696" s="9" t="s">
        <v>1659</v>
      </c>
      <c r="D696" s="9" t="s">
        <v>411</v>
      </c>
      <c r="E696" s="9" t="s">
        <v>2384</v>
      </c>
      <c r="F696" s="9" t="s">
        <v>2385</v>
      </c>
      <c r="G696" s="9">
        <v>4</v>
      </c>
      <c r="H696" s="9"/>
      <c r="I696" s="9"/>
      <c r="J696" s="9"/>
      <c r="K696" s="9" t="b">
        <v>0</v>
      </c>
      <c r="L696" s="9" t="s">
        <v>931</v>
      </c>
      <c r="M696" s="9" t="b">
        <v>0</v>
      </c>
      <c r="N696" s="9" t="s">
        <v>2386</v>
      </c>
      <c r="O696" s="9" t="s">
        <v>3890</v>
      </c>
      <c r="P696" s="7">
        <v>1004</v>
      </c>
      <c r="Q696" s="7">
        <v>501</v>
      </c>
      <c r="R696" s="7">
        <v>292</v>
      </c>
      <c r="S696" s="7">
        <v>106</v>
      </c>
      <c r="T696" s="8">
        <v>5.6</v>
      </c>
      <c r="U696" s="8">
        <v>1.5</v>
      </c>
      <c r="V696" s="17">
        <v>1.5</v>
      </c>
      <c r="AD696" s="1"/>
      <c r="AE696" s="3"/>
      <c r="AF696" s="3"/>
      <c r="AG696" s="3"/>
      <c r="AH696" s="3"/>
      <c r="AI696" s="3"/>
      <c r="AJ696" s="1"/>
      <c r="AK696" s="1"/>
    </row>
    <row r="697" spans="1:37" x14ac:dyDescent="0.3">
      <c r="A697" s="14">
        <v>745</v>
      </c>
      <c r="B697" s="14">
        <v>3</v>
      </c>
      <c r="C697" s="9" t="s">
        <v>1659</v>
      </c>
      <c r="D697" s="9" t="s">
        <v>411</v>
      </c>
      <c r="E697" s="9" t="s">
        <v>2477</v>
      </c>
      <c r="F697" s="9" t="s">
        <v>2478</v>
      </c>
      <c r="G697" s="9">
        <v>3</v>
      </c>
      <c r="H697" s="9"/>
      <c r="I697" s="9"/>
      <c r="J697" s="9"/>
      <c r="K697" s="9" t="b">
        <v>0</v>
      </c>
      <c r="L697" s="9" t="s">
        <v>185</v>
      </c>
      <c r="M697" s="9" t="b">
        <v>1</v>
      </c>
      <c r="N697" s="9" t="s">
        <v>2479</v>
      </c>
      <c r="O697" s="9" t="s">
        <v>3920</v>
      </c>
      <c r="P697" s="7">
        <v>880</v>
      </c>
      <c r="Q697" s="7">
        <v>677</v>
      </c>
      <c r="R697" s="7">
        <v>300</v>
      </c>
      <c r="S697" s="7">
        <v>91</v>
      </c>
      <c r="T697" s="8">
        <v>5.3</v>
      </c>
      <c r="U697" s="8">
        <v>1.5</v>
      </c>
      <c r="V697" s="17">
        <v>1.5</v>
      </c>
      <c r="AD697" s="1"/>
      <c r="AE697" s="3"/>
      <c r="AF697" s="2"/>
      <c r="AG697" s="3"/>
      <c r="AH697" s="3"/>
      <c r="AI697" s="3"/>
      <c r="AJ697" s="1"/>
      <c r="AK697" s="1"/>
    </row>
    <row r="698" spans="1:37" x14ac:dyDescent="0.3">
      <c r="A698" s="14">
        <v>747</v>
      </c>
      <c r="B698" s="14">
        <v>3</v>
      </c>
      <c r="C698" s="9" t="s">
        <v>1659</v>
      </c>
      <c r="D698" s="9" t="s">
        <v>411</v>
      </c>
      <c r="E698" s="9" t="s">
        <v>2483</v>
      </c>
      <c r="F698" s="9" t="s">
        <v>2484</v>
      </c>
      <c r="G698" s="9">
        <v>1</v>
      </c>
      <c r="H698" s="9"/>
      <c r="I698" s="9"/>
      <c r="J698" s="9"/>
      <c r="K698" s="9" t="b">
        <v>0</v>
      </c>
      <c r="L698" s="9" t="s">
        <v>420</v>
      </c>
      <c r="M698" s="9" t="b">
        <v>1</v>
      </c>
      <c r="N698" s="9" t="s">
        <v>2485</v>
      </c>
      <c r="O698" s="9" t="s">
        <v>3922</v>
      </c>
      <c r="P698" s="7">
        <v>1178</v>
      </c>
      <c r="Q698" s="7">
        <v>864</v>
      </c>
      <c r="R698" s="7">
        <v>447</v>
      </c>
      <c r="S698" s="7">
        <v>127</v>
      </c>
      <c r="T698" s="8">
        <v>5.2</v>
      </c>
      <c r="U698" s="8">
        <v>1.5</v>
      </c>
      <c r="V698" s="17">
        <v>1.5</v>
      </c>
      <c r="AD698" s="1"/>
      <c r="AE698" s="3"/>
      <c r="AF698" s="2"/>
      <c r="AG698" s="3"/>
      <c r="AH698" s="3"/>
      <c r="AI698" s="3"/>
      <c r="AJ698" s="1"/>
      <c r="AK698" s="1"/>
    </row>
    <row r="699" spans="1:37" x14ac:dyDescent="0.3">
      <c r="A699" s="14">
        <v>890</v>
      </c>
      <c r="B699" s="14">
        <v>4</v>
      </c>
      <c r="C699" s="9" t="s">
        <v>1659</v>
      </c>
      <c r="D699" s="9" t="s">
        <v>1338</v>
      </c>
      <c r="E699" s="9" t="s">
        <v>2916</v>
      </c>
      <c r="F699" s="9" t="s">
        <v>2917</v>
      </c>
      <c r="G699" s="9">
        <v>3</v>
      </c>
      <c r="H699" s="9"/>
      <c r="I699" s="9"/>
      <c r="J699" s="9"/>
      <c r="K699" s="9" t="b">
        <v>0</v>
      </c>
      <c r="L699" s="9" t="s">
        <v>437</v>
      </c>
      <c r="M699" s="9" t="b">
        <v>0</v>
      </c>
      <c r="N699" s="9" t="s">
        <v>2918</v>
      </c>
      <c r="O699" s="9" t="s">
        <v>4064</v>
      </c>
      <c r="P699" s="7">
        <v>7</v>
      </c>
      <c r="Q699" s="7">
        <v>4</v>
      </c>
      <c r="R699" s="7">
        <v>2</v>
      </c>
      <c r="S699" s="7">
        <v>0</v>
      </c>
      <c r="T699" s="8">
        <v>5.5</v>
      </c>
      <c r="U699" s="18">
        <v>0</v>
      </c>
      <c r="V699" s="19">
        <v>1.5</v>
      </c>
      <c r="W699" s="23" t="s">
        <v>4160</v>
      </c>
      <c r="AD699" s="1"/>
      <c r="AE699" s="3"/>
      <c r="AF699" s="2"/>
      <c r="AG699" s="3"/>
      <c r="AH699" s="3"/>
      <c r="AI699" s="3"/>
      <c r="AJ699" s="1"/>
      <c r="AK699" s="1"/>
    </row>
    <row r="700" spans="1:37" x14ac:dyDescent="0.3">
      <c r="A700" s="14">
        <v>866</v>
      </c>
      <c r="B700" s="14">
        <v>1</v>
      </c>
      <c r="C700" s="9" t="s">
        <v>1659</v>
      </c>
      <c r="D700" s="9" t="s">
        <v>1208</v>
      </c>
      <c r="E700" s="9" t="s">
        <v>2842</v>
      </c>
      <c r="F700" s="9" t="s">
        <v>2843</v>
      </c>
      <c r="G700" s="9">
        <v>3</v>
      </c>
      <c r="H700" s="9"/>
      <c r="I700" s="9"/>
      <c r="J700" s="9"/>
      <c r="K700" s="9" t="b">
        <v>0</v>
      </c>
      <c r="L700" s="9" t="s">
        <v>7</v>
      </c>
      <c r="M700" s="9" t="b">
        <v>1</v>
      </c>
      <c r="N700" s="9" t="s">
        <v>2844</v>
      </c>
      <c r="O700" s="9" t="s">
        <v>4041</v>
      </c>
      <c r="P700" s="7">
        <v>1366</v>
      </c>
      <c r="Q700" s="7">
        <v>955</v>
      </c>
      <c r="R700" s="7">
        <v>444</v>
      </c>
      <c r="S700" s="7">
        <v>148</v>
      </c>
      <c r="T700" s="8">
        <v>5.3</v>
      </c>
      <c r="U700" s="8">
        <v>1.5</v>
      </c>
      <c r="V700" s="17">
        <v>1.5</v>
      </c>
      <c r="AD700" s="1"/>
      <c r="AE700" s="3"/>
      <c r="AF700" s="2"/>
      <c r="AG700" s="3"/>
      <c r="AH700" s="3"/>
      <c r="AI700" s="3"/>
      <c r="AJ700" s="1"/>
      <c r="AK700" s="1"/>
    </row>
    <row r="701" spans="1:37" x14ac:dyDescent="0.3">
      <c r="A701" s="14">
        <v>600</v>
      </c>
      <c r="B701" s="14">
        <v>2</v>
      </c>
      <c r="C701" s="9" t="s">
        <v>1659</v>
      </c>
      <c r="D701" s="9" t="s">
        <v>180</v>
      </c>
      <c r="E701" s="9" t="s">
        <v>2027</v>
      </c>
      <c r="F701" s="9" t="s">
        <v>2028</v>
      </c>
      <c r="G701" s="9">
        <v>4</v>
      </c>
      <c r="H701" s="9"/>
      <c r="I701" s="9"/>
      <c r="J701" s="9"/>
      <c r="K701" s="9" t="b">
        <v>0</v>
      </c>
      <c r="L701" s="9" t="s">
        <v>275</v>
      </c>
      <c r="M701" s="9" t="b">
        <v>0</v>
      </c>
      <c r="N701" s="9" t="s">
        <v>2029</v>
      </c>
      <c r="O701" s="9" t="s">
        <v>3775</v>
      </c>
      <c r="P701" s="7">
        <v>1332</v>
      </c>
      <c r="Q701" s="7">
        <v>1044</v>
      </c>
      <c r="R701" s="7">
        <v>491</v>
      </c>
      <c r="S701" s="7">
        <v>139</v>
      </c>
      <c r="T701" s="8">
        <v>5</v>
      </c>
      <c r="U701" s="8">
        <v>1.5</v>
      </c>
      <c r="V701" s="17">
        <v>1.5</v>
      </c>
      <c r="AD701" s="1"/>
      <c r="AE701" s="3"/>
      <c r="AF701" s="2"/>
      <c r="AG701" s="3"/>
      <c r="AH701" s="3"/>
      <c r="AI701" s="3"/>
      <c r="AJ701" s="1"/>
      <c r="AK701" s="1"/>
    </row>
    <row r="702" spans="1:37" x14ac:dyDescent="0.3">
      <c r="A702" s="14">
        <v>779</v>
      </c>
      <c r="B702" s="14">
        <v>3</v>
      </c>
      <c r="C702" s="9" t="s">
        <v>1659</v>
      </c>
      <c r="D702" s="9" t="s">
        <v>411</v>
      </c>
      <c r="E702" s="9" t="s">
        <v>2581</v>
      </c>
      <c r="F702" s="9" t="s">
        <v>2582</v>
      </c>
      <c r="G702" s="9">
        <v>1</v>
      </c>
      <c r="H702" s="9"/>
      <c r="I702" s="9"/>
      <c r="J702" s="9"/>
      <c r="K702" s="9" t="b">
        <v>0</v>
      </c>
      <c r="L702" s="9" t="s">
        <v>416</v>
      </c>
      <c r="M702" s="9" t="b">
        <v>0</v>
      </c>
      <c r="N702" s="9" t="s">
        <v>2583</v>
      </c>
      <c r="O702" s="9" t="s">
        <v>3954</v>
      </c>
      <c r="P702" s="7">
        <v>987</v>
      </c>
      <c r="Q702" s="7">
        <v>746</v>
      </c>
      <c r="R702" s="7">
        <v>414</v>
      </c>
      <c r="S702" s="7">
        <v>103</v>
      </c>
      <c r="T702" s="8">
        <v>4.9000000000000004</v>
      </c>
      <c r="U702" s="8">
        <v>1.5</v>
      </c>
      <c r="V702" s="17">
        <v>1.5</v>
      </c>
      <c r="AD702" s="1"/>
      <c r="AE702" s="3"/>
      <c r="AF702" s="3"/>
      <c r="AG702" s="3"/>
      <c r="AH702" s="3"/>
      <c r="AI702" s="3"/>
      <c r="AJ702" s="1"/>
      <c r="AK702" s="1"/>
    </row>
    <row r="703" spans="1:37" x14ac:dyDescent="0.3">
      <c r="A703" s="14">
        <v>784</v>
      </c>
      <c r="B703" s="14">
        <v>3</v>
      </c>
      <c r="C703" s="9" t="s">
        <v>1659</v>
      </c>
      <c r="D703" s="9" t="s">
        <v>411</v>
      </c>
      <c r="E703" s="9" t="s">
        <v>2596</v>
      </c>
      <c r="F703" s="9" t="s">
        <v>2597</v>
      </c>
      <c r="G703" s="9">
        <v>1</v>
      </c>
      <c r="H703" s="9"/>
      <c r="I703" s="9"/>
      <c r="J703" s="9"/>
      <c r="K703" s="9" t="b">
        <v>0</v>
      </c>
      <c r="L703" s="9"/>
      <c r="M703" s="9" t="b">
        <v>0</v>
      </c>
      <c r="N703" s="9" t="s">
        <v>2598</v>
      </c>
      <c r="O703" s="9" t="s">
        <v>3959</v>
      </c>
      <c r="P703" s="7">
        <v>510</v>
      </c>
      <c r="Q703" s="7">
        <v>427</v>
      </c>
      <c r="R703" s="7">
        <v>390</v>
      </c>
      <c r="S703" s="7">
        <v>112</v>
      </c>
      <c r="T703" s="8">
        <v>4.0999999999999996</v>
      </c>
      <c r="U703" s="8">
        <v>3.1</v>
      </c>
      <c r="V703" s="19">
        <v>1.5</v>
      </c>
      <c r="W703" s="23" t="s">
        <v>4162</v>
      </c>
      <c r="AD703" s="1"/>
      <c r="AE703" s="3"/>
      <c r="AF703" s="2"/>
      <c r="AG703" s="2"/>
      <c r="AH703" s="3"/>
      <c r="AI703" s="3"/>
      <c r="AJ703" s="1"/>
      <c r="AK703" s="1"/>
    </row>
    <row r="704" spans="1:37" x14ac:dyDescent="0.3">
      <c r="A704" s="14">
        <v>56</v>
      </c>
      <c r="B704" s="14">
        <v>2</v>
      </c>
      <c r="C704" s="9" t="s">
        <v>0</v>
      </c>
      <c r="D704" s="9" t="s">
        <v>180</v>
      </c>
      <c r="E704" s="9" t="s">
        <v>202</v>
      </c>
      <c r="F704" s="9" t="s">
        <v>203</v>
      </c>
      <c r="G704" s="9">
        <v>1</v>
      </c>
      <c r="H704" s="9"/>
      <c r="I704" s="9"/>
      <c r="J704" s="9"/>
      <c r="K704" s="9" t="b">
        <v>0</v>
      </c>
      <c r="L704" s="9" t="s">
        <v>205</v>
      </c>
      <c r="M704" s="9" t="b">
        <v>0</v>
      </c>
      <c r="N704" s="9" t="s">
        <v>204</v>
      </c>
      <c r="O704" s="9" t="s">
        <v>3232</v>
      </c>
      <c r="P704" s="7">
        <v>1397</v>
      </c>
      <c r="Q704" s="7">
        <v>640</v>
      </c>
      <c r="R704" s="7">
        <v>467</v>
      </c>
      <c r="S704" s="7">
        <v>144</v>
      </c>
      <c r="T704" s="8">
        <v>5.7</v>
      </c>
      <c r="U704" s="8">
        <v>1.5</v>
      </c>
      <c r="V704" s="17">
        <v>1.5</v>
      </c>
      <c r="AD704" s="1"/>
      <c r="AE704" s="3"/>
      <c r="AF704" s="3"/>
      <c r="AG704" s="3"/>
      <c r="AH704" s="3"/>
      <c r="AI704" s="3"/>
      <c r="AJ704" s="1"/>
      <c r="AK704" s="1"/>
    </row>
    <row r="705" spans="1:37" x14ac:dyDescent="0.3">
      <c r="A705" s="14">
        <v>304</v>
      </c>
      <c r="B705" s="14">
        <v>1</v>
      </c>
      <c r="C705" s="9" t="s">
        <v>0</v>
      </c>
      <c r="D705" s="9" t="s">
        <v>1077</v>
      </c>
      <c r="E705" s="9" t="s">
        <v>1084</v>
      </c>
      <c r="F705" s="9" t="s">
        <v>1085</v>
      </c>
      <c r="G705" s="9">
        <v>1</v>
      </c>
      <c r="H705" s="9" t="s">
        <v>18</v>
      </c>
      <c r="I705" s="9" t="s">
        <v>67</v>
      </c>
      <c r="J705" s="9">
        <v>4</v>
      </c>
      <c r="K705" s="9" t="b">
        <v>0</v>
      </c>
      <c r="L705" s="9" t="s">
        <v>7</v>
      </c>
      <c r="M705" s="9" t="b">
        <v>0</v>
      </c>
      <c r="N705" s="9" t="s">
        <v>1086</v>
      </c>
      <c r="O705" s="9" t="s">
        <v>3480</v>
      </c>
      <c r="P705" s="7">
        <v>1333</v>
      </c>
      <c r="Q705" s="7">
        <v>858</v>
      </c>
      <c r="R705" s="7">
        <v>435</v>
      </c>
      <c r="S705" s="7">
        <v>143</v>
      </c>
      <c r="T705" s="8">
        <v>5.0999999999999996</v>
      </c>
      <c r="U705" s="8">
        <v>1.5</v>
      </c>
      <c r="V705" s="17">
        <v>1.5</v>
      </c>
      <c r="AD705" s="1"/>
      <c r="AE705" s="3"/>
      <c r="AF705" s="2"/>
      <c r="AG705" s="3"/>
      <c r="AH705" s="3"/>
      <c r="AI705" s="3"/>
      <c r="AJ705" s="1"/>
      <c r="AK705" s="1"/>
    </row>
    <row r="706" spans="1:37" x14ac:dyDescent="0.3">
      <c r="A706" s="14">
        <v>428</v>
      </c>
      <c r="B706" s="14">
        <v>2</v>
      </c>
      <c r="C706" s="9" t="s">
        <v>0</v>
      </c>
      <c r="D706" s="9" t="s">
        <v>1457</v>
      </c>
      <c r="E706" s="9" t="s">
        <v>1486</v>
      </c>
      <c r="F706" s="9" t="s">
        <v>1487</v>
      </c>
      <c r="G706" s="9">
        <v>1</v>
      </c>
      <c r="H706" s="9" t="s">
        <v>1488</v>
      </c>
      <c r="I706" s="9" t="s">
        <v>22</v>
      </c>
      <c r="J706" s="9"/>
      <c r="K706" s="9" t="b">
        <v>0</v>
      </c>
      <c r="L706" s="9" t="s">
        <v>1482</v>
      </c>
      <c r="M706" s="9" t="b">
        <v>0</v>
      </c>
      <c r="N706" s="9" t="s">
        <v>1489</v>
      </c>
      <c r="O706" s="9" t="s">
        <v>3603</v>
      </c>
      <c r="P706" s="7">
        <v>1383</v>
      </c>
      <c r="Q706" s="7">
        <v>902</v>
      </c>
      <c r="R706" s="7">
        <v>560</v>
      </c>
      <c r="S706" s="7">
        <v>141</v>
      </c>
      <c r="T706" s="8">
        <v>5.2</v>
      </c>
      <c r="U706" s="8">
        <v>1.5</v>
      </c>
      <c r="V706" s="17">
        <v>1.5</v>
      </c>
      <c r="AD706" s="1"/>
      <c r="AE706" s="3"/>
      <c r="AF706" s="2"/>
      <c r="AG706" s="2"/>
      <c r="AH706" s="2"/>
      <c r="AI706" s="3"/>
      <c r="AJ706" s="1"/>
      <c r="AK706" s="1"/>
    </row>
    <row r="707" spans="1:37" x14ac:dyDescent="0.3">
      <c r="A707" s="14">
        <v>10</v>
      </c>
      <c r="B707" s="14">
        <v>1</v>
      </c>
      <c r="C707" s="9" t="s">
        <v>0</v>
      </c>
      <c r="D707" s="9" t="s">
        <v>1</v>
      </c>
      <c r="E707" s="9" t="s">
        <v>37</v>
      </c>
      <c r="F707" s="9" t="s">
        <v>38</v>
      </c>
      <c r="G707" s="9">
        <v>1</v>
      </c>
      <c r="H707" s="9" t="s">
        <v>26</v>
      </c>
      <c r="I707" s="9" t="s">
        <v>5</v>
      </c>
      <c r="J707" s="9">
        <v>1</v>
      </c>
      <c r="K707" s="9" t="b">
        <v>0</v>
      </c>
      <c r="L707" s="9" t="s">
        <v>7</v>
      </c>
      <c r="M707" s="9" t="b">
        <v>0</v>
      </c>
      <c r="N707" s="9" t="s">
        <v>39</v>
      </c>
      <c r="O707" s="9" t="s">
        <v>3186</v>
      </c>
      <c r="P707" s="7">
        <v>1099</v>
      </c>
      <c r="Q707" s="7">
        <v>885</v>
      </c>
      <c r="R707" s="7">
        <v>575</v>
      </c>
      <c r="S707" s="7">
        <v>114</v>
      </c>
      <c r="T707" s="8">
        <v>4.4000000000000004</v>
      </c>
      <c r="U707" s="8">
        <v>1.5</v>
      </c>
      <c r="V707" s="17">
        <v>1.5</v>
      </c>
      <c r="AD707" s="1"/>
      <c r="AE707" s="3"/>
      <c r="AF707" s="2"/>
      <c r="AG707" s="2"/>
      <c r="AH707" s="2"/>
      <c r="AI707" s="3"/>
      <c r="AJ707" s="1"/>
      <c r="AK707" s="1"/>
    </row>
    <row r="708" spans="1:37" x14ac:dyDescent="0.3">
      <c r="A708" s="14">
        <v>165</v>
      </c>
      <c r="B708" s="14">
        <v>3</v>
      </c>
      <c r="C708" s="9" t="s">
        <v>0</v>
      </c>
      <c r="D708" s="9" t="s">
        <v>411</v>
      </c>
      <c r="E708" s="9" t="s">
        <v>622</v>
      </c>
      <c r="F708" s="9" t="s">
        <v>623</v>
      </c>
      <c r="G708" s="9">
        <v>1</v>
      </c>
      <c r="H708" s="9"/>
      <c r="I708" s="9" t="s">
        <v>624</v>
      </c>
      <c r="J708" s="9"/>
      <c r="K708" s="9" t="b">
        <v>0</v>
      </c>
      <c r="L708" s="9" t="s">
        <v>497</v>
      </c>
      <c r="M708" s="9" t="b">
        <v>1</v>
      </c>
      <c r="N708" s="9" t="s">
        <v>625</v>
      </c>
      <c r="O708" s="9" t="s">
        <v>3341</v>
      </c>
      <c r="P708" s="7">
        <v>964</v>
      </c>
      <c r="Q708" s="7">
        <v>721</v>
      </c>
      <c r="R708" s="7">
        <v>517</v>
      </c>
      <c r="S708" s="7">
        <v>98</v>
      </c>
      <c r="T708" s="8">
        <v>4.5</v>
      </c>
      <c r="U708" s="8">
        <v>1.5</v>
      </c>
      <c r="V708" s="17">
        <v>1.5</v>
      </c>
      <c r="AD708" s="1"/>
      <c r="AE708" s="3"/>
      <c r="AF708" s="2"/>
      <c r="AG708" s="2"/>
      <c r="AH708" s="3"/>
      <c r="AI708" s="3"/>
      <c r="AJ708" s="1"/>
      <c r="AK708" s="1"/>
    </row>
    <row r="709" spans="1:37" x14ac:dyDescent="0.3">
      <c r="A709" s="14">
        <v>207</v>
      </c>
      <c r="B709" s="14">
        <v>3</v>
      </c>
      <c r="C709" s="9" t="s">
        <v>0</v>
      </c>
      <c r="D709" s="9" t="s">
        <v>411</v>
      </c>
      <c r="E709" s="9" t="s">
        <v>766</v>
      </c>
      <c r="F709" s="9" t="s">
        <v>767</v>
      </c>
      <c r="G709" s="9">
        <v>1</v>
      </c>
      <c r="H709" s="9"/>
      <c r="I709" s="9" t="s">
        <v>77</v>
      </c>
      <c r="J709" s="9"/>
      <c r="K709" s="9" t="b">
        <v>0</v>
      </c>
      <c r="L709" s="9" t="s">
        <v>430</v>
      </c>
      <c r="M709" s="9" t="b">
        <v>0</v>
      </c>
      <c r="N709" s="9" t="s">
        <v>768</v>
      </c>
      <c r="O709" s="9" t="s">
        <v>3383</v>
      </c>
      <c r="P709" s="7">
        <v>1172</v>
      </c>
      <c r="Q709" s="7">
        <v>522</v>
      </c>
      <c r="R709" s="7">
        <v>367</v>
      </c>
      <c r="S709" s="7">
        <v>125</v>
      </c>
      <c r="T709" s="8">
        <v>5.3</v>
      </c>
      <c r="U709" s="8">
        <v>1.5</v>
      </c>
      <c r="V709" s="17">
        <v>1.5</v>
      </c>
      <c r="AD709" s="1"/>
      <c r="AE709" s="3"/>
      <c r="AF709" s="2"/>
      <c r="AG709" s="2"/>
      <c r="AH709" s="3"/>
      <c r="AI709" s="3"/>
      <c r="AJ709" s="1"/>
      <c r="AK709" s="1"/>
    </row>
    <row r="710" spans="1:37" x14ac:dyDescent="0.3">
      <c r="A710" s="14">
        <v>216</v>
      </c>
      <c r="B710" s="14">
        <v>3</v>
      </c>
      <c r="C710" s="9" t="s">
        <v>0</v>
      </c>
      <c r="D710" s="9" t="s">
        <v>411</v>
      </c>
      <c r="E710" s="9" t="s">
        <v>798</v>
      </c>
      <c r="F710" s="9" t="s">
        <v>799</v>
      </c>
      <c r="G710" s="9">
        <v>1</v>
      </c>
      <c r="H710" s="9"/>
      <c r="I710" s="9"/>
      <c r="J710" s="9"/>
      <c r="K710" s="9" t="b">
        <v>0</v>
      </c>
      <c r="L710" s="9" t="s">
        <v>292</v>
      </c>
      <c r="M710" s="9" t="b">
        <v>0</v>
      </c>
      <c r="N710" s="9" t="s">
        <v>800</v>
      </c>
      <c r="O710" s="9" t="s">
        <v>3392</v>
      </c>
      <c r="P710" s="7">
        <v>1237</v>
      </c>
      <c r="Q710" s="7">
        <v>735</v>
      </c>
      <c r="R710" s="7">
        <v>474</v>
      </c>
      <c r="S710" s="7">
        <v>129</v>
      </c>
      <c r="T710" s="8">
        <v>5</v>
      </c>
      <c r="U710" s="8">
        <v>1.5</v>
      </c>
      <c r="V710" s="17">
        <v>1.5</v>
      </c>
      <c r="AD710" s="1"/>
      <c r="AE710" s="3"/>
      <c r="AF710" s="2"/>
      <c r="AG710" s="2"/>
      <c r="AH710" s="3"/>
      <c r="AI710" s="3"/>
      <c r="AJ710" s="1"/>
      <c r="AK710" s="1"/>
    </row>
    <row r="711" spans="1:37" x14ac:dyDescent="0.3">
      <c r="A711" s="14">
        <v>89</v>
      </c>
      <c r="B711" s="14">
        <v>2</v>
      </c>
      <c r="C711" s="9" t="s">
        <v>0</v>
      </c>
      <c r="D711" s="9" t="s">
        <v>180</v>
      </c>
      <c r="E711" s="9" t="s">
        <v>336</v>
      </c>
      <c r="F711" s="9" t="s">
        <v>337</v>
      </c>
      <c r="G711" s="9">
        <v>1</v>
      </c>
      <c r="H711" s="9" t="s">
        <v>338</v>
      </c>
      <c r="I711" s="9"/>
      <c r="J711" s="9">
        <v>3</v>
      </c>
      <c r="K711" s="9" t="b">
        <v>0</v>
      </c>
      <c r="L711" s="9" t="s">
        <v>340</v>
      </c>
      <c r="M711" s="9" t="b">
        <v>1</v>
      </c>
      <c r="N711" s="9" t="s">
        <v>339</v>
      </c>
      <c r="O711" s="9" t="s">
        <v>3265</v>
      </c>
      <c r="P711" s="7">
        <v>1361</v>
      </c>
      <c r="Q711" s="7">
        <v>903</v>
      </c>
      <c r="R711" s="7">
        <v>454</v>
      </c>
      <c r="S711" s="7">
        <v>143</v>
      </c>
      <c r="T711" s="8">
        <v>5</v>
      </c>
      <c r="U711" s="8">
        <v>1.5</v>
      </c>
      <c r="V711" s="17">
        <v>1.5</v>
      </c>
      <c r="AD711" s="1"/>
      <c r="AE711" s="3"/>
      <c r="AF711" s="2"/>
      <c r="AG711" s="3"/>
      <c r="AH711" s="3"/>
      <c r="AI711" s="3"/>
      <c r="AJ711" s="1"/>
      <c r="AK711" s="1"/>
    </row>
    <row r="712" spans="1:37" x14ac:dyDescent="0.3">
      <c r="A712" s="14">
        <v>396</v>
      </c>
      <c r="B712" s="14">
        <v>4</v>
      </c>
      <c r="C712" s="9" t="s">
        <v>0</v>
      </c>
      <c r="D712" s="9" t="s">
        <v>1338</v>
      </c>
      <c r="E712" s="9" t="s">
        <v>1382</v>
      </c>
      <c r="F712" s="9" t="s">
        <v>1383</v>
      </c>
      <c r="G712" s="9">
        <v>1</v>
      </c>
      <c r="H712" s="9" t="s">
        <v>26</v>
      </c>
      <c r="I712" s="9" t="s">
        <v>22</v>
      </c>
      <c r="J712" s="9"/>
      <c r="K712" s="9" t="b">
        <v>0</v>
      </c>
      <c r="L712" s="9"/>
      <c r="M712" s="9" t="b">
        <v>0</v>
      </c>
      <c r="N712" s="9" t="s">
        <v>1384</v>
      </c>
      <c r="O712" s="9" t="s">
        <v>3572</v>
      </c>
      <c r="P712" s="7" t="e">
        <v>#N/A</v>
      </c>
      <c r="Q712" s="7" t="e">
        <v>#N/A</v>
      </c>
      <c r="R712" s="7" t="e">
        <v>#N/A</v>
      </c>
      <c r="S712" s="7" t="e">
        <v>#N/A</v>
      </c>
      <c r="T712" s="8" t="e">
        <v>#N/A</v>
      </c>
      <c r="U712" s="18" t="e">
        <v>#N/A</v>
      </c>
      <c r="V712" s="17">
        <v>1.5</v>
      </c>
      <c r="W712" s="23" t="s">
        <v>4185</v>
      </c>
      <c r="AD712" s="1"/>
      <c r="AE712" s="3"/>
      <c r="AF712" s="3"/>
      <c r="AG712" s="3"/>
      <c r="AH712" s="3"/>
      <c r="AI712" s="3"/>
      <c r="AJ712" s="1"/>
      <c r="AK712" s="1"/>
    </row>
    <row r="713" spans="1:37" x14ac:dyDescent="0.3">
      <c r="A713" s="14">
        <v>468</v>
      </c>
      <c r="B713" s="14">
        <v>2</v>
      </c>
      <c r="C713" s="9" t="s">
        <v>0</v>
      </c>
      <c r="D713" s="9" t="s">
        <v>1457</v>
      </c>
      <c r="E713" s="9" t="s">
        <v>1620</v>
      </c>
      <c r="F713" s="9" t="s">
        <v>1621</v>
      </c>
      <c r="G713" s="9">
        <v>1</v>
      </c>
      <c r="H713" s="9"/>
      <c r="I713" s="9" t="s">
        <v>312</v>
      </c>
      <c r="J713" s="9"/>
      <c r="K713" s="9" t="b">
        <v>0</v>
      </c>
      <c r="L713" s="9" t="s">
        <v>1623</v>
      </c>
      <c r="M713" s="9" t="b">
        <v>1</v>
      </c>
      <c r="N713" s="9" t="s">
        <v>1622</v>
      </c>
      <c r="O713" s="9" t="s">
        <v>3643</v>
      </c>
      <c r="P713" s="7">
        <v>1299</v>
      </c>
      <c r="Q713" s="7">
        <v>938</v>
      </c>
      <c r="R713" s="7">
        <v>484</v>
      </c>
      <c r="S713" s="7">
        <v>134</v>
      </c>
      <c r="T713" s="8">
        <v>5.3</v>
      </c>
      <c r="U713" s="8">
        <v>1.5</v>
      </c>
      <c r="V713" s="17">
        <v>1.5</v>
      </c>
      <c r="AD713" s="1"/>
      <c r="AE713" s="3"/>
      <c r="AF713" s="2"/>
      <c r="AG713" s="2"/>
      <c r="AH713" s="3"/>
      <c r="AI713" s="3"/>
      <c r="AJ713" s="1"/>
      <c r="AK713" s="1"/>
    </row>
    <row r="714" spans="1:37" x14ac:dyDescent="0.3">
      <c r="A714" s="14">
        <v>256</v>
      </c>
      <c r="B714" s="14">
        <v>3</v>
      </c>
      <c r="C714" s="9" t="s">
        <v>0</v>
      </c>
      <c r="D714" s="9" t="s">
        <v>411</v>
      </c>
      <c r="E714" s="9" t="s">
        <v>932</v>
      </c>
      <c r="F714" s="9" t="s">
        <v>933</v>
      </c>
      <c r="G714" s="9">
        <v>1</v>
      </c>
      <c r="H714" s="9"/>
      <c r="I714" s="9"/>
      <c r="J714" s="9"/>
      <c r="K714" s="9" t="b">
        <v>0</v>
      </c>
      <c r="L714" s="9" t="s">
        <v>777</v>
      </c>
      <c r="M714" s="9" t="b">
        <v>0</v>
      </c>
      <c r="N714" s="9" t="s">
        <v>934</v>
      </c>
      <c r="O714" s="9" t="s">
        <v>3432</v>
      </c>
      <c r="P714" s="7">
        <v>1190</v>
      </c>
      <c r="Q714" s="7">
        <v>788</v>
      </c>
      <c r="R714" s="7">
        <v>576</v>
      </c>
      <c r="S714" s="7">
        <v>126</v>
      </c>
      <c r="T714" s="8">
        <v>5.4</v>
      </c>
      <c r="U714" s="8">
        <v>1.5</v>
      </c>
      <c r="V714" s="17">
        <v>1.5</v>
      </c>
      <c r="AD714" s="1"/>
      <c r="AE714" s="3"/>
      <c r="AF714" s="3"/>
      <c r="AG714" s="3"/>
      <c r="AH714" s="3"/>
      <c r="AI714" s="3"/>
      <c r="AJ714" s="1"/>
      <c r="AK714" s="1"/>
    </row>
    <row r="715" spans="1:37" x14ac:dyDescent="0.3">
      <c r="A715" s="14">
        <v>96</v>
      </c>
      <c r="B715" s="14">
        <v>2</v>
      </c>
      <c r="C715" s="9" t="s">
        <v>0</v>
      </c>
      <c r="D715" s="9" t="s">
        <v>180</v>
      </c>
      <c r="E715" s="9" t="s">
        <v>363</v>
      </c>
      <c r="F715" s="9" t="s">
        <v>364</v>
      </c>
      <c r="G715" s="9">
        <v>1</v>
      </c>
      <c r="H715" s="9"/>
      <c r="I715" s="9" t="s">
        <v>312</v>
      </c>
      <c r="J715" s="9">
        <v>1</v>
      </c>
      <c r="K715" s="9" t="b">
        <v>0</v>
      </c>
      <c r="L715" s="9" t="s">
        <v>194</v>
      </c>
      <c r="M715" s="9" t="b">
        <v>0</v>
      </c>
      <c r="N715" s="9" t="s">
        <v>365</v>
      </c>
      <c r="O715" s="9" t="s">
        <v>3272</v>
      </c>
      <c r="P715" s="7">
        <v>1393</v>
      </c>
      <c r="Q715" s="7">
        <v>1050</v>
      </c>
      <c r="R715" s="7">
        <v>701</v>
      </c>
      <c r="S715" s="7">
        <v>150</v>
      </c>
      <c r="T715" s="8">
        <v>4.7</v>
      </c>
      <c r="U715" s="8">
        <v>1.5</v>
      </c>
      <c r="V715" s="17">
        <v>1.5</v>
      </c>
      <c r="AD715" s="1"/>
      <c r="AE715" s="3"/>
      <c r="AF715" s="2"/>
      <c r="AG715" s="3"/>
      <c r="AH715" s="3"/>
      <c r="AI715" s="3"/>
      <c r="AJ715" s="1"/>
      <c r="AK715" s="1"/>
    </row>
    <row r="716" spans="1:37" x14ac:dyDescent="0.3">
      <c r="A716" s="14">
        <v>97</v>
      </c>
      <c r="B716" s="14">
        <v>2</v>
      </c>
      <c r="C716" s="9" t="s">
        <v>0</v>
      </c>
      <c r="D716" s="9" t="s">
        <v>180</v>
      </c>
      <c r="E716" s="9" t="s">
        <v>366</v>
      </c>
      <c r="F716" s="9" t="s">
        <v>367</v>
      </c>
      <c r="G716" s="9">
        <v>1</v>
      </c>
      <c r="H716" s="9" t="s">
        <v>50</v>
      </c>
      <c r="I716" s="9"/>
      <c r="J716" s="9">
        <v>1</v>
      </c>
      <c r="K716" s="9" t="b">
        <v>0</v>
      </c>
      <c r="L716" s="9" t="s">
        <v>369</v>
      </c>
      <c r="M716" s="9" t="b">
        <v>0</v>
      </c>
      <c r="N716" s="9" t="s">
        <v>368</v>
      </c>
      <c r="O716" s="9" t="s">
        <v>3273</v>
      </c>
      <c r="P716" s="7">
        <v>1437</v>
      </c>
      <c r="Q716" s="7">
        <v>863</v>
      </c>
      <c r="R716" s="7">
        <v>476</v>
      </c>
      <c r="S716" s="7">
        <v>147</v>
      </c>
      <c r="T716" s="8">
        <v>5.5</v>
      </c>
      <c r="U716" s="8">
        <v>1.5</v>
      </c>
      <c r="V716" s="17">
        <v>1.5</v>
      </c>
      <c r="AD716" s="1"/>
      <c r="AE716" s="3"/>
      <c r="AF716" s="2"/>
      <c r="AG716" s="3"/>
      <c r="AH716" s="3"/>
      <c r="AI716" s="3"/>
      <c r="AJ716" s="1"/>
      <c r="AK716" s="1"/>
    </row>
    <row r="717" spans="1:37" x14ac:dyDescent="0.3">
      <c r="A717" s="14">
        <v>399</v>
      </c>
      <c r="B717" s="14">
        <v>4</v>
      </c>
      <c r="C717" s="9" t="s">
        <v>0</v>
      </c>
      <c r="D717" s="9" t="s">
        <v>1338</v>
      </c>
      <c r="E717" s="9" t="s">
        <v>1391</v>
      </c>
      <c r="F717" s="9" t="s">
        <v>1392</v>
      </c>
      <c r="G717" s="9">
        <v>1</v>
      </c>
      <c r="H717" s="9" t="s">
        <v>26</v>
      </c>
      <c r="I717" s="9"/>
      <c r="J717" s="9"/>
      <c r="K717" s="9" t="b">
        <v>0</v>
      </c>
      <c r="L717" s="9" t="s">
        <v>1351</v>
      </c>
      <c r="M717" s="9" t="b">
        <v>0</v>
      </c>
      <c r="N717" s="9" t="s">
        <v>1393</v>
      </c>
      <c r="O717" s="9" t="s">
        <v>3575</v>
      </c>
      <c r="P717" s="7">
        <v>404</v>
      </c>
      <c r="Q717" s="7">
        <v>353</v>
      </c>
      <c r="R717" s="7">
        <v>289</v>
      </c>
      <c r="S717" s="7">
        <v>75</v>
      </c>
      <c r="T717" s="8">
        <v>4.3</v>
      </c>
      <c r="U717" s="8">
        <v>2.7</v>
      </c>
      <c r="V717" s="19">
        <v>1.5</v>
      </c>
      <c r="W717" s="23" t="s">
        <v>4189</v>
      </c>
      <c r="AD717" s="1"/>
      <c r="AE717" s="3"/>
      <c r="AF717" s="2"/>
      <c r="AG717" s="2"/>
      <c r="AH717" s="3"/>
      <c r="AI717" s="3"/>
      <c r="AJ717" s="1"/>
      <c r="AK717" s="1"/>
    </row>
    <row r="718" spans="1:37" x14ac:dyDescent="0.3">
      <c r="A718" s="14">
        <v>623</v>
      </c>
      <c r="B718" s="14">
        <v>3</v>
      </c>
      <c r="C718" s="9" t="s">
        <v>1659</v>
      </c>
      <c r="D718" s="9" t="s">
        <v>411</v>
      </c>
      <c r="E718" s="9" t="s">
        <v>2099</v>
      </c>
      <c r="F718" s="9" t="s">
        <v>2100</v>
      </c>
      <c r="G718" s="9">
        <v>1</v>
      </c>
      <c r="H718" s="9"/>
      <c r="I718" s="9"/>
      <c r="J718" s="9"/>
      <c r="K718" s="9" t="b">
        <v>0</v>
      </c>
      <c r="L718" s="9" t="s">
        <v>275</v>
      </c>
      <c r="M718" s="9" t="b">
        <v>1</v>
      </c>
      <c r="N718" s="9" t="s">
        <v>2101</v>
      </c>
      <c r="O718" s="9" t="s">
        <v>3798</v>
      </c>
      <c r="P718" s="7">
        <v>1127</v>
      </c>
      <c r="Q718" s="7">
        <v>782</v>
      </c>
      <c r="R718" s="7">
        <v>342</v>
      </c>
      <c r="S718" s="7">
        <v>111</v>
      </c>
      <c r="T718" s="8">
        <v>5.3</v>
      </c>
      <c r="U718" s="8">
        <v>1.4</v>
      </c>
      <c r="V718" s="17">
        <v>1.4</v>
      </c>
      <c r="AD718" s="1"/>
      <c r="AE718" s="3"/>
      <c r="AF718" s="2"/>
      <c r="AG718" s="2"/>
      <c r="AH718" s="2"/>
      <c r="AI718" s="3"/>
      <c r="AJ718" s="1"/>
      <c r="AK718" s="1"/>
    </row>
    <row r="719" spans="1:37" x14ac:dyDescent="0.3">
      <c r="A719" s="14">
        <v>486</v>
      </c>
      <c r="B719" s="14">
        <v>1</v>
      </c>
      <c r="C719" s="9" t="s">
        <v>1659</v>
      </c>
      <c r="D719" s="9" t="s">
        <v>1</v>
      </c>
      <c r="E719" s="9" t="s">
        <v>1678</v>
      </c>
      <c r="F719" s="9" t="s">
        <v>1679</v>
      </c>
      <c r="G719" s="9">
        <v>3</v>
      </c>
      <c r="H719" s="9"/>
      <c r="I719" s="9"/>
      <c r="J719" s="9"/>
      <c r="K719" s="9" t="b">
        <v>0</v>
      </c>
      <c r="L719" s="9" t="s">
        <v>7</v>
      </c>
      <c r="M719" s="9" t="b">
        <v>1</v>
      </c>
      <c r="N719" s="9" t="s">
        <v>1680</v>
      </c>
      <c r="O719" s="9" t="s">
        <v>3661</v>
      </c>
      <c r="P719" s="7">
        <v>1359</v>
      </c>
      <c r="Q719" s="7">
        <v>854</v>
      </c>
      <c r="R719" s="7">
        <v>396</v>
      </c>
      <c r="S719" s="7">
        <v>132</v>
      </c>
      <c r="T719" s="8">
        <v>5.6</v>
      </c>
      <c r="U719" s="8">
        <v>1.4</v>
      </c>
      <c r="V719" s="17">
        <v>1.4</v>
      </c>
      <c r="AD719" s="1"/>
      <c r="AE719" s="3"/>
      <c r="AF719" s="2"/>
      <c r="AG719" s="3"/>
      <c r="AH719" s="3"/>
      <c r="AI719" s="3"/>
      <c r="AJ719" s="1"/>
      <c r="AK719" s="1"/>
    </row>
    <row r="720" spans="1:37" x14ac:dyDescent="0.3">
      <c r="A720" s="14">
        <v>836</v>
      </c>
      <c r="B720" s="14">
        <v>1</v>
      </c>
      <c r="C720" s="9" t="s">
        <v>1659</v>
      </c>
      <c r="D720" s="9" t="s">
        <v>1208</v>
      </c>
      <c r="E720" s="9" t="s">
        <v>2752</v>
      </c>
      <c r="F720" s="9" t="s">
        <v>2753</v>
      </c>
      <c r="G720" s="9">
        <v>3</v>
      </c>
      <c r="H720" s="9"/>
      <c r="I720" s="9"/>
      <c r="J720" s="9"/>
      <c r="K720" s="9" t="b">
        <v>0</v>
      </c>
      <c r="L720" s="9" t="s">
        <v>7</v>
      </c>
      <c r="M720" s="9" t="b">
        <v>0</v>
      </c>
      <c r="N720" s="9" t="s">
        <v>2754</v>
      </c>
      <c r="O720" s="9" t="s">
        <v>4011</v>
      </c>
      <c r="P720" s="7">
        <v>1286</v>
      </c>
      <c r="Q720" s="7">
        <v>995</v>
      </c>
      <c r="R720" s="7">
        <v>527</v>
      </c>
      <c r="S720" s="7">
        <v>128</v>
      </c>
      <c r="T720" s="8">
        <v>4.5</v>
      </c>
      <c r="U720" s="8">
        <v>1.4</v>
      </c>
      <c r="V720" s="17">
        <v>1.4</v>
      </c>
      <c r="AD720" s="1"/>
      <c r="AE720" s="3"/>
      <c r="AF720" s="3"/>
      <c r="AG720" s="3"/>
      <c r="AH720" s="3"/>
      <c r="AI720" s="3"/>
      <c r="AJ720" s="1"/>
      <c r="AK720" s="1"/>
    </row>
    <row r="721" spans="1:37" x14ac:dyDescent="0.3">
      <c r="A721" s="14">
        <v>799</v>
      </c>
      <c r="B721" s="14">
        <v>1</v>
      </c>
      <c r="C721" s="9" t="s">
        <v>1659</v>
      </c>
      <c r="D721" s="9" t="s">
        <v>1077</v>
      </c>
      <c r="E721" s="9" t="s">
        <v>2641</v>
      </c>
      <c r="F721" s="9" t="s">
        <v>2642</v>
      </c>
      <c r="G721" s="9">
        <v>1</v>
      </c>
      <c r="H721" s="9"/>
      <c r="I721" s="9"/>
      <c r="J721" s="9"/>
      <c r="K721" s="9" t="b">
        <v>0</v>
      </c>
      <c r="L721" s="9" t="s">
        <v>7</v>
      </c>
      <c r="M721" s="9" t="b">
        <v>0</v>
      </c>
      <c r="N721" s="9" t="s">
        <v>2643</v>
      </c>
      <c r="O721" s="9" t="s">
        <v>3974</v>
      </c>
      <c r="P721" s="7">
        <v>1365</v>
      </c>
      <c r="Q721" s="7">
        <v>966</v>
      </c>
      <c r="R721" s="7">
        <v>528</v>
      </c>
      <c r="S721" s="7">
        <v>137</v>
      </c>
      <c r="T721" s="8">
        <v>5.3</v>
      </c>
      <c r="U721" s="8">
        <v>1.4</v>
      </c>
      <c r="V721" s="17">
        <v>1.4</v>
      </c>
      <c r="AD721" s="1"/>
      <c r="AE721" s="3"/>
      <c r="AF721" s="2"/>
      <c r="AG721" s="2"/>
      <c r="AH721" s="3"/>
      <c r="AI721" s="3"/>
      <c r="AJ721" s="1"/>
      <c r="AK721" s="1"/>
    </row>
    <row r="722" spans="1:37" x14ac:dyDescent="0.3">
      <c r="A722" s="14">
        <v>840</v>
      </c>
      <c r="B722" s="14">
        <v>1</v>
      </c>
      <c r="C722" s="9" t="s">
        <v>1659</v>
      </c>
      <c r="D722" s="9" t="s">
        <v>1208</v>
      </c>
      <c r="E722" s="9" t="s">
        <v>2764</v>
      </c>
      <c r="F722" s="9" t="s">
        <v>2765</v>
      </c>
      <c r="G722" s="9">
        <v>4</v>
      </c>
      <c r="H722" s="9"/>
      <c r="I722" s="9"/>
      <c r="J722" s="9"/>
      <c r="K722" s="9" t="b">
        <v>0</v>
      </c>
      <c r="L722" s="9" t="s">
        <v>7</v>
      </c>
      <c r="M722" s="9" t="b">
        <v>0</v>
      </c>
      <c r="N722" s="9" t="s">
        <v>2766</v>
      </c>
      <c r="O722" s="9" t="s">
        <v>4015</v>
      </c>
      <c r="P722" s="7">
        <v>1325</v>
      </c>
      <c r="Q722" s="7">
        <v>837</v>
      </c>
      <c r="R722" s="7">
        <v>462</v>
      </c>
      <c r="S722" s="7">
        <v>131</v>
      </c>
      <c r="T722" s="8">
        <v>5.2</v>
      </c>
      <c r="U722" s="8">
        <v>1.4</v>
      </c>
      <c r="V722" s="17">
        <v>1.4</v>
      </c>
      <c r="AD722" s="1"/>
      <c r="AE722" s="3"/>
      <c r="AF722" s="2"/>
      <c r="AG722" s="2"/>
      <c r="AH722" s="3"/>
      <c r="AI722" s="3"/>
      <c r="AJ722" s="1"/>
      <c r="AK722" s="1"/>
    </row>
    <row r="723" spans="1:37" x14ac:dyDescent="0.3">
      <c r="A723" s="14">
        <v>697</v>
      </c>
      <c r="B723" s="14">
        <v>3</v>
      </c>
      <c r="C723" s="9" t="s">
        <v>1659</v>
      </c>
      <c r="D723" s="9" t="s">
        <v>411</v>
      </c>
      <c r="E723" s="9" t="s">
        <v>2330</v>
      </c>
      <c r="F723" s="9" t="s">
        <v>2331</v>
      </c>
      <c r="G723" s="9">
        <v>1</v>
      </c>
      <c r="H723" s="9"/>
      <c r="I723" s="9"/>
      <c r="J723" s="9"/>
      <c r="K723" s="9" t="b">
        <v>0</v>
      </c>
      <c r="L723" s="9" t="s">
        <v>497</v>
      </c>
      <c r="M723" s="9" t="b">
        <v>0</v>
      </c>
      <c r="N723" s="9" t="s">
        <v>2332</v>
      </c>
      <c r="O723" s="9" t="s">
        <v>3872</v>
      </c>
      <c r="P723" s="7">
        <v>1141</v>
      </c>
      <c r="Q723" s="7">
        <v>685</v>
      </c>
      <c r="R723" s="7">
        <v>360</v>
      </c>
      <c r="S723" s="7">
        <v>108</v>
      </c>
      <c r="T723" s="8">
        <v>5.5</v>
      </c>
      <c r="U723" s="8">
        <v>1.4</v>
      </c>
      <c r="V723" s="17">
        <v>1.4</v>
      </c>
      <c r="AD723" s="1"/>
      <c r="AE723" s="3"/>
      <c r="AF723" s="2"/>
      <c r="AG723" s="2"/>
      <c r="AH723" s="2"/>
      <c r="AI723" s="3"/>
      <c r="AJ723" s="1"/>
      <c r="AK723" s="1"/>
    </row>
    <row r="724" spans="1:37" x14ac:dyDescent="0.3">
      <c r="A724" s="14">
        <v>701</v>
      </c>
      <c r="B724" s="14">
        <v>3</v>
      </c>
      <c r="C724" s="9" t="s">
        <v>1659</v>
      </c>
      <c r="D724" s="9" t="s">
        <v>411</v>
      </c>
      <c r="E724" s="9" t="s">
        <v>2342</v>
      </c>
      <c r="F724" s="9" t="s">
        <v>2343</v>
      </c>
      <c r="G724" s="9">
        <v>4</v>
      </c>
      <c r="H724" s="9"/>
      <c r="I724" s="9"/>
      <c r="J724" s="9"/>
      <c r="K724" s="9" t="b">
        <v>0</v>
      </c>
      <c r="L724" s="9" t="s">
        <v>772</v>
      </c>
      <c r="M724" s="9" t="b">
        <v>1</v>
      </c>
      <c r="N724" s="9" t="s">
        <v>2344</v>
      </c>
      <c r="O724" s="9" t="s">
        <v>3876</v>
      </c>
      <c r="P724" s="7">
        <v>1139</v>
      </c>
      <c r="Q724" s="7">
        <v>744</v>
      </c>
      <c r="R724" s="7">
        <v>366</v>
      </c>
      <c r="S724" s="7">
        <v>114</v>
      </c>
      <c r="T724" s="8">
        <v>5.7</v>
      </c>
      <c r="U724" s="8">
        <v>1.4</v>
      </c>
      <c r="V724" s="17">
        <v>1.4</v>
      </c>
      <c r="AD724" s="1"/>
      <c r="AE724" s="3"/>
      <c r="AF724" s="2"/>
      <c r="AG724" s="3"/>
      <c r="AH724" s="3"/>
      <c r="AI724" s="3"/>
      <c r="AJ724" s="1"/>
      <c r="AK724" s="1"/>
    </row>
    <row r="725" spans="1:37" x14ac:dyDescent="0.3">
      <c r="A725" s="14">
        <v>948</v>
      </c>
      <c r="B725" s="14">
        <v>2</v>
      </c>
      <c r="C725" s="9" t="s">
        <v>1659</v>
      </c>
      <c r="D725" s="9" t="s">
        <v>1457</v>
      </c>
      <c r="E725" s="9" t="s">
        <v>3091</v>
      </c>
      <c r="F725" s="9" t="s">
        <v>3092</v>
      </c>
      <c r="G725" s="9">
        <v>3</v>
      </c>
      <c r="H725" s="9"/>
      <c r="I725" s="9"/>
      <c r="J725" s="9"/>
      <c r="K725" s="9" t="b">
        <v>0</v>
      </c>
      <c r="L725" s="9" t="s">
        <v>3094</v>
      </c>
      <c r="M725" s="9" t="b">
        <v>1</v>
      </c>
      <c r="N725" s="9" t="s">
        <v>3093</v>
      </c>
      <c r="O725" s="9" t="s">
        <v>4120</v>
      </c>
      <c r="P725" s="7">
        <v>1113</v>
      </c>
      <c r="Q725" s="7">
        <v>653</v>
      </c>
      <c r="R725" s="7">
        <v>285</v>
      </c>
      <c r="S725" s="7">
        <v>106</v>
      </c>
      <c r="T725" s="8">
        <v>5.3</v>
      </c>
      <c r="U725" s="8">
        <v>1.4</v>
      </c>
      <c r="V725" s="17">
        <v>1.4</v>
      </c>
      <c r="AD725" s="1"/>
      <c r="AE725" s="3"/>
      <c r="AF725" s="3"/>
      <c r="AG725" s="3"/>
      <c r="AH725" s="3"/>
      <c r="AI725" s="3"/>
      <c r="AJ725" s="1"/>
      <c r="AK725" s="1"/>
    </row>
    <row r="726" spans="1:37" x14ac:dyDescent="0.3">
      <c r="A726" s="14">
        <v>732</v>
      </c>
      <c r="B726" s="14">
        <v>3</v>
      </c>
      <c r="C726" s="9" t="s">
        <v>1659</v>
      </c>
      <c r="D726" s="9" t="s">
        <v>411</v>
      </c>
      <c r="E726" s="9" t="s">
        <v>2436</v>
      </c>
      <c r="F726" s="9" t="s">
        <v>2437</v>
      </c>
      <c r="G726" s="9">
        <v>1</v>
      </c>
      <c r="H726" s="9"/>
      <c r="I726" s="9"/>
      <c r="J726" s="9"/>
      <c r="K726" s="9" t="b">
        <v>0</v>
      </c>
      <c r="L726" s="9" t="s">
        <v>420</v>
      </c>
      <c r="M726" s="9" t="b">
        <v>0</v>
      </c>
      <c r="N726" s="9" t="s">
        <v>2438</v>
      </c>
      <c r="O726" s="9" t="s">
        <v>3907</v>
      </c>
      <c r="P726" s="7">
        <v>1145</v>
      </c>
      <c r="Q726" s="7">
        <v>600</v>
      </c>
      <c r="R726" s="7">
        <v>310</v>
      </c>
      <c r="S726" s="7">
        <v>113</v>
      </c>
      <c r="T726" s="8">
        <v>5.4</v>
      </c>
      <c r="U726" s="8">
        <v>1.4</v>
      </c>
      <c r="V726" s="17">
        <v>1.4</v>
      </c>
      <c r="AD726" s="1"/>
      <c r="AE726" s="3"/>
      <c r="AF726" s="2"/>
      <c r="AG726" s="3"/>
      <c r="AH726" s="3"/>
      <c r="AI726" s="3"/>
      <c r="AJ726" s="1"/>
      <c r="AK726" s="1"/>
    </row>
    <row r="727" spans="1:37" x14ac:dyDescent="0.3">
      <c r="A727" s="14">
        <v>589</v>
      </c>
      <c r="B727" s="14">
        <v>2</v>
      </c>
      <c r="C727" s="9" t="s">
        <v>1659</v>
      </c>
      <c r="D727" s="9" t="s">
        <v>180</v>
      </c>
      <c r="E727" s="9" t="s">
        <v>1992</v>
      </c>
      <c r="F727" s="9" t="s">
        <v>1993</v>
      </c>
      <c r="G727" s="9">
        <v>4</v>
      </c>
      <c r="H727" s="9"/>
      <c r="I727" s="9"/>
      <c r="J727" s="9"/>
      <c r="K727" s="9" t="b">
        <v>0</v>
      </c>
      <c r="L727" s="9" t="s">
        <v>420</v>
      </c>
      <c r="M727" s="9" t="b">
        <v>0</v>
      </c>
      <c r="N727" s="9" t="s">
        <v>1994</v>
      </c>
      <c r="O727" s="9" t="s">
        <v>3764</v>
      </c>
      <c r="P727" s="7">
        <v>1294</v>
      </c>
      <c r="Q727" s="7">
        <v>704</v>
      </c>
      <c r="R727" s="7">
        <v>317</v>
      </c>
      <c r="S727" s="7">
        <v>125</v>
      </c>
      <c r="T727" s="8">
        <v>5.5</v>
      </c>
      <c r="U727" s="8">
        <v>1.4</v>
      </c>
      <c r="V727" s="17">
        <v>1.4</v>
      </c>
      <c r="AD727" s="1"/>
      <c r="AE727" s="3"/>
      <c r="AF727" s="2"/>
      <c r="AG727" s="2"/>
      <c r="AH727" s="3"/>
      <c r="AI727" s="3"/>
      <c r="AJ727" s="1"/>
      <c r="AK727" s="1"/>
    </row>
    <row r="728" spans="1:37" x14ac:dyDescent="0.3">
      <c r="A728" s="14">
        <v>735</v>
      </c>
      <c r="B728" s="14">
        <v>3</v>
      </c>
      <c r="C728" s="9" t="s">
        <v>1659</v>
      </c>
      <c r="D728" s="9" t="s">
        <v>411</v>
      </c>
      <c r="E728" s="9" t="s">
        <v>2446</v>
      </c>
      <c r="F728" s="9" t="s">
        <v>2447</v>
      </c>
      <c r="G728" s="9">
        <v>4</v>
      </c>
      <c r="H728" s="9"/>
      <c r="I728" s="9"/>
      <c r="J728" s="9"/>
      <c r="K728" s="9" t="b">
        <v>0</v>
      </c>
      <c r="L728" s="9" t="s">
        <v>437</v>
      </c>
      <c r="M728" s="9" t="b">
        <v>0</v>
      </c>
      <c r="N728" s="9" t="s">
        <v>2448</v>
      </c>
      <c r="O728" s="9" t="s">
        <v>3910</v>
      </c>
      <c r="P728" s="7">
        <v>907</v>
      </c>
      <c r="Q728" s="7">
        <v>575</v>
      </c>
      <c r="R728" s="7">
        <v>312</v>
      </c>
      <c r="S728" s="7">
        <v>88</v>
      </c>
      <c r="T728" s="8">
        <v>5.3</v>
      </c>
      <c r="U728" s="8">
        <v>1.4</v>
      </c>
      <c r="V728" s="17">
        <v>1.4</v>
      </c>
      <c r="AD728" s="1"/>
      <c r="AE728" s="3"/>
      <c r="AF728" s="2"/>
      <c r="AG728" s="3"/>
      <c r="AH728" s="3"/>
      <c r="AI728" s="3"/>
      <c r="AJ728" s="1"/>
      <c r="AK728" s="1"/>
    </row>
    <row r="729" spans="1:37" x14ac:dyDescent="0.3">
      <c r="A729" s="14">
        <v>739</v>
      </c>
      <c r="B729" s="14">
        <v>3</v>
      </c>
      <c r="C729" s="9" t="s">
        <v>1659</v>
      </c>
      <c r="D729" s="9" t="s">
        <v>411</v>
      </c>
      <c r="E729" s="9" t="s">
        <v>2458</v>
      </c>
      <c r="F729" s="9" t="s">
        <v>2459</v>
      </c>
      <c r="G729" s="9">
        <v>3</v>
      </c>
      <c r="H729" s="9"/>
      <c r="I729" s="9"/>
      <c r="J729" s="9"/>
      <c r="K729" s="9" t="b">
        <v>0</v>
      </c>
      <c r="L729" s="9" t="s">
        <v>453</v>
      </c>
      <c r="M729" s="9" t="b">
        <v>0</v>
      </c>
      <c r="N729" s="9" t="s">
        <v>2460</v>
      </c>
      <c r="O729" s="9" t="s">
        <v>3914</v>
      </c>
      <c r="P729" s="7">
        <v>1129</v>
      </c>
      <c r="Q729" s="7">
        <v>767</v>
      </c>
      <c r="R729" s="7">
        <v>359</v>
      </c>
      <c r="S729" s="7">
        <v>108</v>
      </c>
      <c r="T729" s="8">
        <v>5.4</v>
      </c>
      <c r="U729" s="8">
        <v>1.4</v>
      </c>
      <c r="V729" s="17">
        <v>1.4</v>
      </c>
      <c r="AD729" s="1"/>
      <c r="AE729" s="3"/>
      <c r="AF729" s="2"/>
      <c r="AG729" s="3"/>
      <c r="AH729" s="3"/>
      <c r="AI729" s="3"/>
      <c r="AJ729" s="1"/>
      <c r="AK729" s="1"/>
    </row>
    <row r="730" spans="1:37" x14ac:dyDescent="0.3">
      <c r="A730" s="14">
        <v>743</v>
      </c>
      <c r="B730" s="14">
        <v>3</v>
      </c>
      <c r="C730" s="9" t="s">
        <v>1659</v>
      </c>
      <c r="D730" s="9" t="s">
        <v>411</v>
      </c>
      <c r="E730" s="9" t="s">
        <v>2471</v>
      </c>
      <c r="F730" s="9" t="s">
        <v>2472</v>
      </c>
      <c r="G730" s="9">
        <v>3</v>
      </c>
      <c r="H730" s="9"/>
      <c r="I730" s="9"/>
      <c r="J730" s="9"/>
      <c r="K730" s="9" t="b">
        <v>0</v>
      </c>
      <c r="L730" s="9" t="s">
        <v>194</v>
      </c>
      <c r="M730" s="9" t="b">
        <v>0</v>
      </c>
      <c r="N730" s="9" t="s">
        <v>2473</v>
      </c>
      <c r="O730" s="9" t="s">
        <v>3918</v>
      </c>
      <c r="P730" s="7">
        <v>1188</v>
      </c>
      <c r="Q730" s="7">
        <v>854</v>
      </c>
      <c r="R730" s="7">
        <v>524</v>
      </c>
      <c r="S730" s="7">
        <v>113</v>
      </c>
      <c r="T730" s="8">
        <v>4.8</v>
      </c>
      <c r="U730" s="8">
        <v>1.4</v>
      </c>
      <c r="V730" s="17">
        <v>1.4</v>
      </c>
      <c r="AD730" s="1"/>
      <c r="AE730" s="3"/>
      <c r="AF730" s="3"/>
      <c r="AG730" s="3"/>
      <c r="AH730" s="3"/>
      <c r="AI730" s="3"/>
      <c r="AJ730" s="1"/>
      <c r="AK730" s="1"/>
    </row>
    <row r="731" spans="1:37" x14ac:dyDescent="0.3">
      <c r="A731" s="14">
        <v>536</v>
      </c>
      <c r="B731" s="14">
        <v>1</v>
      </c>
      <c r="C731" s="9" t="s">
        <v>1659</v>
      </c>
      <c r="D731" s="9" t="s">
        <v>1</v>
      </c>
      <c r="E731" s="9" t="s">
        <v>1828</v>
      </c>
      <c r="F731" s="9" t="s">
        <v>1829</v>
      </c>
      <c r="G731" s="9">
        <v>1</v>
      </c>
      <c r="H731" s="9"/>
      <c r="I731" s="9"/>
      <c r="J731" s="9"/>
      <c r="K731" s="9" t="b">
        <v>0</v>
      </c>
      <c r="L731" s="9" t="s">
        <v>7</v>
      </c>
      <c r="M731" s="9" t="b">
        <v>0</v>
      </c>
      <c r="N731" s="9" t="s">
        <v>1830</v>
      </c>
      <c r="O731" s="9" t="s">
        <v>3711</v>
      </c>
      <c r="P731" s="7">
        <v>1203</v>
      </c>
      <c r="Q731" s="7">
        <v>735</v>
      </c>
      <c r="R731" s="7">
        <v>410</v>
      </c>
      <c r="S731" s="7">
        <v>114</v>
      </c>
      <c r="T731" s="8">
        <v>5.4</v>
      </c>
      <c r="U731" s="8">
        <v>1.4</v>
      </c>
      <c r="V731" s="17">
        <v>1.4</v>
      </c>
      <c r="AD731" s="1"/>
      <c r="AE731" s="3"/>
      <c r="AF731" s="2"/>
      <c r="AG731" s="2"/>
      <c r="AH731" s="2"/>
      <c r="AI731" s="3"/>
      <c r="AJ731" s="1"/>
      <c r="AK731" s="1"/>
    </row>
    <row r="732" spans="1:37" x14ac:dyDescent="0.3">
      <c r="A732" s="14">
        <v>598</v>
      </c>
      <c r="B732" s="14">
        <v>2</v>
      </c>
      <c r="C732" s="9" t="s">
        <v>1659</v>
      </c>
      <c r="D732" s="9" t="s">
        <v>180</v>
      </c>
      <c r="E732" s="9" t="s">
        <v>2020</v>
      </c>
      <c r="F732" s="9" t="s">
        <v>2021</v>
      </c>
      <c r="G732" s="9">
        <v>1</v>
      </c>
      <c r="H732" s="9"/>
      <c r="I732" s="9"/>
      <c r="J732" s="9"/>
      <c r="K732" s="9" t="b">
        <v>0</v>
      </c>
      <c r="L732" s="9" t="s">
        <v>531</v>
      </c>
      <c r="M732" s="9" t="b">
        <v>0</v>
      </c>
      <c r="N732" s="9" t="s">
        <v>2022</v>
      </c>
      <c r="O732" s="9" t="s">
        <v>3773</v>
      </c>
      <c r="P732" s="7">
        <v>1306</v>
      </c>
      <c r="Q732" s="7">
        <v>695</v>
      </c>
      <c r="R732" s="7">
        <v>386</v>
      </c>
      <c r="S732" s="7">
        <v>125</v>
      </c>
      <c r="T732" s="8">
        <v>5.6</v>
      </c>
      <c r="U732" s="8">
        <v>1.4</v>
      </c>
      <c r="V732" s="17">
        <v>1.4</v>
      </c>
      <c r="AD732" s="1"/>
      <c r="AE732" s="3"/>
      <c r="AF732" s="2"/>
      <c r="AG732" s="3"/>
      <c r="AH732" s="3"/>
      <c r="AI732" s="3"/>
      <c r="AJ732" s="1"/>
      <c r="AK732" s="1"/>
    </row>
    <row r="733" spans="1:37" x14ac:dyDescent="0.3">
      <c r="A733" s="14">
        <v>599</v>
      </c>
      <c r="B733" s="14">
        <v>2</v>
      </c>
      <c r="C733" s="9" t="s">
        <v>1659</v>
      </c>
      <c r="D733" s="9" t="s">
        <v>180</v>
      </c>
      <c r="E733" s="9" t="s">
        <v>2023</v>
      </c>
      <c r="F733" s="9" t="s">
        <v>2024</v>
      </c>
      <c r="G733" s="9">
        <v>1</v>
      </c>
      <c r="H733" s="9"/>
      <c r="I733" s="9"/>
      <c r="J733" s="9"/>
      <c r="K733" s="9" t="b">
        <v>0</v>
      </c>
      <c r="L733" s="9" t="s">
        <v>2026</v>
      </c>
      <c r="M733" s="9" t="b">
        <v>0</v>
      </c>
      <c r="N733" s="9" t="s">
        <v>2025</v>
      </c>
      <c r="O733" s="9" t="s">
        <v>3774</v>
      </c>
      <c r="P733" s="7">
        <v>1399</v>
      </c>
      <c r="Q733" s="7">
        <v>1058</v>
      </c>
      <c r="R733" s="7">
        <v>660</v>
      </c>
      <c r="S733" s="7">
        <v>137</v>
      </c>
      <c r="T733" s="8">
        <v>4.9000000000000004</v>
      </c>
      <c r="U733" s="8">
        <v>1.4</v>
      </c>
      <c r="V733" s="17">
        <v>1.4</v>
      </c>
      <c r="AD733" s="1"/>
      <c r="AE733" s="3"/>
      <c r="AF733" s="2"/>
      <c r="AG733" s="2"/>
      <c r="AH733" s="2"/>
      <c r="AI733" s="3"/>
      <c r="AJ733" s="1"/>
      <c r="AK733" s="1"/>
    </row>
    <row r="734" spans="1:37" x14ac:dyDescent="0.3">
      <c r="A734" s="14">
        <v>771</v>
      </c>
      <c r="B734" s="14">
        <v>3</v>
      </c>
      <c r="C734" s="9" t="s">
        <v>1659</v>
      </c>
      <c r="D734" s="9" t="s">
        <v>411</v>
      </c>
      <c r="E734" s="9" t="s">
        <v>2556</v>
      </c>
      <c r="F734" s="9" t="s">
        <v>2557</v>
      </c>
      <c r="G734" s="9">
        <v>3</v>
      </c>
      <c r="H734" s="9"/>
      <c r="I734" s="9"/>
      <c r="J734" s="9"/>
      <c r="K734" s="9" t="b">
        <v>0</v>
      </c>
      <c r="L734" s="9" t="s">
        <v>430</v>
      </c>
      <c r="M734" s="9" t="b">
        <v>0</v>
      </c>
      <c r="N734" s="9" t="s">
        <v>2558</v>
      </c>
      <c r="O734" s="9" t="s">
        <v>3946</v>
      </c>
      <c r="P734" s="7">
        <v>894</v>
      </c>
      <c r="Q734" s="7">
        <v>592</v>
      </c>
      <c r="R734" s="7">
        <v>336</v>
      </c>
      <c r="S734" s="7">
        <v>89</v>
      </c>
      <c r="T734" s="8">
        <v>5.4</v>
      </c>
      <c r="U734" s="8">
        <v>1.4</v>
      </c>
      <c r="V734" s="17">
        <v>1.4</v>
      </c>
      <c r="AD734" s="1"/>
      <c r="AE734" s="3"/>
      <c r="AF734" s="2"/>
      <c r="AG734" s="3"/>
      <c r="AH734" s="3"/>
      <c r="AI734" s="3"/>
      <c r="AJ734" s="1"/>
      <c r="AK734" s="1"/>
    </row>
    <row r="735" spans="1:37" x14ac:dyDescent="0.3">
      <c r="A735" s="14">
        <v>603</v>
      </c>
      <c r="B735" s="14">
        <v>2</v>
      </c>
      <c r="C735" s="9" t="s">
        <v>1659</v>
      </c>
      <c r="D735" s="9" t="s">
        <v>180</v>
      </c>
      <c r="E735" s="9" t="s">
        <v>2037</v>
      </c>
      <c r="F735" s="9" t="s">
        <v>2038</v>
      </c>
      <c r="G735" s="9">
        <v>1</v>
      </c>
      <c r="H735" s="9"/>
      <c r="I735" s="9"/>
      <c r="J735" s="9"/>
      <c r="K735" s="9" t="b">
        <v>0</v>
      </c>
      <c r="L735" s="9" t="s">
        <v>234</v>
      </c>
      <c r="M735" s="9" t="b">
        <v>0</v>
      </c>
      <c r="N735" s="9" t="s">
        <v>2039</v>
      </c>
      <c r="O735" s="9" t="s">
        <v>3778</v>
      </c>
      <c r="P735" s="7">
        <v>1079</v>
      </c>
      <c r="Q735" s="7">
        <v>746</v>
      </c>
      <c r="R735" s="7">
        <v>419</v>
      </c>
      <c r="S735" s="7">
        <v>107</v>
      </c>
      <c r="T735" s="8">
        <v>5</v>
      </c>
      <c r="U735" s="8">
        <v>1.4</v>
      </c>
      <c r="V735" s="17">
        <v>1.4</v>
      </c>
      <c r="AD735" s="1"/>
      <c r="AE735" s="3"/>
      <c r="AF735" s="2"/>
      <c r="AG735" s="2"/>
      <c r="AH735" s="2"/>
      <c r="AI735" s="3"/>
      <c r="AJ735" s="1"/>
      <c r="AK735" s="1"/>
    </row>
    <row r="736" spans="1:37" x14ac:dyDescent="0.3">
      <c r="A736" s="14">
        <v>423</v>
      </c>
      <c r="B736" s="14">
        <v>2</v>
      </c>
      <c r="C736" s="9" t="s">
        <v>0</v>
      </c>
      <c r="D736" s="9" t="s">
        <v>1457</v>
      </c>
      <c r="E736" s="9" t="s">
        <v>1469</v>
      </c>
      <c r="F736" s="9" t="s">
        <v>1470</v>
      </c>
      <c r="G736" s="9">
        <v>1</v>
      </c>
      <c r="H736" s="9"/>
      <c r="I736" s="9" t="s">
        <v>77</v>
      </c>
      <c r="J736" s="9"/>
      <c r="K736" s="9" t="b">
        <v>1</v>
      </c>
      <c r="L736" s="9" t="s">
        <v>1465</v>
      </c>
      <c r="M736" s="9" t="b">
        <v>0</v>
      </c>
      <c r="N736" s="9" t="s">
        <v>1471</v>
      </c>
      <c r="O736" s="9" t="s">
        <v>3598</v>
      </c>
      <c r="P736" s="7">
        <v>1281</v>
      </c>
      <c r="Q736" s="7">
        <v>721</v>
      </c>
      <c r="R736" s="7">
        <v>360</v>
      </c>
      <c r="S736" s="7">
        <v>122</v>
      </c>
      <c r="T736" s="8">
        <v>5.5</v>
      </c>
      <c r="U736" s="8">
        <v>1.4</v>
      </c>
      <c r="V736" s="17">
        <v>1.4</v>
      </c>
      <c r="AD736" s="1"/>
      <c r="AE736" s="3"/>
      <c r="AF736" s="3"/>
      <c r="AG736" s="3"/>
      <c r="AH736" s="3"/>
      <c r="AI736" s="3"/>
      <c r="AJ736" s="1"/>
      <c r="AK736" s="1"/>
    </row>
    <row r="737" spans="1:37" x14ac:dyDescent="0.3">
      <c r="A737" s="14">
        <v>433</v>
      </c>
      <c r="B737" s="14">
        <v>2</v>
      </c>
      <c r="C737" s="9" t="s">
        <v>0</v>
      </c>
      <c r="D737" s="9" t="s">
        <v>1457</v>
      </c>
      <c r="E737" s="9" t="s">
        <v>1503</v>
      </c>
      <c r="F737" s="9" t="s">
        <v>1504</v>
      </c>
      <c r="G737" s="9">
        <v>1</v>
      </c>
      <c r="H737" s="9" t="s">
        <v>684</v>
      </c>
      <c r="I737" s="9"/>
      <c r="J737" s="9"/>
      <c r="K737" s="9" t="b">
        <v>1</v>
      </c>
      <c r="L737" s="9" t="s">
        <v>531</v>
      </c>
      <c r="M737" s="9" t="b">
        <v>0</v>
      </c>
      <c r="N737" s="9" t="s">
        <v>1505</v>
      </c>
      <c r="O737" s="9" t="s">
        <v>3608</v>
      </c>
      <c r="P737" s="7">
        <v>1470</v>
      </c>
      <c r="Q737" s="7">
        <v>831</v>
      </c>
      <c r="R737" s="7">
        <v>518</v>
      </c>
      <c r="S737" s="7">
        <v>146</v>
      </c>
      <c r="T737" s="8">
        <v>5.0999999999999996</v>
      </c>
      <c r="U737" s="8">
        <v>1.4</v>
      </c>
      <c r="V737" s="17">
        <v>1.4</v>
      </c>
      <c r="AD737" s="1"/>
      <c r="AE737" s="3"/>
      <c r="AF737" s="2"/>
      <c r="AG737" s="3"/>
      <c r="AH737" s="3"/>
      <c r="AI737" s="3"/>
      <c r="AJ737" s="1"/>
      <c r="AK737" s="1"/>
    </row>
    <row r="738" spans="1:37" x14ac:dyDescent="0.3">
      <c r="A738" s="14">
        <v>150</v>
      </c>
      <c r="B738" s="14">
        <v>3</v>
      </c>
      <c r="C738" s="9" t="s">
        <v>0</v>
      </c>
      <c r="D738" s="9" t="s">
        <v>411</v>
      </c>
      <c r="E738" s="9" t="s">
        <v>569</v>
      </c>
      <c r="F738" s="9" t="s">
        <v>570</v>
      </c>
      <c r="G738" s="9">
        <v>1</v>
      </c>
      <c r="H738" s="9" t="s">
        <v>571</v>
      </c>
      <c r="I738" s="9" t="s">
        <v>572</v>
      </c>
      <c r="J738" s="9">
        <v>1</v>
      </c>
      <c r="K738" s="9" t="b">
        <v>0</v>
      </c>
      <c r="L738" s="9" t="s">
        <v>416</v>
      </c>
      <c r="M738" s="9" t="b">
        <v>0</v>
      </c>
      <c r="N738" s="9" t="s">
        <v>573</v>
      </c>
      <c r="O738" s="9" t="s">
        <v>3326</v>
      </c>
      <c r="P738" s="7">
        <v>863</v>
      </c>
      <c r="Q738" s="7">
        <v>496</v>
      </c>
      <c r="R738" s="7">
        <v>324</v>
      </c>
      <c r="S738" s="7">
        <v>84</v>
      </c>
      <c r="T738" s="8">
        <v>5.4</v>
      </c>
      <c r="U738" s="8">
        <v>1.4</v>
      </c>
      <c r="V738" s="17">
        <v>1.4</v>
      </c>
      <c r="AD738" s="1"/>
      <c r="AE738" s="3"/>
      <c r="AF738" s="2"/>
      <c r="AG738" s="3"/>
      <c r="AH738" s="3"/>
      <c r="AI738" s="3"/>
      <c r="AJ738" s="1"/>
      <c r="AK738" s="1"/>
    </row>
    <row r="739" spans="1:37" x14ac:dyDescent="0.3">
      <c r="A739" s="14">
        <v>155</v>
      </c>
      <c r="B739" s="14">
        <v>3</v>
      </c>
      <c r="C739" s="9" t="s">
        <v>0</v>
      </c>
      <c r="D739" s="9" t="s">
        <v>411</v>
      </c>
      <c r="E739" s="9" t="s">
        <v>588</v>
      </c>
      <c r="F739" s="9" t="s">
        <v>589</v>
      </c>
      <c r="G739" s="9">
        <v>1</v>
      </c>
      <c r="H739" s="9"/>
      <c r="I739" s="9" t="s">
        <v>110</v>
      </c>
      <c r="J739" s="9"/>
      <c r="K739" s="9" t="b">
        <v>1</v>
      </c>
      <c r="L739" s="9" t="s">
        <v>275</v>
      </c>
      <c r="M739" s="9" t="b">
        <v>0</v>
      </c>
      <c r="N739" s="9" t="s">
        <v>590</v>
      </c>
      <c r="O739" s="9" t="s">
        <v>3331</v>
      </c>
      <c r="P739" s="7">
        <v>1187</v>
      </c>
      <c r="Q739" s="7">
        <v>693</v>
      </c>
      <c r="R739" s="7">
        <v>433</v>
      </c>
      <c r="S739" s="7">
        <v>119</v>
      </c>
      <c r="T739" s="8">
        <v>5.5</v>
      </c>
      <c r="U739" s="8">
        <v>1.4</v>
      </c>
      <c r="V739" s="17">
        <v>1.4</v>
      </c>
      <c r="AD739" s="1"/>
      <c r="AE739" s="3"/>
      <c r="AF739" s="2"/>
      <c r="AG739" s="3"/>
      <c r="AH739" s="3"/>
      <c r="AI739" s="3"/>
      <c r="AJ739" s="1"/>
      <c r="AK739" s="1"/>
    </row>
    <row r="740" spans="1:37" x14ac:dyDescent="0.3">
      <c r="A740" s="14">
        <v>80</v>
      </c>
      <c r="B740" s="14">
        <v>2</v>
      </c>
      <c r="C740" s="9" t="s">
        <v>0</v>
      </c>
      <c r="D740" s="9" t="s">
        <v>180</v>
      </c>
      <c r="E740" s="9" t="s">
        <v>301</v>
      </c>
      <c r="F740" s="9" t="s">
        <v>302</v>
      </c>
      <c r="G740" s="9">
        <v>1</v>
      </c>
      <c r="H740" s="9" t="s">
        <v>303</v>
      </c>
      <c r="I740" s="9" t="s">
        <v>114</v>
      </c>
      <c r="J740" s="9"/>
      <c r="K740" s="9" t="b">
        <v>0</v>
      </c>
      <c r="L740" s="9" t="s">
        <v>238</v>
      </c>
      <c r="M740" s="9" t="b">
        <v>0</v>
      </c>
      <c r="N740" s="9" t="s">
        <v>304</v>
      </c>
      <c r="O740" s="9" t="s">
        <v>3256</v>
      </c>
      <c r="P740" s="7">
        <v>1353</v>
      </c>
      <c r="Q740" s="7">
        <v>714</v>
      </c>
      <c r="R740" s="7">
        <v>420</v>
      </c>
      <c r="S740" s="7">
        <v>132</v>
      </c>
      <c r="T740" s="8">
        <v>5.7</v>
      </c>
      <c r="U740" s="8">
        <v>1.4</v>
      </c>
      <c r="V740" s="17">
        <v>1.4</v>
      </c>
      <c r="AD740" s="1"/>
      <c r="AE740" s="3"/>
      <c r="AF740" s="2"/>
      <c r="AG740" s="2"/>
      <c r="AH740" s="2"/>
      <c r="AI740" s="3"/>
      <c r="AJ740" s="1"/>
      <c r="AK740" s="1"/>
    </row>
    <row r="741" spans="1:37" x14ac:dyDescent="0.3">
      <c r="A741" s="14">
        <v>453</v>
      </c>
      <c r="B741" s="14">
        <v>2</v>
      </c>
      <c r="C741" s="9" t="s">
        <v>0</v>
      </c>
      <c r="D741" s="9" t="s">
        <v>1457</v>
      </c>
      <c r="E741" s="9" t="s">
        <v>1572</v>
      </c>
      <c r="F741" s="9" t="s">
        <v>1573</v>
      </c>
      <c r="G741" s="9">
        <v>1</v>
      </c>
      <c r="H741" s="9"/>
      <c r="I741" s="9" t="s">
        <v>22</v>
      </c>
      <c r="J741" s="9"/>
      <c r="K741" s="9" t="b">
        <v>0</v>
      </c>
      <c r="L741" s="9" t="s">
        <v>369</v>
      </c>
      <c r="M741" s="9" t="b">
        <v>0</v>
      </c>
      <c r="N741" s="9" t="s">
        <v>1574</v>
      </c>
      <c r="O741" s="9" t="s">
        <v>3628</v>
      </c>
      <c r="P741" s="7">
        <v>1405</v>
      </c>
      <c r="Q741" s="7">
        <v>810</v>
      </c>
      <c r="R741" s="7">
        <v>529</v>
      </c>
      <c r="S741" s="7">
        <v>137</v>
      </c>
      <c r="T741" s="8">
        <v>5.5</v>
      </c>
      <c r="U741" s="8">
        <v>1.4</v>
      </c>
      <c r="V741" s="17">
        <v>1.4</v>
      </c>
      <c r="AD741" s="1"/>
      <c r="AE741" s="3"/>
      <c r="AF741" s="2"/>
      <c r="AG741" s="3"/>
      <c r="AH741" s="3"/>
      <c r="AI741" s="3"/>
      <c r="AJ741" s="1"/>
      <c r="AK741" s="1"/>
    </row>
    <row r="742" spans="1:37" x14ac:dyDescent="0.3">
      <c r="A742" s="14">
        <v>323</v>
      </c>
      <c r="B742" s="14">
        <v>1</v>
      </c>
      <c r="C742" s="9" t="s">
        <v>0</v>
      </c>
      <c r="D742" s="9" t="s">
        <v>1077</v>
      </c>
      <c r="E742" s="9" t="s">
        <v>1147</v>
      </c>
      <c r="F742" s="9" t="s">
        <v>1148</v>
      </c>
      <c r="G742" s="9">
        <v>1</v>
      </c>
      <c r="H742" s="9"/>
      <c r="I742" s="9" t="s">
        <v>1149</v>
      </c>
      <c r="J742" s="9">
        <v>2</v>
      </c>
      <c r="K742" s="9" t="b">
        <v>0</v>
      </c>
      <c r="L742" s="9" t="s">
        <v>7</v>
      </c>
      <c r="M742" s="9" t="b">
        <v>1</v>
      </c>
      <c r="N742" s="9" t="s">
        <v>1150</v>
      </c>
      <c r="O742" s="9" t="s">
        <v>3499</v>
      </c>
      <c r="P742" s="7">
        <v>1269</v>
      </c>
      <c r="Q742" s="7">
        <v>920</v>
      </c>
      <c r="R742" s="7">
        <v>367</v>
      </c>
      <c r="S742" s="7">
        <v>121</v>
      </c>
      <c r="T742" s="8">
        <v>5.3</v>
      </c>
      <c r="U742" s="8">
        <v>1.4</v>
      </c>
      <c r="V742" s="17">
        <v>1.4</v>
      </c>
      <c r="AD742" s="1"/>
      <c r="AE742" s="3"/>
      <c r="AF742" s="3"/>
      <c r="AG742" s="3"/>
      <c r="AH742" s="3"/>
      <c r="AI742" s="3"/>
      <c r="AJ742" s="1"/>
      <c r="AK742" s="1"/>
    </row>
    <row r="743" spans="1:37" x14ac:dyDescent="0.3">
      <c r="A743" s="14">
        <v>254</v>
      </c>
      <c r="B743" s="14">
        <v>3</v>
      </c>
      <c r="C743" s="9" t="s">
        <v>0</v>
      </c>
      <c r="D743" s="9" t="s">
        <v>411</v>
      </c>
      <c r="E743" s="9" t="s">
        <v>922</v>
      </c>
      <c r="F743" s="9" t="s">
        <v>923</v>
      </c>
      <c r="G743" s="9">
        <v>1</v>
      </c>
      <c r="H743" s="9" t="s">
        <v>924</v>
      </c>
      <c r="I743" s="9" t="s">
        <v>925</v>
      </c>
      <c r="J743" s="9"/>
      <c r="K743" s="9" t="b">
        <v>1</v>
      </c>
      <c r="L743" s="9" t="s">
        <v>420</v>
      </c>
      <c r="M743" s="9" t="b">
        <v>0</v>
      </c>
      <c r="N743" s="9" t="s">
        <v>926</v>
      </c>
      <c r="O743" s="9" t="s">
        <v>3430</v>
      </c>
      <c r="P743" s="7">
        <v>1242</v>
      </c>
      <c r="Q743" s="7">
        <v>869</v>
      </c>
      <c r="R743" s="7">
        <v>468</v>
      </c>
      <c r="S743" s="7">
        <v>126</v>
      </c>
      <c r="T743" s="8">
        <v>4.9000000000000004</v>
      </c>
      <c r="U743" s="8">
        <v>1.4</v>
      </c>
      <c r="V743" s="17">
        <v>1.4</v>
      </c>
      <c r="AD743" s="1"/>
      <c r="AE743" s="3"/>
      <c r="AF743" s="3"/>
      <c r="AG743" s="3"/>
      <c r="AH743" s="3"/>
      <c r="AI743" s="3"/>
      <c r="AJ743" s="1"/>
      <c r="AK743" s="1"/>
    </row>
    <row r="744" spans="1:37" x14ac:dyDescent="0.3">
      <c r="A744" s="14">
        <v>255</v>
      </c>
      <c r="B744" s="14">
        <v>3</v>
      </c>
      <c r="C744" s="9" t="s">
        <v>0</v>
      </c>
      <c r="D744" s="9" t="s">
        <v>411</v>
      </c>
      <c r="E744" s="9" t="s">
        <v>927</v>
      </c>
      <c r="F744" s="9" t="s">
        <v>928</v>
      </c>
      <c r="G744" s="9">
        <v>1</v>
      </c>
      <c r="H744" s="9"/>
      <c r="I744" s="9" t="s">
        <v>929</v>
      </c>
      <c r="J744" s="9">
        <v>2</v>
      </c>
      <c r="K744" s="9" t="b">
        <v>0</v>
      </c>
      <c r="L744" s="9" t="s">
        <v>931</v>
      </c>
      <c r="M744" s="9" t="b">
        <v>1</v>
      </c>
      <c r="N744" s="9" t="s">
        <v>930</v>
      </c>
      <c r="O744" s="9" t="s">
        <v>3431</v>
      </c>
      <c r="P744" s="7">
        <v>930</v>
      </c>
      <c r="Q744" s="7">
        <v>615</v>
      </c>
      <c r="R744" s="7">
        <v>315</v>
      </c>
      <c r="S744" s="7">
        <v>89</v>
      </c>
      <c r="T744" s="8">
        <v>4.5</v>
      </c>
      <c r="U744" s="8">
        <v>1.4</v>
      </c>
      <c r="V744" s="17">
        <v>1.4</v>
      </c>
      <c r="AD744" s="1"/>
      <c r="AE744" s="3"/>
      <c r="AF744" s="2"/>
      <c r="AG744" s="2"/>
      <c r="AH744" s="2"/>
      <c r="AI744" s="3"/>
      <c r="AJ744" s="1"/>
      <c r="AK744" s="1"/>
    </row>
    <row r="745" spans="1:37" x14ac:dyDescent="0.3">
      <c r="A745" s="14">
        <v>337</v>
      </c>
      <c r="B745" s="14">
        <v>1</v>
      </c>
      <c r="C745" s="9" t="s">
        <v>0</v>
      </c>
      <c r="D745" s="9" t="s">
        <v>1077</v>
      </c>
      <c r="E745" s="9" t="s">
        <v>1196</v>
      </c>
      <c r="F745" s="9" t="s">
        <v>1197</v>
      </c>
      <c r="G745" s="9">
        <v>1</v>
      </c>
      <c r="H745" s="9" t="s">
        <v>26</v>
      </c>
      <c r="I745" s="9" t="s">
        <v>5</v>
      </c>
      <c r="J745" s="9">
        <v>1</v>
      </c>
      <c r="K745" s="9" t="b">
        <v>0</v>
      </c>
      <c r="L745" s="9" t="s">
        <v>7</v>
      </c>
      <c r="M745" s="9" t="b">
        <v>0</v>
      </c>
      <c r="N745" s="9" t="s">
        <v>1198</v>
      </c>
      <c r="O745" s="9" t="s">
        <v>3513</v>
      </c>
      <c r="P745" s="7">
        <v>1396</v>
      </c>
      <c r="Q745" s="7">
        <v>968</v>
      </c>
      <c r="R745" s="7">
        <v>548</v>
      </c>
      <c r="S745" s="7">
        <v>136</v>
      </c>
      <c r="T745" s="8">
        <v>5.0999999999999996</v>
      </c>
      <c r="U745" s="8">
        <v>1.4</v>
      </c>
      <c r="V745" s="17">
        <v>1.4</v>
      </c>
      <c r="AD745" s="1"/>
      <c r="AE745" s="3"/>
      <c r="AF745" s="2"/>
      <c r="AG745" s="3"/>
      <c r="AH745" s="3"/>
      <c r="AI745" s="3"/>
      <c r="AJ745" s="1"/>
      <c r="AK745" s="1"/>
    </row>
    <row r="746" spans="1:37" x14ac:dyDescent="0.3">
      <c r="A746" s="14">
        <v>299</v>
      </c>
      <c r="B746" s="14">
        <v>3</v>
      </c>
      <c r="C746" s="9" t="s">
        <v>0</v>
      </c>
      <c r="D746" s="9" t="s">
        <v>411</v>
      </c>
      <c r="E746" s="9" t="s">
        <v>1066</v>
      </c>
      <c r="F746" s="9" t="s">
        <v>1067</v>
      </c>
      <c r="G746" s="9">
        <v>1</v>
      </c>
      <c r="H746" s="9" t="s">
        <v>1068</v>
      </c>
      <c r="I746" s="9" t="s">
        <v>114</v>
      </c>
      <c r="J746" s="9">
        <v>4</v>
      </c>
      <c r="K746" s="9" t="b">
        <v>0</v>
      </c>
      <c r="L746" s="9" t="s">
        <v>309</v>
      </c>
      <c r="M746" s="9" t="b">
        <v>0</v>
      </c>
      <c r="N746" s="9" t="s">
        <v>1069</v>
      </c>
      <c r="O746" s="9" t="s">
        <v>3475</v>
      </c>
      <c r="P746" s="7">
        <v>1179</v>
      </c>
      <c r="Q746" s="7">
        <v>750</v>
      </c>
      <c r="R746" s="7">
        <v>368</v>
      </c>
      <c r="S746" s="7">
        <v>119</v>
      </c>
      <c r="T746" s="8">
        <v>4.8</v>
      </c>
      <c r="U746" s="8">
        <v>1.4</v>
      </c>
      <c r="V746" s="17">
        <v>1.4</v>
      </c>
      <c r="AD746" s="1"/>
      <c r="AE746" s="3"/>
      <c r="AF746" s="2"/>
      <c r="AG746" s="2"/>
      <c r="AH746" s="2"/>
      <c r="AI746" s="3"/>
      <c r="AJ746" s="1"/>
      <c r="AK746" s="1"/>
    </row>
    <row r="747" spans="1:37" x14ac:dyDescent="0.3">
      <c r="A747" s="14">
        <v>479</v>
      </c>
      <c r="B747" s="14">
        <v>2</v>
      </c>
      <c r="C747" s="9" t="s">
        <v>0</v>
      </c>
      <c r="D747" s="9" t="s">
        <v>1457</v>
      </c>
      <c r="E747" s="9" t="s">
        <v>1656</v>
      </c>
      <c r="F747" s="9" t="s">
        <v>1657</v>
      </c>
      <c r="G747" s="9">
        <v>1</v>
      </c>
      <c r="H747" s="9"/>
      <c r="I747" s="9"/>
      <c r="J747" s="9"/>
      <c r="K747" s="9" t="b">
        <v>0</v>
      </c>
      <c r="L747" s="9" t="s">
        <v>1482</v>
      </c>
      <c r="M747" s="9" t="b">
        <v>0</v>
      </c>
      <c r="N747" s="9" t="s">
        <v>1658</v>
      </c>
      <c r="O747" s="9" t="s">
        <v>3654</v>
      </c>
      <c r="P747" s="7">
        <v>1352</v>
      </c>
      <c r="Q747" s="7">
        <v>686</v>
      </c>
      <c r="R747" s="7">
        <v>499</v>
      </c>
      <c r="S747" s="7">
        <v>132</v>
      </c>
      <c r="T747" s="8">
        <v>5.2</v>
      </c>
      <c r="U747" s="8">
        <v>1.4</v>
      </c>
      <c r="V747" s="17">
        <v>1.4</v>
      </c>
      <c r="AD747" s="1"/>
      <c r="AE747" s="3"/>
      <c r="AF747" s="2"/>
      <c r="AG747" s="3"/>
      <c r="AH747" s="3"/>
      <c r="AI747" s="3"/>
      <c r="AJ747" s="1"/>
      <c r="AK747" s="1"/>
    </row>
    <row r="748" spans="1:37" x14ac:dyDescent="0.3">
      <c r="A748" s="14">
        <v>381</v>
      </c>
      <c r="B748" s="14">
        <v>1</v>
      </c>
      <c r="C748" s="9" t="s">
        <v>0</v>
      </c>
      <c r="D748" s="9" t="s">
        <v>1208</v>
      </c>
      <c r="E748" s="9" t="s">
        <v>1335</v>
      </c>
      <c r="F748" s="9" t="s">
        <v>1336</v>
      </c>
      <c r="G748" s="9">
        <v>1</v>
      </c>
      <c r="H748" s="9" t="s">
        <v>607</v>
      </c>
      <c r="I748" s="9" t="s">
        <v>22</v>
      </c>
      <c r="J748" s="9"/>
      <c r="K748" s="9" t="b">
        <v>0</v>
      </c>
      <c r="L748" s="9" t="s">
        <v>7</v>
      </c>
      <c r="M748" s="9" t="b">
        <v>0</v>
      </c>
      <c r="N748" s="9" t="s">
        <v>1337</v>
      </c>
      <c r="O748" s="9" t="s">
        <v>3557</v>
      </c>
      <c r="P748" s="7">
        <v>1352</v>
      </c>
      <c r="Q748" s="7">
        <v>878</v>
      </c>
      <c r="R748" s="7">
        <v>418</v>
      </c>
      <c r="S748" s="7">
        <v>132</v>
      </c>
      <c r="T748" s="8">
        <v>4.8</v>
      </c>
      <c r="U748" s="8">
        <v>1.4</v>
      </c>
      <c r="V748" s="17">
        <v>1.4</v>
      </c>
      <c r="AD748" s="1"/>
      <c r="AE748" s="3"/>
      <c r="AF748" s="3"/>
      <c r="AG748" s="3"/>
      <c r="AH748" s="3"/>
      <c r="AI748" s="3"/>
      <c r="AJ748" s="1"/>
      <c r="AK748" s="1"/>
    </row>
    <row r="749" spans="1:37" x14ac:dyDescent="0.3">
      <c r="A749" s="14">
        <v>559</v>
      </c>
      <c r="B749" s="14">
        <v>2</v>
      </c>
      <c r="C749" s="9" t="s">
        <v>1659</v>
      </c>
      <c r="D749" s="9" t="s">
        <v>180</v>
      </c>
      <c r="E749" s="9" t="s">
        <v>1898</v>
      </c>
      <c r="F749" s="9" t="s">
        <v>1899</v>
      </c>
      <c r="G749" s="9">
        <v>4</v>
      </c>
      <c r="H749" s="9"/>
      <c r="I749" s="9"/>
      <c r="J749" s="9"/>
      <c r="K749" s="9" t="b">
        <v>0</v>
      </c>
      <c r="L749" s="9" t="s">
        <v>234</v>
      </c>
      <c r="M749" s="9" t="b">
        <v>0</v>
      </c>
      <c r="N749" s="9" t="s">
        <v>1900</v>
      </c>
      <c r="O749" s="9" t="s">
        <v>3734</v>
      </c>
      <c r="P749" s="7">
        <v>1276</v>
      </c>
      <c r="Q749" s="7">
        <v>751</v>
      </c>
      <c r="R749" s="7">
        <v>443</v>
      </c>
      <c r="S749" s="7">
        <v>115</v>
      </c>
      <c r="T749" s="8">
        <v>5.5</v>
      </c>
      <c r="U749" s="8">
        <v>1.3</v>
      </c>
      <c r="V749" s="17">
        <v>1.3</v>
      </c>
      <c r="AD749" s="1"/>
      <c r="AE749" s="3"/>
      <c r="AF749" s="3"/>
      <c r="AG749" s="3"/>
      <c r="AH749" s="3"/>
      <c r="AI749" s="3"/>
      <c r="AJ749" s="1"/>
      <c r="AK749" s="1"/>
    </row>
    <row r="750" spans="1:37" x14ac:dyDescent="0.3">
      <c r="A750" s="14">
        <v>838</v>
      </c>
      <c r="B750" s="14">
        <v>1</v>
      </c>
      <c r="C750" s="9" t="s">
        <v>1659</v>
      </c>
      <c r="D750" s="9" t="s">
        <v>1208</v>
      </c>
      <c r="E750" s="9" t="s">
        <v>2758</v>
      </c>
      <c r="F750" s="9" t="s">
        <v>2759</v>
      </c>
      <c r="G750" s="9">
        <v>1</v>
      </c>
      <c r="H750" s="9"/>
      <c r="I750" s="9"/>
      <c r="J750" s="9"/>
      <c r="K750" s="9" t="b">
        <v>0</v>
      </c>
      <c r="L750" s="9" t="s">
        <v>7</v>
      </c>
      <c r="M750" s="9" t="b">
        <v>0</v>
      </c>
      <c r="N750" s="9" t="s">
        <v>2760</v>
      </c>
      <c r="O750" s="9" t="s">
        <v>4013</v>
      </c>
      <c r="P750" s="7">
        <v>1287</v>
      </c>
      <c r="Q750" s="7">
        <v>920</v>
      </c>
      <c r="R750" s="7">
        <v>556</v>
      </c>
      <c r="S750" s="7">
        <v>121</v>
      </c>
      <c r="T750" s="8">
        <v>5.0999999999999996</v>
      </c>
      <c r="U750" s="8">
        <v>1.3</v>
      </c>
      <c r="V750" s="17">
        <v>1.3</v>
      </c>
      <c r="AD750" s="1"/>
      <c r="AE750" s="3"/>
      <c r="AF750" s="3"/>
      <c r="AG750" s="3"/>
      <c r="AH750" s="3"/>
      <c r="AI750" s="3"/>
      <c r="AJ750" s="1"/>
      <c r="AK750" s="1"/>
    </row>
    <row r="751" spans="1:37" x14ac:dyDescent="0.3">
      <c r="A751" s="14">
        <v>567</v>
      </c>
      <c r="B751" s="14">
        <v>2</v>
      </c>
      <c r="C751" s="9" t="s">
        <v>1659</v>
      </c>
      <c r="D751" s="9" t="s">
        <v>180</v>
      </c>
      <c r="E751" s="9" t="s">
        <v>1923</v>
      </c>
      <c r="F751" s="9" t="s">
        <v>1924</v>
      </c>
      <c r="G751" s="9">
        <v>1</v>
      </c>
      <c r="H751" s="9"/>
      <c r="I751" s="9"/>
      <c r="J751" s="9"/>
      <c r="K751" s="9" t="b">
        <v>0</v>
      </c>
      <c r="L751" s="9" t="s">
        <v>407</v>
      </c>
      <c r="M751" s="9" t="b">
        <v>0</v>
      </c>
      <c r="N751" s="9" t="s">
        <v>1925</v>
      </c>
      <c r="O751" s="9" t="s">
        <v>3742</v>
      </c>
      <c r="P751" s="7">
        <v>1251</v>
      </c>
      <c r="Q751" s="7">
        <v>841</v>
      </c>
      <c r="R751" s="7">
        <v>486</v>
      </c>
      <c r="S751" s="7">
        <v>117</v>
      </c>
      <c r="T751" s="8">
        <v>5.3</v>
      </c>
      <c r="U751" s="8">
        <v>1.3</v>
      </c>
      <c r="V751" s="17">
        <v>1.3</v>
      </c>
      <c r="AD751" s="1"/>
      <c r="AE751" s="3"/>
      <c r="AF751" s="3"/>
      <c r="AG751" s="3"/>
      <c r="AH751" s="3"/>
      <c r="AI751" s="3"/>
      <c r="AJ751" s="1"/>
      <c r="AK751" s="1"/>
    </row>
    <row r="752" spans="1:37" x14ac:dyDescent="0.3">
      <c r="A752" s="14">
        <v>945</v>
      </c>
      <c r="B752" s="14">
        <v>2</v>
      </c>
      <c r="C752" s="9" t="s">
        <v>1659</v>
      </c>
      <c r="D752" s="9" t="s">
        <v>1457</v>
      </c>
      <c r="E752" s="9" t="s">
        <v>3082</v>
      </c>
      <c r="F752" s="9" t="s">
        <v>3083</v>
      </c>
      <c r="G752" s="9">
        <v>3</v>
      </c>
      <c r="H752" s="9"/>
      <c r="I752" s="9"/>
      <c r="J752" s="9"/>
      <c r="K752" s="9" t="b">
        <v>0</v>
      </c>
      <c r="L752" s="9" t="s">
        <v>296</v>
      </c>
      <c r="M752" s="9" t="b">
        <v>0</v>
      </c>
      <c r="N752" s="9" t="s">
        <v>3084</v>
      </c>
      <c r="O752" s="9" t="s">
        <v>4117</v>
      </c>
      <c r="P752" s="7">
        <v>1315</v>
      </c>
      <c r="Q752" s="7">
        <v>711</v>
      </c>
      <c r="R752" s="7">
        <v>358</v>
      </c>
      <c r="S752" s="7">
        <v>118</v>
      </c>
      <c r="T752" s="8">
        <v>6</v>
      </c>
      <c r="U752" s="8">
        <v>1.3</v>
      </c>
      <c r="V752" s="17">
        <v>1.3</v>
      </c>
      <c r="AD752" s="1"/>
      <c r="AE752" s="3"/>
      <c r="AF752" s="3"/>
      <c r="AG752" s="3"/>
      <c r="AH752" s="3"/>
      <c r="AI752" s="3"/>
      <c r="AJ752" s="1"/>
      <c r="AK752" s="1"/>
    </row>
    <row r="753" spans="1:37" x14ac:dyDescent="0.3">
      <c r="A753" s="14">
        <v>709</v>
      </c>
      <c r="B753" s="14">
        <v>3</v>
      </c>
      <c r="C753" s="9" t="s">
        <v>1659</v>
      </c>
      <c r="D753" s="9" t="s">
        <v>411</v>
      </c>
      <c r="E753" s="9" t="s">
        <v>2366</v>
      </c>
      <c r="F753" s="9" t="s">
        <v>2367</v>
      </c>
      <c r="G753" s="9">
        <v>3</v>
      </c>
      <c r="H753" s="9"/>
      <c r="I753" s="9"/>
      <c r="J753" s="9"/>
      <c r="K753" s="9" t="b">
        <v>0</v>
      </c>
      <c r="L753" s="9" t="s">
        <v>1897</v>
      </c>
      <c r="M753" s="9" t="b">
        <v>1</v>
      </c>
      <c r="N753" s="9" t="s">
        <v>2368</v>
      </c>
      <c r="O753" s="9" t="s">
        <v>3884</v>
      </c>
      <c r="P753" s="7">
        <v>941</v>
      </c>
      <c r="Q753" s="7">
        <v>569</v>
      </c>
      <c r="R753" s="7">
        <v>328</v>
      </c>
      <c r="S753" s="7">
        <v>84</v>
      </c>
      <c r="T753" s="8">
        <v>5.4</v>
      </c>
      <c r="U753" s="8">
        <v>1.3</v>
      </c>
      <c r="V753" s="17">
        <v>1.3</v>
      </c>
      <c r="AD753" s="1"/>
      <c r="AE753" s="3"/>
      <c r="AF753" s="2"/>
      <c r="AG753" s="2"/>
      <c r="AH753" s="3"/>
      <c r="AI753" s="3"/>
      <c r="AJ753" s="1"/>
      <c r="AK753" s="1"/>
    </row>
    <row r="754" spans="1:37" x14ac:dyDescent="0.3">
      <c r="A754" s="14">
        <v>856</v>
      </c>
      <c r="B754" s="14">
        <v>1</v>
      </c>
      <c r="C754" s="9" t="s">
        <v>1659</v>
      </c>
      <c r="D754" s="9" t="s">
        <v>1208</v>
      </c>
      <c r="E754" s="9" t="s">
        <v>2812</v>
      </c>
      <c r="F754" s="9" t="s">
        <v>2813</v>
      </c>
      <c r="G754" s="9">
        <v>1</v>
      </c>
      <c r="H754" s="9"/>
      <c r="I754" s="9"/>
      <c r="J754" s="9"/>
      <c r="K754" s="9" t="b">
        <v>0</v>
      </c>
      <c r="L754" s="9" t="s">
        <v>7</v>
      </c>
      <c r="M754" s="9" t="b">
        <v>0</v>
      </c>
      <c r="N754" s="9" t="s">
        <v>2814</v>
      </c>
      <c r="O754" s="9" t="s">
        <v>4031</v>
      </c>
      <c r="P754" s="7">
        <v>1432</v>
      </c>
      <c r="Q754" s="7">
        <v>967</v>
      </c>
      <c r="R754" s="7">
        <v>519</v>
      </c>
      <c r="S754" s="7">
        <v>131</v>
      </c>
      <c r="T754" s="8">
        <v>5.4</v>
      </c>
      <c r="U754" s="8">
        <v>1.3</v>
      </c>
      <c r="V754" s="17">
        <v>1.3</v>
      </c>
      <c r="AD754" s="1"/>
      <c r="AE754" s="3"/>
      <c r="AF754" s="3"/>
      <c r="AG754" s="3"/>
      <c r="AH754" s="3"/>
      <c r="AI754" s="3"/>
      <c r="AJ754" s="1"/>
      <c r="AK754" s="1"/>
    </row>
    <row r="755" spans="1:37" x14ac:dyDescent="0.3">
      <c r="A755" s="14">
        <v>859</v>
      </c>
      <c r="B755" s="14">
        <v>1</v>
      </c>
      <c r="C755" s="9" t="s">
        <v>1659</v>
      </c>
      <c r="D755" s="9" t="s">
        <v>1208</v>
      </c>
      <c r="E755" s="9" t="s">
        <v>2821</v>
      </c>
      <c r="F755" s="9" t="s">
        <v>2822</v>
      </c>
      <c r="G755" s="9">
        <v>4</v>
      </c>
      <c r="H755" s="9"/>
      <c r="I755" s="9"/>
      <c r="J755" s="9"/>
      <c r="K755" s="9" t="b">
        <v>0</v>
      </c>
      <c r="L755" s="9" t="s">
        <v>7</v>
      </c>
      <c r="M755" s="9" t="b">
        <v>0</v>
      </c>
      <c r="N755" s="9" t="s">
        <v>2823</v>
      </c>
      <c r="O755" s="9" t="s">
        <v>4034</v>
      </c>
      <c r="P755" s="7">
        <v>1304</v>
      </c>
      <c r="Q755" s="7">
        <v>933</v>
      </c>
      <c r="R755" s="7">
        <v>539</v>
      </c>
      <c r="S755" s="7">
        <v>120</v>
      </c>
      <c r="T755" s="8">
        <v>5.2</v>
      </c>
      <c r="U755" s="8">
        <v>1.3</v>
      </c>
      <c r="V755" s="17">
        <v>1.3</v>
      </c>
      <c r="AD755" s="1"/>
      <c r="AE755" s="3"/>
      <c r="AF755" s="3"/>
      <c r="AG755" s="3"/>
      <c r="AH755" s="3"/>
      <c r="AI755" s="3"/>
      <c r="AJ755" s="1"/>
      <c r="AK755" s="1"/>
    </row>
    <row r="756" spans="1:37" x14ac:dyDescent="0.3">
      <c r="A756" s="14">
        <v>823</v>
      </c>
      <c r="B756" s="14">
        <v>1</v>
      </c>
      <c r="C756" s="9" t="s">
        <v>1659</v>
      </c>
      <c r="D756" s="9" t="s">
        <v>1077</v>
      </c>
      <c r="E756" s="9" t="s">
        <v>2713</v>
      </c>
      <c r="F756" s="9" t="s">
        <v>2714</v>
      </c>
      <c r="G756" s="9">
        <v>1</v>
      </c>
      <c r="H756" s="9"/>
      <c r="I756" s="9"/>
      <c r="J756" s="9"/>
      <c r="K756" s="9" t="b">
        <v>0</v>
      </c>
      <c r="L756" s="9" t="s">
        <v>7</v>
      </c>
      <c r="M756" s="9" t="b">
        <v>0</v>
      </c>
      <c r="N756" s="9" t="s">
        <v>2715</v>
      </c>
      <c r="O756" s="9" t="s">
        <v>3998</v>
      </c>
      <c r="P756" s="7">
        <v>1284</v>
      </c>
      <c r="Q756" s="7">
        <v>745</v>
      </c>
      <c r="R756" s="7">
        <v>384</v>
      </c>
      <c r="S756" s="7">
        <v>118</v>
      </c>
      <c r="T756" s="8">
        <v>5.6</v>
      </c>
      <c r="U756" s="8">
        <v>1.3</v>
      </c>
      <c r="V756" s="17">
        <v>1.3</v>
      </c>
      <c r="AD756" s="1"/>
      <c r="AE756" s="3"/>
      <c r="AF756" s="3"/>
      <c r="AG756" s="3"/>
      <c r="AH756" s="3"/>
      <c r="AI756" s="3"/>
      <c r="AJ756" s="1"/>
      <c r="AK756" s="1"/>
    </row>
    <row r="757" spans="1:37" x14ac:dyDescent="0.3">
      <c r="A757" s="14">
        <v>770</v>
      </c>
      <c r="B757" s="14">
        <v>3</v>
      </c>
      <c r="C757" s="9" t="s">
        <v>1659</v>
      </c>
      <c r="D757" s="9" t="s">
        <v>411</v>
      </c>
      <c r="E757" s="9" t="s">
        <v>2553</v>
      </c>
      <c r="F757" s="9" t="s">
        <v>2554</v>
      </c>
      <c r="G757" s="9">
        <v>1</v>
      </c>
      <c r="H757" s="9"/>
      <c r="I757" s="9"/>
      <c r="J757" s="9"/>
      <c r="K757" s="9" t="b">
        <v>0</v>
      </c>
      <c r="L757" s="9" t="s">
        <v>931</v>
      </c>
      <c r="M757" s="9" t="b">
        <v>0</v>
      </c>
      <c r="N757" s="9" t="s">
        <v>2555</v>
      </c>
      <c r="O757" s="9" t="s">
        <v>3945</v>
      </c>
      <c r="P757" s="7">
        <v>932</v>
      </c>
      <c r="Q757" s="7">
        <v>553</v>
      </c>
      <c r="R757" s="7">
        <v>251</v>
      </c>
      <c r="S757" s="7">
        <v>83</v>
      </c>
      <c r="T757" s="8">
        <v>5.6</v>
      </c>
      <c r="U757" s="8">
        <v>1.3</v>
      </c>
      <c r="V757" s="17">
        <v>1.3</v>
      </c>
      <c r="AD757" s="1"/>
      <c r="AE757" s="3"/>
      <c r="AF757" s="2"/>
      <c r="AG757" s="3"/>
      <c r="AH757" s="3"/>
      <c r="AI757" s="3"/>
      <c r="AJ757" s="1"/>
      <c r="AK757" s="1"/>
    </row>
    <row r="758" spans="1:37" x14ac:dyDescent="0.3">
      <c r="A758" s="14">
        <v>961</v>
      </c>
      <c r="B758" s="14">
        <v>2</v>
      </c>
      <c r="C758" s="9" t="s">
        <v>1659</v>
      </c>
      <c r="D758" s="9" t="s">
        <v>1457</v>
      </c>
      <c r="E758" s="9" t="s">
        <v>3135</v>
      </c>
      <c r="F758" s="9" t="s">
        <v>3136</v>
      </c>
      <c r="G758" s="9">
        <v>1</v>
      </c>
      <c r="H758" s="9"/>
      <c r="I758" s="9"/>
      <c r="J758" s="9"/>
      <c r="K758" s="9" t="b">
        <v>0</v>
      </c>
      <c r="L758" s="9" t="s">
        <v>3138</v>
      </c>
      <c r="M758" s="9" t="b">
        <v>1</v>
      </c>
      <c r="N758" s="9" t="s">
        <v>3137</v>
      </c>
      <c r="O758" s="11" t="s">
        <v>4133</v>
      </c>
      <c r="P758" s="7">
        <v>1294</v>
      </c>
      <c r="Q758" s="7">
        <v>728</v>
      </c>
      <c r="R758" s="7">
        <v>373</v>
      </c>
      <c r="S758" s="7">
        <v>120</v>
      </c>
      <c r="T758" s="8">
        <v>5.5</v>
      </c>
      <c r="U758" s="8">
        <v>1.3</v>
      </c>
      <c r="V758" s="17">
        <v>1.3</v>
      </c>
      <c r="AD758" s="1"/>
      <c r="AE758" s="3"/>
      <c r="AF758" s="2"/>
      <c r="AG758" s="3"/>
      <c r="AH758" s="3"/>
      <c r="AI758" s="3"/>
      <c r="AJ758" s="1"/>
      <c r="AK758" s="1"/>
    </row>
    <row r="759" spans="1:37" x14ac:dyDescent="0.3">
      <c r="A759" s="14">
        <v>782</v>
      </c>
      <c r="B759" s="14">
        <v>3</v>
      </c>
      <c r="C759" s="9" t="s">
        <v>1659</v>
      </c>
      <c r="D759" s="9" t="s">
        <v>411</v>
      </c>
      <c r="E759" s="9" t="s">
        <v>2590</v>
      </c>
      <c r="F759" s="9" t="s">
        <v>2591</v>
      </c>
      <c r="G759" s="9">
        <v>3</v>
      </c>
      <c r="H759" s="9"/>
      <c r="I759" s="9"/>
      <c r="J759" s="9"/>
      <c r="K759" s="9" t="b">
        <v>0</v>
      </c>
      <c r="L759" s="9" t="s">
        <v>420</v>
      </c>
      <c r="M759" s="9" t="b">
        <v>0</v>
      </c>
      <c r="N759" s="9" t="s">
        <v>2592</v>
      </c>
      <c r="O759" s="9" t="s">
        <v>3957</v>
      </c>
      <c r="P759" s="7">
        <v>1110</v>
      </c>
      <c r="Q759" s="7">
        <v>819</v>
      </c>
      <c r="R759" s="7">
        <v>461</v>
      </c>
      <c r="S759" s="7">
        <v>98</v>
      </c>
      <c r="T759" s="8">
        <v>5.0999999999999996</v>
      </c>
      <c r="U759" s="8">
        <v>1.3</v>
      </c>
      <c r="V759" s="17">
        <v>1.3</v>
      </c>
      <c r="AD759" s="1"/>
      <c r="AE759" s="3"/>
      <c r="AF759" s="2"/>
      <c r="AG759" s="3"/>
      <c r="AH759" s="3"/>
      <c r="AI759" s="3"/>
      <c r="AJ759" s="1"/>
      <c r="AK759" s="1"/>
    </row>
    <row r="760" spans="1:37" x14ac:dyDescent="0.3">
      <c r="A760" s="14">
        <v>342</v>
      </c>
      <c r="B760" s="14">
        <v>1</v>
      </c>
      <c r="C760" s="9" t="s">
        <v>0</v>
      </c>
      <c r="D760" s="9" t="s">
        <v>1208</v>
      </c>
      <c r="E760" s="9" t="s">
        <v>1212</v>
      </c>
      <c r="F760" s="9" t="s">
        <v>1213</v>
      </c>
      <c r="G760" s="9">
        <v>1</v>
      </c>
      <c r="H760" s="9" t="s">
        <v>18</v>
      </c>
      <c r="I760" s="9" t="s">
        <v>775</v>
      </c>
      <c r="J760" s="9">
        <v>5</v>
      </c>
      <c r="K760" s="9" t="b">
        <v>0</v>
      </c>
      <c r="L760" s="9" t="s">
        <v>7</v>
      </c>
      <c r="M760" s="9" t="b">
        <v>0</v>
      </c>
      <c r="N760" s="9" t="s">
        <v>1214</v>
      </c>
      <c r="O760" s="9" t="s">
        <v>3518</v>
      </c>
      <c r="P760" s="7">
        <v>1382</v>
      </c>
      <c r="Q760" s="7">
        <v>902</v>
      </c>
      <c r="R760" s="7">
        <v>430</v>
      </c>
      <c r="S760" s="7">
        <v>128</v>
      </c>
      <c r="T760" s="8">
        <v>5.2</v>
      </c>
      <c r="U760" s="8">
        <v>1.3</v>
      </c>
      <c r="V760" s="17">
        <v>1.3</v>
      </c>
      <c r="AD760" s="1"/>
      <c r="AE760" s="3"/>
      <c r="AF760" s="3"/>
      <c r="AG760" s="3"/>
      <c r="AH760" s="3"/>
      <c r="AI760" s="3"/>
      <c r="AJ760" s="1"/>
      <c r="AK760" s="1"/>
    </row>
    <row r="761" spans="1:37" x14ac:dyDescent="0.3">
      <c r="A761" s="14">
        <v>144</v>
      </c>
      <c r="B761" s="14">
        <v>3</v>
      </c>
      <c r="C761" s="9" t="s">
        <v>0</v>
      </c>
      <c r="D761" s="9" t="s">
        <v>411</v>
      </c>
      <c r="E761" s="9" t="s">
        <v>546</v>
      </c>
      <c r="F761" s="9" t="s">
        <v>547</v>
      </c>
      <c r="G761" s="9">
        <v>1</v>
      </c>
      <c r="H761" s="9" t="s">
        <v>548</v>
      </c>
      <c r="I761" s="9" t="s">
        <v>51</v>
      </c>
      <c r="J761" s="9"/>
      <c r="K761" s="9" t="b">
        <v>0</v>
      </c>
      <c r="L761" s="9" t="s">
        <v>194</v>
      </c>
      <c r="M761" s="9" t="b">
        <v>0</v>
      </c>
      <c r="N761" s="9" t="s">
        <v>549</v>
      </c>
      <c r="O761" s="9" t="s">
        <v>3320</v>
      </c>
      <c r="P761" s="7">
        <v>1139</v>
      </c>
      <c r="Q761" s="7">
        <v>732</v>
      </c>
      <c r="R761" s="7">
        <v>370</v>
      </c>
      <c r="S761" s="7">
        <v>105</v>
      </c>
      <c r="T761" s="8">
        <v>5.0999999999999996</v>
      </c>
      <c r="U761" s="8">
        <v>1.3</v>
      </c>
      <c r="V761" s="17">
        <v>1.3</v>
      </c>
      <c r="AD761" s="1"/>
      <c r="AE761" s="3"/>
      <c r="AF761" s="2"/>
      <c r="AG761" s="3"/>
      <c r="AH761" s="3"/>
      <c r="AI761" s="3"/>
      <c r="AJ761" s="1"/>
      <c r="AK761" s="1"/>
    </row>
    <row r="762" spans="1:37" x14ac:dyDescent="0.3">
      <c r="A762" s="14">
        <v>316</v>
      </c>
      <c r="B762" s="14">
        <v>1</v>
      </c>
      <c r="C762" s="9" t="s">
        <v>0</v>
      </c>
      <c r="D762" s="9" t="s">
        <v>1077</v>
      </c>
      <c r="E762" s="9" t="s">
        <v>1122</v>
      </c>
      <c r="F762" s="9" t="s">
        <v>1123</v>
      </c>
      <c r="G762" s="9">
        <v>1</v>
      </c>
      <c r="H762" s="9"/>
      <c r="I762" s="9" t="s">
        <v>5</v>
      </c>
      <c r="J762" s="9"/>
      <c r="K762" s="9" t="b">
        <v>0</v>
      </c>
      <c r="L762" s="9" t="s">
        <v>7</v>
      </c>
      <c r="M762" s="9" t="b">
        <v>0</v>
      </c>
      <c r="N762" s="9" t="s">
        <v>1124</v>
      </c>
      <c r="O762" s="9" t="s">
        <v>3492</v>
      </c>
      <c r="P762" s="7">
        <v>1362</v>
      </c>
      <c r="Q762" s="7">
        <v>878</v>
      </c>
      <c r="R762" s="7">
        <v>652</v>
      </c>
      <c r="S762" s="7">
        <v>128</v>
      </c>
      <c r="T762" s="8">
        <v>5.0999999999999996</v>
      </c>
      <c r="U762" s="8">
        <v>1.3</v>
      </c>
      <c r="V762" s="17">
        <v>1.3</v>
      </c>
      <c r="AD762" s="1"/>
      <c r="AE762" s="3"/>
      <c r="AF762" s="2"/>
      <c r="AG762" s="3"/>
      <c r="AH762" s="3"/>
      <c r="AI762" s="3"/>
      <c r="AJ762" s="1"/>
      <c r="AK762" s="1"/>
    </row>
    <row r="763" spans="1:37" x14ac:dyDescent="0.3">
      <c r="A763" s="14">
        <v>204</v>
      </c>
      <c r="B763" s="14">
        <v>3</v>
      </c>
      <c r="C763" s="9" t="s">
        <v>0</v>
      </c>
      <c r="D763" s="9" t="s">
        <v>411</v>
      </c>
      <c r="E763" s="9" t="s">
        <v>755</v>
      </c>
      <c r="F763" s="9" t="s">
        <v>756</v>
      </c>
      <c r="G763" s="9">
        <v>1</v>
      </c>
      <c r="H763" s="9"/>
      <c r="I763" s="9" t="s">
        <v>757</v>
      </c>
      <c r="J763" s="9">
        <v>1</v>
      </c>
      <c r="K763" s="9" t="b">
        <v>0</v>
      </c>
      <c r="L763" s="9" t="s">
        <v>275</v>
      </c>
      <c r="M763" s="9" t="b">
        <v>0</v>
      </c>
      <c r="N763" s="9" t="s">
        <v>758</v>
      </c>
      <c r="O763" s="9" t="s">
        <v>3380</v>
      </c>
      <c r="P763" s="7">
        <v>1138</v>
      </c>
      <c r="Q763" s="7">
        <v>805</v>
      </c>
      <c r="R763" s="7">
        <v>440</v>
      </c>
      <c r="S763" s="7">
        <v>101</v>
      </c>
      <c r="T763" s="8">
        <v>4.9000000000000004</v>
      </c>
      <c r="U763" s="8">
        <v>1.3</v>
      </c>
      <c r="V763" s="17">
        <v>1.3</v>
      </c>
      <c r="AD763" s="1"/>
      <c r="AE763" s="3"/>
      <c r="AF763" s="2"/>
      <c r="AG763" s="2"/>
      <c r="AH763" s="2"/>
      <c r="AI763" s="3"/>
      <c r="AJ763" s="1"/>
      <c r="AK763" s="1"/>
    </row>
    <row r="764" spans="1:37" x14ac:dyDescent="0.3">
      <c r="A764" s="14">
        <v>212</v>
      </c>
      <c r="B764" s="14">
        <v>3</v>
      </c>
      <c r="C764" s="9" t="s">
        <v>0</v>
      </c>
      <c r="D764" s="9" t="s">
        <v>411</v>
      </c>
      <c r="E764" s="9" t="s">
        <v>784</v>
      </c>
      <c r="F764" s="9" t="s">
        <v>785</v>
      </c>
      <c r="G764" s="9">
        <v>1</v>
      </c>
      <c r="H764" s="9" t="s">
        <v>786</v>
      </c>
      <c r="I764" s="9" t="s">
        <v>312</v>
      </c>
      <c r="J764" s="9"/>
      <c r="K764" s="9" t="b">
        <v>0</v>
      </c>
      <c r="L764" s="9" t="s">
        <v>772</v>
      </c>
      <c r="M764" s="9" t="b">
        <v>0</v>
      </c>
      <c r="N764" s="9" t="s">
        <v>787</v>
      </c>
      <c r="O764" s="9" t="s">
        <v>3388</v>
      </c>
      <c r="P764" s="7">
        <v>1137</v>
      </c>
      <c r="Q764" s="7">
        <v>512</v>
      </c>
      <c r="R764" s="7">
        <v>321</v>
      </c>
      <c r="S764" s="7">
        <v>101</v>
      </c>
      <c r="T764" s="8">
        <v>5.5</v>
      </c>
      <c r="U764" s="8">
        <v>1.3</v>
      </c>
      <c r="V764" s="17">
        <v>1.3</v>
      </c>
      <c r="AD764" s="1"/>
      <c r="AE764" s="3"/>
      <c r="AF764" s="2"/>
      <c r="AG764" s="3"/>
      <c r="AH764" s="3"/>
      <c r="AI764" s="3"/>
      <c r="AJ764" s="1"/>
      <c r="AK764" s="1"/>
    </row>
    <row r="765" spans="1:37" x14ac:dyDescent="0.3">
      <c r="A765" s="14">
        <v>319</v>
      </c>
      <c r="B765" s="14">
        <v>1</v>
      </c>
      <c r="C765" s="9" t="s">
        <v>0</v>
      </c>
      <c r="D765" s="9" t="s">
        <v>1077</v>
      </c>
      <c r="E765" s="9" t="s">
        <v>1133</v>
      </c>
      <c r="F765" s="9" t="s">
        <v>1134</v>
      </c>
      <c r="G765" s="9">
        <v>1</v>
      </c>
      <c r="H765" s="9"/>
      <c r="I765" s="9" t="s">
        <v>312</v>
      </c>
      <c r="J765" s="9"/>
      <c r="K765" s="9" t="b">
        <v>0</v>
      </c>
      <c r="L765" s="9" t="s">
        <v>7</v>
      </c>
      <c r="M765" s="9" t="b">
        <v>0</v>
      </c>
      <c r="N765" s="9" t="s">
        <v>1135</v>
      </c>
      <c r="O765" s="9" t="s">
        <v>3495</v>
      </c>
      <c r="P765" s="7">
        <v>1333</v>
      </c>
      <c r="Q765" s="7">
        <v>849</v>
      </c>
      <c r="R765" s="7">
        <v>507</v>
      </c>
      <c r="S765" s="7">
        <v>122</v>
      </c>
      <c r="T765" s="8">
        <v>5.0999999999999996</v>
      </c>
      <c r="U765" s="8">
        <v>1.3</v>
      </c>
      <c r="V765" s="17">
        <v>1.3</v>
      </c>
      <c r="AD765" s="1"/>
      <c r="AE765" s="3"/>
      <c r="AF765" s="2"/>
      <c r="AG765" s="2"/>
      <c r="AH765" s="2"/>
      <c r="AI765" s="3"/>
      <c r="AJ765" s="1"/>
      <c r="AK765" s="1"/>
    </row>
    <row r="766" spans="1:37" x14ac:dyDescent="0.3">
      <c r="A766" s="14">
        <v>235</v>
      </c>
      <c r="B766" s="14">
        <v>3</v>
      </c>
      <c r="C766" s="9" t="s">
        <v>0</v>
      </c>
      <c r="D766" s="9" t="s">
        <v>411</v>
      </c>
      <c r="E766" s="9" t="s">
        <v>858</v>
      </c>
      <c r="F766" s="9" t="s">
        <v>859</v>
      </c>
      <c r="G766" s="9">
        <v>1</v>
      </c>
      <c r="H766" s="9" t="s">
        <v>84</v>
      </c>
      <c r="I766" s="9"/>
      <c r="J766" s="9"/>
      <c r="K766" s="9" t="b">
        <v>0</v>
      </c>
      <c r="L766" s="9" t="s">
        <v>453</v>
      </c>
      <c r="M766" s="9" t="b">
        <v>0</v>
      </c>
      <c r="N766" s="9" t="s">
        <v>860</v>
      </c>
      <c r="O766" s="9" t="s">
        <v>3411</v>
      </c>
      <c r="P766" s="7">
        <v>929</v>
      </c>
      <c r="Q766" s="7">
        <v>570</v>
      </c>
      <c r="R766" s="7">
        <v>357</v>
      </c>
      <c r="S766" s="7">
        <v>82</v>
      </c>
      <c r="T766" s="8">
        <v>5.4</v>
      </c>
      <c r="U766" s="8">
        <v>1.3</v>
      </c>
      <c r="V766" s="17">
        <v>1.3</v>
      </c>
      <c r="AD766" s="1"/>
      <c r="AE766" s="3"/>
      <c r="AF766" s="3"/>
      <c r="AG766" s="3"/>
      <c r="AH766" s="3"/>
      <c r="AI766" s="3"/>
      <c r="AJ766" s="1"/>
      <c r="AK766" s="1"/>
    </row>
    <row r="767" spans="1:37" x14ac:dyDescent="0.3">
      <c r="A767" s="14">
        <v>372</v>
      </c>
      <c r="B767" s="14">
        <v>1</v>
      </c>
      <c r="C767" s="9" t="s">
        <v>0</v>
      </c>
      <c r="D767" s="9" t="s">
        <v>1208</v>
      </c>
      <c r="E767" s="9" t="s">
        <v>1307</v>
      </c>
      <c r="F767" s="9" t="s">
        <v>1308</v>
      </c>
      <c r="G767" s="9">
        <v>1</v>
      </c>
      <c r="H767" s="9" t="s">
        <v>1309</v>
      </c>
      <c r="I767" s="9"/>
      <c r="J767" s="9">
        <v>3</v>
      </c>
      <c r="K767" s="9" t="b">
        <v>0</v>
      </c>
      <c r="L767" s="9" t="s">
        <v>7</v>
      </c>
      <c r="M767" s="9" t="b">
        <v>1</v>
      </c>
      <c r="N767" s="9" t="s">
        <v>1310</v>
      </c>
      <c r="O767" s="9" t="s">
        <v>3548</v>
      </c>
      <c r="P767" s="7">
        <v>1448</v>
      </c>
      <c r="Q767" s="7">
        <v>788</v>
      </c>
      <c r="R767" s="7">
        <v>408</v>
      </c>
      <c r="S767" s="7">
        <v>133</v>
      </c>
      <c r="T767" s="8">
        <v>5.4</v>
      </c>
      <c r="U767" s="8">
        <v>1.3</v>
      </c>
      <c r="V767" s="17">
        <v>1.3</v>
      </c>
      <c r="AD767" s="1"/>
      <c r="AE767" s="3"/>
      <c r="AF767" s="3"/>
      <c r="AG767" s="3"/>
      <c r="AH767" s="3"/>
      <c r="AI767" s="3"/>
      <c r="AJ767" s="1"/>
      <c r="AK767" s="1"/>
    </row>
    <row r="768" spans="1:37" x14ac:dyDescent="0.3">
      <c r="A768" s="14">
        <v>272</v>
      </c>
      <c r="B768" s="14">
        <v>3</v>
      </c>
      <c r="C768" s="9" t="s">
        <v>0</v>
      </c>
      <c r="D768" s="9" t="s">
        <v>411</v>
      </c>
      <c r="E768" s="9" t="s">
        <v>981</v>
      </c>
      <c r="F768" s="9" t="s">
        <v>982</v>
      </c>
      <c r="G768" s="9">
        <v>1</v>
      </c>
      <c r="H768" s="9"/>
      <c r="I768" s="9" t="s">
        <v>22</v>
      </c>
      <c r="J768" s="9"/>
      <c r="K768" s="9" t="b">
        <v>0</v>
      </c>
      <c r="L768" s="9" t="s">
        <v>238</v>
      </c>
      <c r="M768" s="9" t="b">
        <v>0</v>
      </c>
      <c r="N768" s="9" t="s">
        <v>983</v>
      </c>
      <c r="O768" s="9" t="s">
        <v>3448</v>
      </c>
      <c r="P768" s="7">
        <v>1177</v>
      </c>
      <c r="Q768" s="7">
        <v>716</v>
      </c>
      <c r="R768" s="7">
        <v>421</v>
      </c>
      <c r="S768" s="7">
        <v>108</v>
      </c>
      <c r="T768" s="8">
        <v>5.6</v>
      </c>
      <c r="U768" s="8">
        <v>1.3</v>
      </c>
      <c r="V768" s="17">
        <v>1.3</v>
      </c>
      <c r="AD768" s="1"/>
      <c r="AE768" s="3"/>
      <c r="AF768" s="2"/>
      <c r="AG768" s="2"/>
      <c r="AH768" s="3"/>
      <c r="AI768" s="3"/>
      <c r="AJ768" s="1"/>
      <c r="AK768" s="1"/>
    </row>
    <row r="769" spans="1:37" x14ac:dyDescent="0.3">
      <c r="A769" s="14">
        <v>284</v>
      </c>
      <c r="B769" s="14">
        <v>3</v>
      </c>
      <c r="C769" s="9" t="s">
        <v>0</v>
      </c>
      <c r="D769" s="9" t="s">
        <v>411</v>
      </c>
      <c r="E769" s="9" t="s">
        <v>1019</v>
      </c>
      <c r="F769" s="9" t="s">
        <v>1020</v>
      </c>
      <c r="G769" s="9">
        <v>1</v>
      </c>
      <c r="H769" s="9" t="s">
        <v>742</v>
      </c>
      <c r="I769" s="9"/>
      <c r="J769" s="9"/>
      <c r="K769" s="9" t="b">
        <v>1</v>
      </c>
      <c r="L769" s="9" t="s">
        <v>194</v>
      </c>
      <c r="M769" s="9" t="b">
        <v>0</v>
      </c>
      <c r="N769" s="9" t="s">
        <v>1021</v>
      </c>
      <c r="O769" s="9" t="s">
        <v>3460</v>
      </c>
      <c r="P769" s="7">
        <v>1219</v>
      </c>
      <c r="Q769" s="7">
        <v>658</v>
      </c>
      <c r="R769" s="7">
        <v>349</v>
      </c>
      <c r="S769" s="7">
        <v>112</v>
      </c>
      <c r="T769" s="8">
        <v>5.6</v>
      </c>
      <c r="U769" s="8">
        <v>1.3</v>
      </c>
      <c r="V769" s="17">
        <v>1.3</v>
      </c>
      <c r="AD769" s="1"/>
      <c r="AE769" s="3"/>
      <c r="AF769" s="2"/>
      <c r="AG769" s="2"/>
      <c r="AH769" s="3"/>
      <c r="AI769" s="3"/>
      <c r="AJ769" s="1"/>
      <c r="AK769" s="1"/>
    </row>
    <row r="770" spans="1:37" x14ac:dyDescent="0.3">
      <c r="A770" s="14">
        <v>101</v>
      </c>
      <c r="B770" s="14">
        <v>2</v>
      </c>
      <c r="C770" s="9" t="s">
        <v>0</v>
      </c>
      <c r="D770" s="9" t="s">
        <v>180</v>
      </c>
      <c r="E770" s="9" t="s">
        <v>379</v>
      </c>
      <c r="F770" s="9" t="s">
        <v>380</v>
      </c>
      <c r="G770" s="9">
        <v>1</v>
      </c>
      <c r="H770" s="9" t="s">
        <v>26</v>
      </c>
      <c r="I770" s="9" t="s">
        <v>312</v>
      </c>
      <c r="J770" s="9"/>
      <c r="K770" s="9" t="b">
        <v>0</v>
      </c>
      <c r="L770" s="9" t="s">
        <v>382</v>
      </c>
      <c r="M770" s="9" t="b">
        <v>0</v>
      </c>
      <c r="N770" s="9" t="s">
        <v>381</v>
      </c>
      <c r="O770" s="9" t="s">
        <v>3277</v>
      </c>
      <c r="P770" s="7">
        <v>1389</v>
      </c>
      <c r="Q770" s="7">
        <v>903</v>
      </c>
      <c r="R770" s="7">
        <v>576</v>
      </c>
      <c r="S770" s="7">
        <v>126</v>
      </c>
      <c r="T770" s="8">
        <v>4.8</v>
      </c>
      <c r="U770" s="8">
        <v>1.3</v>
      </c>
      <c r="V770" s="17">
        <v>1.3</v>
      </c>
      <c r="AD770" s="1"/>
      <c r="AE770" s="3"/>
      <c r="AF770" s="2"/>
      <c r="AG770" s="3"/>
      <c r="AH770" s="3"/>
      <c r="AI770" s="3"/>
      <c r="AJ770" s="1"/>
      <c r="AK770" s="1"/>
    </row>
    <row r="771" spans="1:37" x14ac:dyDescent="0.3">
      <c r="A771" s="14">
        <v>104</v>
      </c>
      <c r="B771" s="14">
        <v>2</v>
      </c>
      <c r="C771" s="9" t="s">
        <v>0</v>
      </c>
      <c r="D771" s="9" t="s">
        <v>180</v>
      </c>
      <c r="E771" s="9" t="s">
        <v>392</v>
      </c>
      <c r="F771" s="9" t="s">
        <v>393</v>
      </c>
      <c r="G771" s="9">
        <v>1</v>
      </c>
      <c r="H771" s="9"/>
      <c r="I771" s="9" t="s">
        <v>77</v>
      </c>
      <c r="J771" s="9"/>
      <c r="K771" s="9" t="b">
        <v>0</v>
      </c>
      <c r="L771" s="9" t="s">
        <v>322</v>
      </c>
      <c r="M771" s="9" t="b">
        <v>0</v>
      </c>
      <c r="N771" s="9" t="s">
        <v>394</v>
      </c>
      <c r="O771" s="9" t="s">
        <v>3280</v>
      </c>
      <c r="P771" s="7">
        <v>1454</v>
      </c>
      <c r="Q771" s="7">
        <v>900</v>
      </c>
      <c r="R771" s="7">
        <v>422</v>
      </c>
      <c r="S771" s="7">
        <v>129</v>
      </c>
      <c r="T771" s="8">
        <v>5.7</v>
      </c>
      <c r="U771" s="8">
        <v>1.3</v>
      </c>
      <c r="V771" s="17">
        <v>1.3</v>
      </c>
      <c r="AD771" s="1"/>
      <c r="AE771" s="3"/>
      <c r="AF771" s="2"/>
      <c r="AG771" s="3"/>
      <c r="AH771" s="3"/>
      <c r="AI771" s="3"/>
      <c r="AJ771" s="1"/>
      <c r="AK771" s="1"/>
    </row>
    <row r="772" spans="1:37" x14ac:dyDescent="0.3">
      <c r="A772" s="14">
        <v>478</v>
      </c>
      <c r="B772" s="14">
        <v>2</v>
      </c>
      <c r="C772" s="9" t="s">
        <v>0</v>
      </c>
      <c r="D772" s="9" t="s">
        <v>1457</v>
      </c>
      <c r="E772" s="9" t="s">
        <v>1652</v>
      </c>
      <c r="F772" s="9" t="s">
        <v>1653</v>
      </c>
      <c r="G772" s="9">
        <v>1</v>
      </c>
      <c r="H772" s="9"/>
      <c r="I772" s="9" t="s">
        <v>1654</v>
      </c>
      <c r="J772" s="9"/>
      <c r="K772" s="9" t="b">
        <v>0</v>
      </c>
      <c r="L772" s="9" t="s">
        <v>215</v>
      </c>
      <c r="M772" s="9" t="b">
        <v>1</v>
      </c>
      <c r="N772" s="9" t="s">
        <v>1655</v>
      </c>
      <c r="O772" s="9" t="s">
        <v>3653</v>
      </c>
      <c r="P772" s="7">
        <v>1397</v>
      </c>
      <c r="Q772" s="7">
        <v>871</v>
      </c>
      <c r="R772" s="7">
        <v>478</v>
      </c>
      <c r="S772" s="7">
        <v>125</v>
      </c>
      <c r="T772" s="8">
        <v>5</v>
      </c>
      <c r="U772" s="8">
        <v>1.3</v>
      </c>
      <c r="V772" s="17">
        <v>1.3</v>
      </c>
      <c r="AD772" s="1"/>
      <c r="AE772" s="3"/>
      <c r="AF772" s="2"/>
      <c r="AG772" s="2"/>
      <c r="AH772" s="2"/>
      <c r="AI772" s="3"/>
      <c r="AJ772" s="1"/>
      <c r="AK772" s="1"/>
    </row>
    <row r="773" spans="1:37" x14ac:dyDescent="0.3">
      <c r="A773" s="14">
        <v>383</v>
      </c>
      <c r="B773" s="14">
        <v>4</v>
      </c>
      <c r="C773" s="9" t="s">
        <v>0</v>
      </c>
      <c r="D773" s="9" t="s">
        <v>1338</v>
      </c>
      <c r="E773" s="9" t="s">
        <v>1342</v>
      </c>
      <c r="F773" s="9" t="s">
        <v>1343</v>
      </c>
      <c r="G773" s="9">
        <v>1</v>
      </c>
      <c r="H773" s="9" t="s">
        <v>84</v>
      </c>
      <c r="I773" s="9"/>
      <c r="J773" s="9"/>
      <c r="K773" s="9" t="b">
        <v>0</v>
      </c>
      <c r="L773" s="9" t="s">
        <v>437</v>
      </c>
      <c r="M773" s="9" t="b">
        <v>0</v>
      </c>
      <c r="N773" s="9" t="s">
        <v>1344</v>
      </c>
      <c r="O773" s="9" t="s">
        <v>3559</v>
      </c>
      <c r="P773" s="7">
        <v>278</v>
      </c>
      <c r="Q773" s="7">
        <v>180</v>
      </c>
      <c r="R773" s="7">
        <v>103</v>
      </c>
      <c r="S773" s="7">
        <v>31</v>
      </c>
      <c r="T773" s="8">
        <v>5.5</v>
      </c>
      <c r="U773" s="8">
        <v>1.6</v>
      </c>
      <c r="V773" s="26">
        <v>1.25</v>
      </c>
      <c r="W773" s="23" t="s">
        <v>4164</v>
      </c>
      <c r="AD773" s="1"/>
      <c r="AE773" s="3"/>
      <c r="AF773" s="2"/>
      <c r="AG773" s="2"/>
      <c r="AH773" s="2"/>
      <c r="AI773" s="3"/>
      <c r="AJ773" s="1"/>
      <c r="AK773" s="1"/>
    </row>
    <row r="774" spans="1:37" x14ac:dyDescent="0.3">
      <c r="A774" s="14">
        <v>247</v>
      </c>
      <c r="B774" s="14">
        <v>3</v>
      </c>
      <c r="C774" s="9" t="s">
        <v>0</v>
      </c>
      <c r="D774" s="9" t="s">
        <v>411</v>
      </c>
      <c r="E774" s="9" t="s">
        <v>898</v>
      </c>
      <c r="F774" s="9" t="s">
        <v>899</v>
      </c>
      <c r="G774" s="9">
        <v>1</v>
      </c>
      <c r="H774" s="9"/>
      <c r="I774" s="9"/>
      <c r="J774" s="9"/>
      <c r="K774" s="9" t="b">
        <v>0</v>
      </c>
      <c r="L774" s="9" t="s">
        <v>901</v>
      </c>
      <c r="M774" s="9" t="b">
        <v>1</v>
      </c>
      <c r="N774" s="9" t="s">
        <v>900</v>
      </c>
      <c r="O774" s="9" t="s">
        <v>3423</v>
      </c>
      <c r="P774" s="7">
        <v>335</v>
      </c>
      <c r="Q774" s="7">
        <v>190</v>
      </c>
      <c r="R774" s="7">
        <v>153</v>
      </c>
      <c r="S774" s="7">
        <v>32</v>
      </c>
      <c r="T774" s="8">
        <v>4.5999999999999996</v>
      </c>
      <c r="U774" s="8">
        <v>1.4</v>
      </c>
      <c r="V774" s="26">
        <v>1.25</v>
      </c>
      <c r="W774" s="20" t="s">
        <v>4186</v>
      </c>
      <c r="AD774" s="1"/>
      <c r="AE774" s="3"/>
      <c r="AF774" s="3"/>
      <c r="AG774" s="3"/>
      <c r="AH774" s="3"/>
      <c r="AI774" s="3"/>
      <c r="AJ774" s="1"/>
      <c r="AK774" s="1"/>
    </row>
    <row r="775" spans="1:37" x14ac:dyDescent="0.3">
      <c r="A775" s="14">
        <v>301</v>
      </c>
      <c r="B775" s="14">
        <v>3</v>
      </c>
      <c r="C775" s="9" t="s">
        <v>0</v>
      </c>
      <c r="D775" s="9" t="s">
        <v>411</v>
      </c>
      <c r="E775" s="9" t="s">
        <v>1074</v>
      </c>
      <c r="F775" s="9" t="s">
        <v>1075</v>
      </c>
      <c r="G775" s="9">
        <v>1</v>
      </c>
      <c r="H775" s="9"/>
      <c r="I775" s="9" t="s">
        <v>5</v>
      </c>
      <c r="J775" s="9"/>
      <c r="K775" s="9" t="b">
        <v>0</v>
      </c>
      <c r="L775" s="9"/>
      <c r="M775" s="9" t="b">
        <v>1</v>
      </c>
      <c r="N775" s="9" t="s">
        <v>1076</v>
      </c>
      <c r="O775" s="9" t="s">
        <v>3477</v>
      </c>
      <c r="P775" s="7">
        <v>8</v>
      </c>
      <c r="Q775" s="7">
        <v>3</v>
      </c>
      <c r="R775" s="7">
        <v>2</v>
      </c>
      <c r="S775" s="7">
        <v>0</v>
      </c>
      <c r="T775" s="8">
        <v>5.3</v>
      </c>
      <c r="U775" s="18">
        <v>0</v>
      </c>
      <c r="V775" s="26">
        <v>1.25</v>
      </c>
      <c r="W775" s="23" t="s">
        <v>4190</v>
      </c>
      <c r="AD775" s="1"/>
      <c r="AE775" s="3"/>
      <c r="AF775" s="2"/>
      <c r="AG775" s="3"/>
      <c r="AH775" s="3"/>
      <c r="AI775" s="3"/>
      <c r="AJ775" s="1"/>
      <c r="AK775" s="1"/>
    </row>
    <row r="776" spans="1:37" x14ac:dyDescent="0.3">
      <c r="A776" s="14">
        <v>793</v>
      </c>
      <c r="B776" s="14">
        <v>1</v>
      </c>
      <c r="C776" s="9" t="s">
        <v>1659</v>
      </c>
      <c r="D776" s="9" t="s">
        <v>1077</v>
      </c>
      <c r="E776" s="9" t="s">
        <v>2623</v>
      </c>
      <c r="F776" s="9" t="s">
        <v>2624</v>
      </c>
      <c r="G776" s="9">
        <v>3</v>
      </c>
      <c r="H776" s="9"/>
      <c r="I776" s="9"/>
      <c r="J776" s="9"/>
      <c r="K776" s="9" t="b">
        <v>0</v>
      </c>
      <c r="L776" s="9" t="s">
        <v>7</v>
      </c>
      <c r="M776" s="9" t="b">
        <v>0</v>
      </c>
      <c r="N776" s="9" t="s">
        <v>2625</v>
      </c>
      <c r="O776" s="9" t="s">
        <v>3968</v>
      </c>
      <c r="P776" s="7">
        <v>1184</v>
      </c>
      <c r="Q776" s="7">
        <v>780</v>
      </c>
      <c r="R776" s="7">
        <v>345</v>
      </c>
      <c r="S776" s="7">
        <v>102</v>
      </c>
      <c r="T776" s="8">
        <v>5.5</v>
      </c>
      <c r="U776" s="8">
        <v>1.2</v>
      </c>
      <c r="V776" s="17">
        <v>1.2</v>
      </c>
      <c r="AD776" s="1"/>
      <c r="AE776" s="3"/>
      <c r="AF776" s="2"/>
      <c r="AG776" s="2"/>
      <c r="AH776" s="3"/>
      <c r="AI776" s="3"/>
      <c r="AJ776" s="1"/>
      <c r="AK776" s="1"/>
    </row>
    <row r="777" spans="1:37" x14ac:dyDescent="0.3">
      <c r="A777" s="14">
        <v>569</v>
      </c>
      <c r="B777" s="14">
        <v>2</v>
      </c>
      <c r="C777" s="9" t="s">
        <v>1659</v>
      </c>
      <c r="D777" s="9" t="s">
        <v>180</v>
      </c>
      <c r="E777" s="9" t="s">
        <v>1929</v>
      </c>
      <c r="F777" s="9" t="s">
        <v>1930</v>
      </c>
      <c r="G777" s="9">
        <v>1</v>
      </c>
      <c r="H777" s="9"/>
      <c r="I777" s="9"/>
      <c r="J777" s="9"/>
      <c r="K777" s="9" t="b">
        <v>0</v>
      </c>
      <c r="L777" s="9"/>
      <c r="M777" s="9" t="b">
        <v>0</v>
      </c>
      <c r="N777" s="9" t="s">
        <v>1931</v>
      </c>
      <c r="O777" s="9" t="s">
        <v>3744</v>
      </c>
      <c r="P777" s="7">
        <v>1243</v>
      </c>
      <c r="Q777" s="7">
        <v>533</v>
      </c>
      <c r="R777" s="7">
        <v>294</v>
      </c>
      <c r="S777" s="7">
        <v>103</v>
      </c>
      <c r="T777" s="8">
        <v>5.4</v>
      </c>
      <c r="U777" s="8">
        <v>1.2</v>
      </c>
      <c r="V777" s="17">
        <v>1.2</v>
      </c>
      <c r="AD777" s="1"/>
      <c r="AE777" s="3"/>
      <c r="AF777" s="2"/>
      <c r="AG777" s="3"/>
      <c r="AH777" s="3"/>
      <c r="AI777" s="3"/>
      <c r="AJ777" s="1"/>
      <c r="AK777" s="1"/>
    </row>
    <row r="778" spans="1:37" x14ac:dyDescent="0.3">
      <c r="A778" s="14">
        <v>695</v>
      </c>
      <c r="B778" s="14">
        <v>3</v>
      </c>
      <c r="C778" s="9" t="s">
        <v>1659</v>
      </c>
      <c r="D778" s="9" t="s">
        <v>411</v>
      </c>
      <c r="E778" s="9" t="s">
        <v>2324</v>
      </c>
      <c r="F778" s="9" t="s">
        <v>2325</v>
      </c>
      <c r="G778" s="9">
        <v>3</v>
      </c>
      <c r="H778" s="9"/>
      <c r="I778" s="9"/>
      <c r="J778" s="9"/>
      <c r="K778" s="9" t="b">
        <v>0</v>
      </c>
      <c r="L778" s="9" t="s">
        <v>526</v>
      </c>
      <c r="M778" s="9" t="b">
        <v>0</v>
      </c>
      <c r="N778" s="9" t="s">
        <v>2326</v>
      </c>
      <c r="O778" s="9" t="s">
        <v>3870</v>
      </c>
      <c r="P778" s="7">
        <v>870</v>
      </c>
      <c r="Q778" s="7">
        <v>711</v>
      </c>
      <c r="R778" s="7">
        <v>280</v>
      </c>
      <c r="S778" s="7">
        <v>76</v>
      </c>
      <c r="T778" s="8">
        <v>4.7</v>
      </c>
      <c r="U778" s="8">
        <v>1.2</v>
      </c>
      <c r="V778" s="17">
        <v>1.2</v>
      </c>
      <c r="AD778" s="1"/>
      <c r="AE778" s="3"/>
      <c r="AF778" s="2"/>
      <c r="AG778" s="3"/>
      <c r="AH778" s="3"/>
      <c r="AI778" s="3"/>
      <c r="AJ778" s="1"/>
      <c r="AK778" s="1"/>
    </row>
    <row r="779" spans="1:37" x14ac:dyDescent="0.3">
      <c r="A779" s="14">
        <v>579</v>
      </c>
      <c r="B779" s="14">
        <v>2</v>
      </c>
      <c r="C779" s="9" t="s">
        <v>1659</v>
      </c>
      <c r="D779" s="9" t="s">
        <v>180</v>
      </c>
      <c r="E779" s="9" t="s">
        <v>1960</v>
      </c>
      <c r="F779" s="9" t="s">
        <v>1961</v>
      </c>
      <c r="G779" s="9">
        <v>1</v>
      </c>
      <c r="H779" s="9"/>
      <c r="I779" s="9"/>
      <c r="J779" s="9"/>
      <c r="K779" s="9" t="b">
        <v>0</v>
      </c>
      <c r="L779" s="9" t="s">
        <v>296</v>
      </c>
      <c r="M779" s="9" t="b">
        <v>0</v>
      </c>
      <c r="N779" s="9" t="s">
        <v>1962</v>
      </c>
      <c r="O779" s="9" t="s">
        <v>3754</v>
      </c>
      <c r="P779" s="7">
        <v>1144</v>
      </c>
      <c r="Q779" s="7">
        <v>520</v>
      </c>
      <c r="R779" s="7">
        <v>306</v>
      </c>
      <c r="S779" s="7">
        <v>94</v>
      </c>
      <c r="T779" s="8">
        <v>5.6</v>
      </c>
      <c r="U779" s="8">
        <v>1.2</v>
      </c>
      <c r="V779" s="17">
        <v>1.2</v>
      </c>
      <c r="AD779" s="1"/>
      <c r="AE779" s="3"/>
      <c r="AF779" s="2"/>
      <c r="AG779" s="3"/>
      <c r="AH779" s="3"/>
      <c r="AI779" s="3"/>
      <c r="AJ779" s="1"/>
      <c r="AK779" s="1"/>
    </row>
    <row r="780" spans="1:37" x14ac:dyDescent="0.3">
      <c r="A780" s="14">
        <v>522</v>
      </c>
      <c r="B780" s="14">
        <v>1</v>
      </c>
      <c r="C780" s="9" t="s">
        <v>1659</v>
      </c>
      <c r="D780" s="9" t="s">
        <v>1</v>
      </c>
      <c r="E780" s="9" t="s">
        <v>1786</v>
      </c>
      <c r="F780" s="9" t="s">
        <v>1787</v>
      </c>
      <c r="G780" s="9">
        <v>1</v>
      </c>
      <c r="H780" s="9"/>
      <c r="I780" s="9"/>
      <c r="J780" s="9"/>
      <c r="K780" s="9" t="b">
        <v>0</v>
      </c>
      <c r="L780" s="9" t="s">
        <v>7</v>
      </c>
      <c r="M780" s="9" t="b">
        <v>0</v>
      </c>
      <c r="N780" s="9" t="s">
        <v>1788</v>
      </c>
      <c r="O780" s="9" t="s">
        <v>3697</v>
      </c>
      <c r="P780" s="7">
        <v>1303</v>
      </c>
      <c r="Q780" s="7">
        <v>755</v>
      </c>
      <c r="R780" s="7">
        <v>355</v>
      </c>
      <c r="S780" s="7">
        <v>112</v>
      </c>
      <c r="T780" s="8">
        <v>5.9</v>
      </c>
      <c r="U780" s="8">
        <v>1.2</v>
      </c>
      <c r="V780" s="17">
        <v>1.2</v>
      </c>
      <c r="AD780" s="1"/>
      <c r="AE780" s="3"/>
      <c r="AF780" s="2"/>
      <c r="AG780" s="2"/>
      <c r="AH780" s="3"/>
      <c r="AI780" s="3"/>
      <c r="AJ780" s="1"/>
      <c r="AK780" s="1"/>
    </row>
    <row r="781" spans="1:37" x14ac:dyDescent="0.3">
      <c r="A781" s="14">
        <v>524</v>
      </c>
      <c r="B781" s="14">
        <v>1</v>
      </c>
      <c r="C781" s="9" t="s">
        <v>1659</v>
      </c>
      <c r="D781" s="9" t="s">
        <v>1</v>
      </c>
      <c r="E781" s="9" t="s">
        <v>1792</v>
      </c>
      <c r="F781" s="9" t="s">
        <v>1793</v>
      </c>
      <c r="G781" s="9">
        <v>1</v>
      </c>
      <c r="H781" s="9"/>
      <c r="I781" s="9"/>
      <c r="J781" s="9"/>
      <c r="K781" s="9" t="b">
        <v>0</v>
      </c>
      <c r="L781" s="9" t="s">
        <v>7</v>
      </c>
      <c r="M781" s="9" t="b">
        <v>0</v>
      </c>
      <c r="N781" s="9" t="s">
        <v>1794</v>
      </c>
      <c r="O781" s="9" t="s">
        <v>3699</v>
      </c>
      <c r="P781" s="7">
        <v>1341</v>
      </c>
      <c r="Q781" s="7">
        <v>935</v>
      </c>
      <c r="R781" s="7">
        <v>588</v>
      </c>
      <c r="S781" s="7">
        <v>112</v>
      </c>
      <c r="T781" s="8">
        <v>4.8</v>
      </c>
      <c r="U781" s="8">
        <v>1.2</v>
      </c>
      <c r="V781" s="17">
        <v>1.2</v>
      </c>
      <c r="AD781" s="1"/>
      <c r="AE781" s="3"/>
      <c r="AF781" s="3"/>
      <c r="AG781" s="3"/>
      <c r="AH781" s="3"/>
      <c r="AI781" s="3"/>
      <c r="AJ781" s="1"/>
      <c r="AK781" s="1"/>
    </row>
    <row r="782" spans="1:37" x14ac:dyDescent="0.3">
      <c r="A782" s="14">
        <v>861</v>
      </c>
      <c r="B782" s="14">
        <v>1</v>
      </c>
      <c r="C782" s="9" t="s">
        <v>1659</v>
      </c>
      <c r="D782" s="9" t="s">
        <v>1208</v>
      </c>
      <c r="E782" s="9" t="s">
        <v>2827</v>
      </c>
      <c r="F782" s="9" t="s">
        <v>2828</v>
      </c>
      <c r="G782" s="9">
        <v>4</v>
      </c>
      <c r="H782" s="9"/>
      <c r="I782" s="9"/>
      <c r="J782" s="9"/>
      <c r="K782" s="9" t="b">
        <v>0</v>
      </c>
      <c r="L782" s="9" t="s">
        <v>7</v>
      </c>
      <c r="M782" s="9" t="b">
        <v>0</v>
      </c>
      <c r="N782" s="9" t="s">
        <v>2829</v>
      </c>
      <c r="O782" s="9" t="s">
        <v>4036</v>
      </c>
      <c r="P782" s="7">
        <v>1318</v>
      </c>
      <c r="Q782" s="7">
        <v>809</v>
      </c>
      <c r="R782" s="7">
        <v>402</v>
      </c>
      <c r="S782" s="7">
        <v>113</v>
      </c>
      <c r="T782" s="8">
        <v>5.4</v>
      </c>
      <c r="U782" s="8">
        <v>1.2</v>
      </c>
      <c r="V782" s="17">
        <v>1.2</v>
      </c>
      <c r="AD782" s="1"/>
      <c r="AE782" s="3"/>
      <c r="AF782" s="2"/>
      <c r="AG782" s="3"/>
      <c r="AH782" s="3"/>
      <c r="AI782" s="3"/>
      <c r="AJ782" s="1"/>
      <c r="AK782" s="1"/>
    </row>
    <row r="783" spans="1:37" x14ac:dyDescent="0.3">
      <c r="A783" s="14">
        <v>864</v>
      </c>
      <c r="B783" s="14">
        <v>1</v>
      </c>
      <c r="C783" s="9" t="s">
        <v>1659</v>
      </c>
      <c r="D783" s="9" t="s">
        <v>1208</v>
      </c>
      <c r="E783" s="9" t="s">
        <v>2836</v>
      </c>
      <c r="F783" s="9" t="s">
        <v>2837</v>
      </c>
      <c r="G783" s="9">
        <v>4</v>
      </c>
      <c r="H783" s="9"/>
      <c r="I783" s="9"/>
      <c r="J783" s="9"/>
      <c r="K783" s="9" t="b">
        <v>0</v>
      </c>
      <c r="L783" s="9" t="s">
        <v>7</v>
      </c>
      <c r="M783" s="9" t="b">
        <v>0</v>
      </c>
      <c r="N783" s="9" t="s">
        <v>2838</v>
      </c>
      <c r="O783" s="9" t="s">
        <v>4039</v>
      </c>
      <c r="P783" s="7">
        <v>1277</v>
      </c>
      <c r="Q783" s="7">
        <v>601</v>
      </c>
      <c r="R783" s="7">
        <v>260</v>
      </c>
      <c r="S783" s="7">
        <v>103</v>
      </c>
      <c r="T783" s="8">
        <v>5.6</v>
      </c>
      <c r="U783" s="8">
        <v>1.2</v>
      </c>
      <c r="V783" s="17">
        <v>1.2</v>
      </c>
      <c r="AD783" s="1"/>
      <c r="AE783" s="3"/>
      <c r="AF783" s="3"/>
      <c r="AG783" s="3"/>
      <c r="AH783" s="3"/>
      <c r="AI783" s="3"/>
      <c r="AJ783" s="1"/>
      <c r="AK783" s="1"/>
    </row>
    <row r="784" spans="1:37" x14ac:dyDescent="0.3">
      <c r="A784" s="14">
        <v>826</v>
      </c>
      <c r="B784" s="14">
        <v>1</v>
      </c>
      <c r="C784" s="9" t="s">
        <v>1659</v>
      </c>
      <c r="D784" s="9" t="s">
        <v>1077</v>
      </c>
      <c r="E784" s="9" t="s">
        <v>2722</v>
      </c>
      <c r="F784" s="9" t="s">
        <v>2723</v>
      </c>
      <c r="G784" s="9">
        <v>1</v>
      </c>
      <c r="H784" s="9"/>
      <c r="I784" s="9"/>
      <c r="J784" s="9"/>
      <c r="K784" s="9" t="b">
        <v>0</v>
      </c>
      <c r="L784" s="9" t="s">
        <v>7</v>
      </c>
      <c r="M784" s="9" t="b">
        <v>0</v>
      </c>
      <c r="N784" s="9" t="s">
        <v>2724</v>
      </c>
      <c r="O784" s="9" t="s">
        <v>4001</v>
      </c>
      <c r="P784" s="7">
        <v>1101</v>
      </c>
      <c r="Q784" s="7">
        <v>671</v>
      </c>
      <c r="R784" s="7">
        <v>313</v>
      </c>
      <c r="S784" s="7">
        <v>94</v>
      </c>
      <c r="T784" s="8">
        <v>5.7</v>
      </c>
      <c r="U784" s="8">
        <v>1.2</v>
      </c>
      <c r="V784" s="17">
        <v>1.2</v>
      </c>
      <c r="AD784" s="1"/>
      <c r="AE784" s="3"/>
      <c r="AF784" s="2"/>
      <c r="AG784" s="3"/>
      <c r="AH784" s="3"/>
      <c r="AI784" s="3"/>
      <c r="AJ784" s="1"/>
      <c r="AK784" s="1"/>
    </row>
    <row r="785" spans="1:37" x14ac:dyDescent="0.3">
      <c r="A785" s="14">
        <v>422</v>
      </c>
      <c r="B785" s="14">
        <v>2</v>
      </c>
      <c r="C785" s="9" t="s">
        <v>0</v>
      </c>
      <c r="D785" s="9" t="s">
        <v>1457</v>
      </c>
      <c r="E785" s="9" t="s">
        <v>1466</v>
      </c>
      <c r="F785" s="9" t="s">
        <v>1467</v>
      </c>
      <c r="G785" s="9">
        <v>1</v>
      </c>
      <c r="H785" s="9" t="s">
        <v>183</v>
      </c>
      <c r="I785" s="9" t="s">
        <v>22</v>
      </c>
      <c r="J785" s="9">
        <v>1</v>
      </c>
      <c r="K785" s="9" t="b">
        <v>0</v>
      </c>
      <c r="L785" s="9"/>
      <c r="M785" s="9" t="b">
        <v>0</v>
      </c>
      <c r="N785" s="9" t="s">
        <v>1468</v>
      </c>
      <c r="O785" s="9" t="s">
        <v>3597</v>
      </c>
      <c r="P785" s="7">
        <v>1351</v>
      </c>
      <c r="Q785" s="7">
        <v>812</v>
      </c>
      <c r="R785" s="7">
        <v>475</v>
      </c>
      <c r="S785" s="7">
        <v>113</v>
      </c>
      <c r="T785" s="8">
        <v>5.3</v>
      </c>
      <c r="U785" s="8">
        <v>1.2</v>
      </c>
      <c r="V785" s="17">
        <v>1.2</v>
      </c>
      <c r="AD785" s="1"/>
      <c r="AE785" s="3"/>
      <c r="AF785" s="3"/>
      <c r="AG785" s="3"/>
      <c r="AH785" s="3"/>
      <c r="AI785" s="3"/>
      <c r="AJ785" s="1"/>
      <c r="AK785" s="1"/>
    </row>
    <row r="786" spans="1:37" x14ac:dyDescent="0.3">
      <c r="A786" s="14">
        <v>122</v>
      </c>
      <c r="B786" s="14">
        <v>3</v>
      </c>
      <c r="C786" s="9" t="s">
        <v>0</v>
      </c>
      <c r="D786" s="9" t="s">
        <v>411</v>
      </c>
      <c r="E786" s="9" t="s">
        <v>466</v>
      </c>
      <c r="F786" s="9" t="s">
        <v>467</v>
      </c>
      <c r="G786" s="9">
        <v>1</v>
      </c>
      <c r="H786" s="9"/>
      <c r="I786" s="9" t="s">
        <v>22</v>
      </c>
      <c r="J786" s="9"/>
      <c r="K786" s="9" t="b">
        <v>1</v>
      </c>
      <c r="L786" s="9" t="s">
        <v>469</v>
      </c>
      <c r="M786" s="9" t="b">
        <v>0</v>
      </c>
      <c r="N786" s="9" t="s">
        <v>468</v>
      </c>
      <c r="O786" s="9" t="s">
        <v>3298</v>
      </c>
      <c r="P786" s="7">
        <v>884</v>
      </c>
      <c r="Q786" s="7">
        <v>401</v>
      </c>
      <c r="R786" s="7">
        <v>275</v>
      </c>
      <c r="S786" s="7">
        <v>77</v>
      </c>
      <c r="T786" s="8">
        <v>5.9</v>
      </c>
      <c r="U786" s="8">
        <v>1.2</v>
      </c>
      <c r="V786" s="17">
        <v>1.2</v>
      </c>
      <c r="AD786" s="1"/>
      <c r="AE786" s="3"/>
      <c r="AF786" s="2"/>
      <c r="AG786" s="3"/>
      <c r="AH786" s="3"/>
      <c r="AI786" s="3"/>
      <c r="AJ786" s="1"/>
      <c r="AK786" s="1"/>
    </row>
    <row r="787" spans="1:37" x14ac:dyDescent="0.3">
      <c r="A787" s="14">
        <v>427</v>
      </c>
      <c r="B787" s="14">
        <v>2</v>
      </c>
      <c r="C787" s="9" t="s">
        <v>0</v>
      </c>
      <c r="D787" s="9" t="s">
        <v>1457</v>
      </c>
      <c r="E787" s="9" t="s">
        <v>1483</v>
      </c>
      <c r="F787" s="9" t="s">
        <v>1484</v>
      </c>
      <c r="G787" s="9">
        <v>1</v>
      </c>
      <c r="H787" s="9"/>
      <c r="I787" s="9" t="s">
        <v>5</v>
      </c>
      <c r="J787" s="9"/>
      <c r="K787" s="9" t="b">
        <v>0</v>
      </c>
      <c r="L787" s="9" t="s">
        <v>1478</v>
      </c>
      <c r="M787" s="9" t="b">
        <v>1</v>
      </c>
      <c r="N787" s="9" t="s">
        <v>1485</v>
      </c>
      <c r="O787" s="9" t="s">
        <v>3602</v>
      </c>
      <c r="P787" s="7">
        <v>1432</v>
      </c>
      <c r="Q787" s="7">
        <v>810</v>
      </c>
      <c r="R787" s="7">
        <v>463</v>
      </c>
      <c r="S787" s="7">
        <v>117</v>
      </c>
      <c r="T787" s="8">
        <v>4.9000000000000004</v>
      </c>
      <c r="U787" s="8">
        <v>1.2</v>
      </c>
      <c r="V787" s="17">
        <v>1.2</v>
      </c>
      <c r="AD787" s="1"/>
      <c r="AE787" s="3"/>
      <c r="AF787" s="2"/>
      <c r="AG787" s="2"/>
      <c r="AH787" s="3"/>
      <c r="AI787" s="3"/>
      <c r="AJ787" s="1"/>
      <c r="AK787" s="1"/>
    </row>
    <row r="788" spans="1:37" x14ac:dyDescent="0.3">
      <c r="A788" s="14">
        <v>127</v>
      </c>
      <c r="B788" s="14">
        <v>3</v>
      </c>
      <c r="C788" s="9" t="s">
        <v>0</v>
      </c>
      <c r="D788" s="9" t="s">
        <v>411</v>
      </c>
      <c r="E788" s="9" t="s">
        <v>483</v>
      </c>
      <c r="F788" s="9" t="s">
        <v>484</v>
      </c>
      <c r="G788" s="9">
        <v>1</v>
      </c>
      <c r="H788" s="9"/>
      <c r="I788" s="9" t="s">
        <v>5</v>
      </c>
      <c r="J788" s="9"/>
      <c r="K788" s="9" t="b">
        <v>0</v>
      </c>
      <c r="L788" s="9" t="s">
        <v>416</v>
      </c>
      <c r="M788" s="9" t="b">
        <v>0</v>
      </c>
      <c r="N788" s="9" t="s">
        <v>485</v>
      </c>
      <c r="O788" s="9" t="s">
        <v>3303</v>
      </c>
      <c r="P788" s="7">
        <v>952</v>
      </c>
      <c r="Q788" s="7">
        <v>682</v>
      </c>
      <c r="R788" s="7">
        <v>442</v>
      </c>
      <c r="S788" s="7">
        <v>79</v>
      </c>
      <c r="T788" s="8">
        <v>4.4000000000000004</v>
      </c>
      <c r="U788" s="8">
        <v>1.2</v>
      </c>
      <c r="V788" s="17">
        <v>1.2</v>
      </c>
      <c r="AD788" s="1"/>
      <c r="AE788" s="3"/>
      <c r="AF788" s="3"/>
      <c r="AG788" s="3"/>
      <c r="AH788" s="3"/>
      <c r="AI788" s="3"/>
      <c r="AJ788" s="1"/>
      <c r="AK788" s="1"/>
    </row>
    <row r="789" spans="1:37" x14ac:dyDescent="0.3">
      <c r="A789" s="14">
        <v>129</v>
      </c>
      <c r="B789" s="14">
        <v>3</v>
      </c>
      <c r="C789" s="9" t="s">
        <v>0</v>
      </c>
      <c r="D789" s="9" t="s">
        <v>411</v>
      </c>
      <c r="E789" s="9" t="s">
        <v>489</v>
      </c>
      <c r="F789" s="9" t="s">
        <v>490</v>
      </c>
      <c r="G789" s="9">
        <v>1</v>
      </c>
      <c r="H789" s="9" t="s">
        <v>491</v>
      </c>
      <c r="I789" s="9"/>
      <c r="J789" s="9">
        <v>2</v>
      </c>
      <c r="K789" s="9" t="b">
        <v>0</v>
      </c>
      <c r="L789" s="9" t="s">
        <v>238</v>
      </c>
      <c r="M789" s="9" t="b">
        <v>0</v>
      </c>
      <c r="N789" s="9" t="s">
        <v>444</v>
      </c>
      <c r="O789" s="9" t="s">
        <v>3305</v>
      </c>
      <c r="P789" s="7">
        <v>1182</v>
      </c>
      <c r="Q789" s="7">
        <v>679</v>
      </c>
      <c r="R789" s="7">
        <v>351</v>
      </c>
      <c r="S789" s="7">
        <v>97</v>
      </c>
      <c r="T789" s="8">
        <v>5.3</v>
      </c>
      <c r="U789" s="8">
        <v>1.2</v>
      </c>
      <c r="V789" s="17">
        <v>1.2</v>
      </c>
      <c r="AD789" s="1"/>
      <c r="AE789" s="3"/>
      <c r="AF789" s="2"/>
      <c r="AG789" s="2"/>
      <c r="AH789" s="3"/>
      <c r="AI789" s="3"/>
      <c r="AJ789" s="1"/>
      <c r="AK789" s="1"/>
    </row>
    <row r="790" spans="1:37" x14ac:dyDescent="0.3">
      <c r="A790" s="14">
        <v>147</v>
      </c>
      <c r="B790" s="14">
        <v>3</v>
      </c>
      <c r="C790" s="9" t="s">
        <v>0</v>
      </c>
      <c r="D790" s="9" t="s">
        <v>411</v>
      </c>
      <c r="E790" s="9" t="s">
        <v>558</v>
      </c>
      <c r="F790" s="9" t="s">
        <v>559</v>
      </c>
      <c r="G790" s="9">
        <v>1</v>
      </c>
      <c r="H790" s="9"/>
      <c r="I790" s="9" t="s">
        <v>560</v>
      </c>
      <c r="J790" s="9">
        <v>1</v>
      </c>
      <c r="K790" s="9" t="b">
        <v>0</v>
      </c>
      <c r="L790" s="9" t="s">
        <v>223</v>
      </c>
      <c r="M790" s="9" t="b">
        <v>1</v>
      </c>
      <c r="N790" s="9" t="s">
        <v>561</v>
      </c>
      <c r="O790" s="9" t="s">
        <v>3323</v>
      </c>
      <c r="P790" s="7">
        <v>903</v>
      </c>
      <c r="Q790" s="7">
        <v>482</v>
      </c>
      <c r="R790" s="7">
        <v>238</v>
      </c>
      <c r="S790" s="7">
        <v>76</v>
      </c>
      <c r="T790" s="8">
        <v>5.3</v>
      </c>
      <c r="U790" s="8">
        <v>1.2</v>
      </c>
      <c r="V790" s="17">
        <v>1.2</v>
      </c>
      <c r="AD790" s="1"/>
      <c r="AE790" s="3"/>
      <c r="AF790" s="2"/>
      <c r="AG790" s="3"/>
      <c r="AH790" s="3"/>
      <c r="AI790" s="3"/>
      <c r="AJ790" s="1"/>
      <c r="AK790" s="1"/>
    </row>
    <row r="791" spans="1:37" x14ac:dyDescent="0.3">
      <c r="A791" s="14">
        <v>159</v>
      </c>
      <c r="B791" s="14">
        <v>3</v>
      </c>
      <c r="C791" s="9" t="s">
        <v>0</v>
      </c>
      <c r="D791" s="9" t="s">
        <v>411</v>
      </c>
      <c r="E791" s="9" t="s">
        <v>602</v>
      </c>
      <c r="F791" s="9" t="s">
        <v>603</v>
      </c>
      <c r="G791" s="9">
        <v>1</v>
      </c>
      <c r="H791" s="9" t="s">
        <v>84</v>
      </c>
      <c r="I791" s="9" t="s">
        <v>171</v>
      </c>
      <c r="J791" s="9"/>
      <c r="K791" s="9" t="b">
        <v>0</v>
      </c>
      <c r="L791" s="9" t="s">
        <v>238</v>
      </c>
      <c r="M791" s="9" t="b">
        <v>0</v>
      </c>
      <c r="N791" s="9" t="s">
        <v>604</v>
      </c>
      <c r="O791" s="9" t="s">
        <v>3335</v>
      </c>
      <c r="P791" s="7">
        <v>1151</v>
      </c>
      <c r="Q791" s="7">
        <v>605</v>
      </c>
      <c r="R791" s="7">
        <v>346</v>
      </c>
      <c r="S791" s="7">
        <v>94</v>
      </c>
      <c r="T791" s="8">
        <v>5</v>
      </c>
      <c r="U791" s="8">
        <v>1.2</v>
      </c>
      <c r="V791" s="17">
        <v>1.2</v>
      </c>
      <c r="AD791" s="1"/>
      <c r="AE791" s="3"/>
      <c r="AF791" s="2"/>
      <c r="AG791" s="3"/>
      <c r="AH791" s="3"/>
      <c r="AI791" s="3"/>
      <c r="AJ791" s="1"/>
      <c r="AK791" s="1"/>
    </row>
    <row r="792" spans="1:37" x14ac:dyDescent="0.3">
      <c r="A792" s="14">
        <v>237</v>
      </c>
      <c r="B792" s="14">
        <v>3</v>
      </c>
      <c r="C792" s="9" t="s">
        <v>0</v>
      </c>
      <c r="D792" s="9" t="s">
        <v>411</v>
      </c>
      <c r="E792" s="9" t="s">
        <v>865</v>
      </c>
      <c r="F792" s="9" t="s">
        <v>866</v>
      </c>
      <c r="G792" s="9">
        <v>1</v>
      </c>
      <c r="H792" s="9" t="s">
        <v>867</v>
      </c>
      <c r="I792" s="9"/>
      <c r="J792" s="9">
        <v>1</v>
      </c>
      <c r="K792" s="9" t="b">
        <v>0</v>
      </c>
      <c r="L792" s="9" t="s">
        <v>453</v>
      </c>
      <c r="M792" s="9" t="b">
        <v>1</v>
      </c>
      <c r="N792" s="9" t="s">
        <v>868</v>
      </c>
      <c r="O792" s="9" t="s">
        <v>3413</v>
      </c>
      <c r="P792" s="7">
        <v>1161</v>
      </c>
      <c r="Q792" s="7">
        <v>602</v>
      </c>
      <c r="R792" s="7">
        <v>248</v>
      </c>
      <c r="S792" s="7">
        <v>94</v>
      </c>
      <c r="T792" s="8">
        <v>5.4</v>
      </c>
      <c r="U792" s="8">
        <v>1.2</v>
      </c>
      <c r="V792" s="17">
        <v>1.2</v>
      </c>
      <c r="AD792" s="1"/>
      <c r="AE792" s="3"/>
      <c r="AF792" s="3"/>
      <c r="AG792" s="3"/>
      <c r="AH792" s="3"/>
      <c r="AI792" s="3"/>
      <c r="AJ792" s="1"/>
      <c r="AK792" s="1"/>
    </row>
    <row r="793" spans="1:37" x14ac:dyDescent="0.3">
      <c r="A793" s="14">
        <v>35</v>
      </c>
      <c r="B793" s="14">
        <v>1</v>
      </c>
      <c r="C793" s="9" t="s">
        <v>0</v>
      </c>
      <c r="D793" s="9" t="s">
        <v>1</v>
      </c>
      <c r="E793" s="9" t="s">
        <v>128</v>
      </c>
      <c r="F793" s="9" t="s">
        <v>129</v>
      </c>
      <c r="G793" s="9">
        <v>1</v>
      </c>
      <c r="H793" s="9"/>
      <c r="I793" s="9" t="s">
        <v>22</v>
      </c>
      <c r="J793" s="9"/>
      <c r="K793" s="9" t="b">
        <v>0</v>
      </c>
      <c r="L793" s="9" t="s">
        <v>7</v>
      </c>
      <c r="M793" s="9" t="b">
        <v>0</v>
      </c>
      <c r="N793" s="9" t="s">
        <v>130</v>
      </c>
      <c r="O793" s="9" t="s">
        <v>3211</v>
      </c>
      <c r="P793" s="7">
        <v>1389</v>
      </c>
      <c r="Q793" s="7">
        <v>758</v>
      </c>
      <c r="R793" s="7">
        <v>448</v>
      </c>
      <c r="S793" s="7">
        <v>118</v>
      </c>
      <c r="T793" s="8">
        <v>5.6</v>
      </c>
      <c r="U793" s="8">
        <v>1.2</v>
      </c>
      <c r="V793" s="17">
        <v>1.2</v>
      </c>
      <c r="AD793" s="1"/>
      <c r="AE793" s="3"/>
      <c r="AF793" s="2"/>
      <c r="AG793" s="2"/>
      <c r="AH793" s="2"/>
      <c r="AI793" s="3"/>
      <c r="AJ793" s="1"/>
      <c r="AK793" s="1"/>
    </row>
    <row r="794" spans="1:37" x14ac:dyDescent="0.3">
      <c r="A794" s="14">
        <v>465</v>
      </c>
      <c r="B794" s="14">
        <v>2</v>
      </c>
      <c r="C794" s="9" t="s">
        <v>0</v>
      </c>
      <c r="D794" s="9" t="s">
        <v>1457</v>
      </c>
      <c r="E794" s="9" t="s">
        <v>1611</v>
      </c>
      <c r="F794" s="9" t="s">
        <v>1612</v>
      </c>
      <c r="G794" s="9">
        <v>1</v>
      </c>
      <c r="H794" s="9" t="s">
        <v>631</v>
      </c>
      <c r="I794" s="9"/>
      <c r="J794" s="9"/>
      <c r="K794" s="9" t="b">
        <v>1</v>
      </c>
      <c r="L794" s="9" t="s">
        <v>1603</v>
      </c>
      <c r="M794" s="9" t="b">
        <v>0</v>
      </c>
      <c r="N794" s="9" t="s">
        <v>1613</v>
      </c>
      <c r="O794" s="9" t="s">
        <v>3640</v>
      </c>
      <c r="P794" s="7">
        <v>1368</v>
      </c>
      <c r="Q794" s="7">
        <v>587</v>
      </c>
      <c r="R794" s="7">
        <v>360</v>
      </c>
      <c r="S794" s="7">
        <v>119</v>
      </c>
      <c r="T794" s="8">
        <v>6</v>
      </c>
      <c r="U794" s="8">
        <v>1.2</v>
      </c>
      <c r="V794" s="17">
        <v>1.2</v>
      </c>
      <c r="AD794" s="1"/>
      <c r="AE794" s="3"/>
      <c r="AF794" s="3"/>
      <c r="AG794" s="3"/>
      <c r="AH794" s="3"/>
      <c r="AI794" s="3"/>
      <c r="AJ794" s="1"/>
      <c r="AK794" s="1"/>
    </row>
    <row r="795" spans="1:37" x14ac:dyDescent="0.3">
      <c r="A795" s="14">
        <v>328</v>
      </c>
      <c r="B795" s="14">
        <v>1</v>
      </c>
      <c r="C795" s="9" t="s">
        <v>0</v>
      </c>
      <c r="D795" s="9" t="s">
        <v>1077</v>
      </c>
      <c r="E795" s="9" t="s">
        <v>1163</v>
      </c>
      <c r="F795" s="9" t="s">
        <v>1164</v>
      </c>
      <c r="G795" s="9">
        <v>1</v>
      </c>
      <c r="H795" s="9"/>
      <c r="I795" s="9" t="s">
        <v>1165</v>
      </c>
      <c r="J795" s="9">
        <v>2</v>
      </c>
      <c r="K795" s="9" t="b">
        <v>0</v>
      </c>
      <c r="L795" s="9" t="s">
        <v>7</v>
      </c>
      <c r="M795" s="9" t="b">
        <v>1</v>
      </c>
      <c r="N795" s="9" t="s">
        <v>1166</v>
      </c>
      <c r="O795" s="9" t="s">
        <v>3504</v>
      </c>
      <c r="P795" s="7">
        <v>1076</v>
      </c>
      <c r="Q795" s="7">
        <v>716</v>
      </c>
      <c r="R795" s="7">
        <v>311</v>
      </c>
      <c r="S795" s="7">
        <v>92</v>
      </c>
      <c r="T795" s="8">
        <v>5</v>
      </c>
      <c r="U795" s="8">
        <v>1.2</v>
      </c>
      <c r="V795" s="17">
        <v>1.2</v>
      </c>
      <c r="AD795" s="1"/>
      <c r="AE795" s="3"/>
      <c r="AF795" s="2"/>
      <c r="AG795" s="2"/>
      <c r="AH795" s="2"/>
      <c r="AI795" s="3"/>
      <c r="AJ795" s="1"/>
      <c r="AK795" s="1"/>
    </row>
    <row r="796" spans="1:37" x14ac:dyDescent="0.3">
      <c r="A796" s="14">
        <v>47</v>
      </c>
      <c r="B796" s="14">
        <v>1</v>
      </c>
      <c r="C796" s="9" t="s">
        <v>0</v>
      </c>
      <c r="D796" s="9" t="s">
        <v>1</v>
      </c>
      <c r="E796" s="9" t="s">
        <v>166</v>
      </c>
      <c r="F796" s="9" t="s">
        <v>167</v>
      </c>
      <c r="G796" s="9">
        <v>1</v>
      </c>
      <c r="H796" s="9"/>
      <c r="I796" s="9" t="s">
        <v>22</v>
      </c>
      <c r="J796" s="9"/>
      <c r="K796" s="9" t="b">
        <v>0</v>
      </c>
      <c r="L796" s="9" t="s">
        <v>7</v>
      </c>
      <c r="M796" s="9" t="b">
        <v>0</v>
      </c>
      <c r="N796" s="9" t="s">
        <v>168</v>
      </c>
      <c r="O796" s="9" t="s">
        <v>3223</v>
      </c>
      <c r="P796" s="7">
        <v>1440</v>
      </c>
      <c r="Q796" s="7">
        <v>855</v>
      </c>
      <c r="R796" s="7">
        <v>473</v>
      </c>
      <c r="S796" s="7">
        <v>116</v>
      </c>
      <c r="T796" s="8">
        <v>5.5</v>
      </c>
      <c r="U796" s="8">
        <v>1.2</v>
      </c>
      <c r="V796" s="17">
        <v>1.2</v>
      </c>
      <c r="AD796" s="1"/>
      <c r="AE796" s="3"/>
      <c r="AF796" s="2"/>
      <c r="AG796" s="2"/>
      <c r="AH796" s="3"/>
      <c r="AI796" s="3"/>
      <c r="AJ796" s="1"/>
      <c r="AK796" s="1"/>
    </row>
    <row r="797" spans="1:37" x14ac:dyDescent="0.3">
      <c r="A797" s="14">
        <v>290</v>
      </c>
      <c r="B797" s="14">
        <v>3</v>
      </c>
      <c r="C797" s="9" t="s">
        <v>0</v>
      </c>
      <c r="D797" s="9" t="s">
        <v>411</v>
      </c>
      <c r="E797" s="9" t="s">
        <v>1038</v>
      </c>
      <c r="F797" s="9" t="s">
        <v>1039</v>
      </c>
      <c r="G797" s="9">
        <v>1</v>
      </c>
      <c r="H797" s="9" t="s">
        <v>1040</v>
      </c>
      <c r="I797" s="9" t="s">
        <v>22</v>
      </c>
      <c r="J797" s="9"/>
      <c r="K797" s="9" t="b">
        <v>0</v>
      </c>
      <c r="L797" s="9" t="s">
        <v>526</v>
      </c>
      <c r="M797" s="9" t="b">
        <v>0</v>
      </c>
      <c r="N797" s="9" t="s">
        <v>1041</v>
      </c>
      <c r="O797" s="9" t="s">
        <v>3466</v>
      </c>
      <c r="P797" s="7">
        <v>845</v>
      </c>
      <c r="Q797" s="7">
        <v>441</v>
      </c>
      <c r="R797" s="7">
        <v>239</v>
      </c>
      <c r="S797" s="7">
        <v>69</v>
      </c>
      <c r="T797" s="8">
        <v>4.8</v>
      </c>
      <c r="U797" s="8">
        <v>1.2</v>
      </c>
      <c r="V797" s="17">
        <v>1.2</v>
      </c>
      <c r="AD797" s="1"/>
      <c r="AE797" s="3"/>
      <c r="AF797" s="2"/>
      <c r="AG797" s="2"/>
      <c r="AH797" s="3"/>
      <c r="AI797" s="3"/>
      <c r="AJ797" s="1"/>
      <c r="AK797" s="1"/>
    </row>
    <row r="798" spans="1:37" x14ac:dyDescent="0.3">
      <c r="A798" s="14">
        <v>49</v>
      </c>
      <c r="B798" s="14">
        <v>1</v>
      </c>
      <c r="C798" s="9" t="s">
        <v>0</v>
      </c>
      <c r="D798" s="9" t="s">
        <v>1</v>
      </c>
      <c r="E798" s="9" t="s">
        <v>173</v>
      </c>
      <c r="F798" s="9" t="s">
        <v>174</v>
      </c>
      <c r="G798" s="9">
        <v>1</v>
      </c>
      <c r="H798" s="9"/>
      <c r="I798" s="9" t="s">
        <v>175</v>
      </c>
      <c r="J798" s="9">
        <v>2</v>
      </c>
      <c r="K798" s="9" t="b">
        <v>0</v>
      </c>
      <c r="L798" s="9" t="s">
        <v>7</v>
      </c>
      <c r="M798" s="9" t="b">
        <v>0</v>
      </c>
      <c r="N798" s="9" t="s">
        <v>176</v>
      </c>
      <c r="O798" s="9" t="s">
        <v>3225</v>
      </c>
      <c r="P798" s="7">
        <v>1346</v>
      </c>
      <c r="Q798" s="7">
        <v>877</v>
      </c>
      <c r="R798" s="7">
        <v>402</v>
      </c>
      <c r="S798" s="7">
        <v>112</v>
      </c>
      <c r="T798" s="8">
        <v>5.0999999999999996</v>
      </c>
      <c r="U798" s="8">
        <v>1.2</v>
      </c>
      <c r="V798" s="17">
        <v>1.2</v>
      </c>
      <c r="AD798" s="1"/>
      <c r="AE798" s="3"/>
      <c r="AF798" s="3"/>
      <c r="AG798" s="3"/>
      <c r="AH798" s="3"/>
      <c r="AI798" s="3"/>
      <c r="AJ798" s="1"/>
      <c r="AK798" s="1"/>
    </row>
    <row r="799" spans="1:37" x14ac:dyDescent="0.3">
      <c r="A799" s="14">
        <v>619</v>
      </c>
      <c r="B799" s="14">
        <v>3</v>
      </c>
      <c r="C799" s="9" t="s">
        <v>1659</v>
      </c>
      <c r="D799" s="9" t="s">
        <v>411</v>
      </c>
      <c r="E799" s="9" t="s">
        <v>2087</v>
      </c>
      <c r="F799" s="9" t="s">
        <v>2088</v>
      </c>
      <c r="G799" s="9">
        <v>4</v>
      </c>
      <c r="H799" s="9"/>
      <c r="I799" s="9"/>
      <c r="J799" s="9"/>
      <c r="K799" s="9" t="b">
        <v>0</v>
      </c>
      <c r="L799" s="9" t="s">
        <v>425</v>
      </c>
      <c r="M799" s="9" t="b">
        <v>0</v>
      </c>
      <c r="N799" s="9" t="s">
        <v>2089</v>
      </c>
      <c r="O799" s="9" t="s">
        <v>3794</v>
      </c>
      <c r="P799" s="7">
        <v>1096</v>
      </c>
      <c r="Q799" s="7">
        <v>574</v>
      </c>
      <c r="R799" s="7">
        <v>313</v>
      </c>
      <c r="S799" s="7">
        <v>88</v>
      </c>
      <c r="T799" s="8">
        <v>5.6</v>
      </c>
      <c r="U799" s="8">
        <v>1.1000000000000001</v>
      </c>
      <c r="V799" s="17">
        <v>1.1000000000000001</v>
      </c>
      <c r="AD799" s="1"/>
      <c r="AE799" s="3"/>
      <c r="AF799" s="2"/>
      <c r="AG799" s="2"/>
      <c r="AH799" s="3"/>
      <c r="AI799" s="3"/>
      <c r="AJ799" s="1"/>
      <c r="AK799" s="1"/>
    </row>
    <row r="800" spans="1:37" x14ac:dyDescent="0.3">
      <c r="A800" s="14">
        <v>917</v>
      </c>
      <c r="B800" s="14">
        <v>2</v>
      </c>
      <c r="C800" s="9" t="s">
        <v>1659</v>
      </c>
      <c r="D800" s="9" t="s">
        <v>1457</v>
      </c>
      <c r="E800" s="9" t="s">
        <v>2994</v>
      </c>
      <c r="F800" s="10" t="s">
        <v>2995</v>
      </c>
      <c r="G800" s="9">
        <v>1</v>
      </c>
      <c r="H800" s="9"/>
      <c r="I800" s="9"/>
      <c r="J800" s="9"/>
      <c r="K800" s="9" t="b">
        <v>0</v>
      </c>
      <c r="L800" s="9" t="s">
        <v>369</v>
      </c>
      <c r="M800" s="9" t="b">
        <v>0</v>
      </c>
      <c r="N800" s="9" t="s">
        <v>2996</v>
      </c>
      <c r="O800" s="9" t="s">
        <v>4089</v>
      </c>
      <c r="P800" s="7">
        <v>1165</v>
      </c>
      <c r="Q800" s="7">
        <v>675</v>
      </c>
      <c r="R800" s="7">
        <v>326</v>
      </c>
      <c r="S800" s="7">
        <v>91</v>
      </c>
      <c r="T800" s="8">
        <v>5.7</v>
      </c>
      <c r="U800" s="8">
        <v>1.1000000000000001</v>
      </c>
      <c r="V800" s="17">
        <v>1.1000000000000001</v>
      </c>
      <c r="AD800" s="1"/>
      <c r="AE800" s="3"/>
      <c r="AF800" s="2"/>
      <c r="AG800" s="2"/>
      <c r="AH800" s="2"/>
      <c r="AI800" s="3"/>
      <c r="AJ800" s="1"/>
      <c r="AK800" s="1"/>
    </row>
    <row r="801" spans="1:37" x14ac:dyDescent="0.3">
      <c r="A801" s="14">
        <v>878</v>
      </c>
      <c r="B801" s="14">
        <v>4</v>
      </c>
      <c r="C801" s="9" t="s">
        <v>1659</v>
      </c>
      <c r="D801" s="9" t="s">
        <v>1338</v>
      </c>
      <c r="E801" s="9" t="s">
        <v>2879</v>
      </c>
      <c r="F801" s="9" t="s">
        <v>2880</v>
      </c>
      <c r="G801" s="9">
        <v>1</v>
      </c>
      <c r="H801" s="9"/>
      <c r="I801" s="9"/>
      <c r="J801" s="9"/>
      <c r="K801" s="9" t="b">
        <v>0</v>
      </c>
      <c r="L801" s="9" t="s">
        <v>2882</v>
      </c>
      <c r="M801" s="9" t="b">
        <v>0</v>
      </c>
      <c r="N801" s="9" t="s">
        <v>2881</v>
      </c>
      <c r="O801" s="9" t="s">
        <v>4053</v>
      </c>
      <c r="P801" s="7">
        <v>360</v>
      </c>
      <c r="Q801" s="7">
        <v>209</v>
      </c>
      <c r="R801" s="7">
        <v>97</v>
      </c>
      <c r="S801" s="7">
        <v>28</v>
      </c>
      <c r="T801" s="8">
        <v>5.5</v>
      </c>
      <c r="U801" s="8">
        <v>1.1000000000000001</v>
      </c>
      <c r="V801" s="17">
        <v>1.1000000000000001</v>
      </c>
      <c r="AD801" s="1"/>
      <c r="AE801" s="3"/>
      <c r="AF801" s="3"/>
      <c r="AG801" s="3"/>
      <c r="AH801" s="3"/>
      <c r="AI801" s="3"/>
      <c r="AJ801" s="1"/>
      <c r="AK801" s="1"/>
    </row>
    <row r="802" spans="1:37" x14ac:dyDescent="0.3">
      <c r="A802" s="14">
        <v>808</v>
      </c>
      <c r="B802" s="14">
        <v>1</v>
      </c>
      <c r="C802" s="9" t="s">
        <v>1659</v>
      </c>
      <c r="D802" s="9" t="s">
        <v>1077</v>
      </c>
      <c r="E802" s="9" t="s">
        <v>2668</v>
      </c>
      <c r="F802" s="9" t="s">
        <v>2669</v>
      </c>
      <c r="G802" s="9">
        <v>4</v>
      </c>
      <c r="H802" s="9"/>
      <c r="I802" s="9"/>
      <c r="J802" s="9"/>
      <c r="K802" s="9" t="b">
        <v>0</v>
      </c>
      <c r="L802" s="9" t="s">
        <v>7</v>
      </c>
      <c r="M802" s="9" t="b">
        <v>0</v>
      </c>
      <c r="N802" s="9" t="s">
        <v>2670</v>
      </c>
      <c r="O802" s="9" t="s">
        <v>3983</v>
      </c>
      <c r="P802" s="7">
        <v>964</v>
      </c>
      <c r="Q802" s="7">
        <v>630</v>
      </c>
      <c r="R802" s="7">
        <v>303</v>
      </c>
      <c r="S802" s="7">
        <v>72</v>
      </c>
      <c r="T802" s="8">
        <v>5.3</v>
      </c>
      <c r="U802" s="8">
        <v>1.1000000000000001</v>
      </c>
      <c r="V802" s="17">
        <v>1.1000000000000001</v>
      </c>
      <c r="AD802" s="1"/>
      <c r="AE802" s="3"/>
      <c r="AF802" s="2"/>
      <c r="AG802" s="3"/>
      <c r="AH802" s="3"/>
      <c r="AI802" s="3"/>
      <c r="AJ802" s="1"/>
      <c r="AK802" s="1"/>
    </row>
    <row r="803" spans="1:37" x14ac:dyDescent="0.3">
      <c r="A803" s="14">
        <v>679</v>
      </c>
      <c r="B803" s="14">
        <v>3</v>
      </c>
      <c r="C803" s="9" t="s">
        <v>1659</v>
      </c>
      <c r="D803" s="9" t="s">
        <v>411</v>
      </c>
      <c r="E803" s="9" t="s">
        <v>2274</v>
      </c>
      <c r="F803" s="9" t="s">
        <v>2275</v>
      </c>
      <c r="G803" s="9">
        <v>3</v>
      </c>
      <c r="H803" s="9"/>
      <c r="I803" s="9"/>
      <c r="J803" s="9"/>
      <c r="K803" s="9" t="b">
        <v>0</v>
      </c>
      <c r="L803" s="9" t="s">
        <v>238</v>
      </c>
      <c r="M803" s="9" t="b">
        <v>0</v>
      </c>
      <c r="N803" s="9" t="s">
        <v>2276</v>
      </c>
      <c r="O803" s="9" t="s">
        <v>3854</v>
      </c>
      <c r="P803" s="7">
        <v>1069</v>
      </c>
      <c r="Q803" s="7">
        <v>595</v>
      </c>
      <c r="R803" s="7">
        <v>302</v>
      </c>
      <c r="S803" s="7">
        <v>81</v>
      </c>
      <c r="T803" s="8">
        <v>5.7</v>
      </c>
      <c r="U803" s="8">
        <v>1.1000000000000001</v>
      </c>
      <c r="V803" s="17">
        <v>1.1000000000000001</v>
      </c>
      <c r="AD803" s="1"/>
      <c r="AE803" s="3"/>
      <c r="AF803" s="2"/>
      <c r="AG803" s="2"/>
      <c r="AH803" s="3"/>
      <c r="AI803" s="3"/>
      <c r="AJ803" s="1"/>
      <c r="AK803" s="1"/>
    </row>
    <row r="804" spans="1:37" x14ac:dyDescent="0.3">
      <c r="A804" s="14">
        <v>942</v>
      </c>
      <c r="B804" s="14">
        <v>2</v>
      </c>
      <c r="C804" s="9" t="s">
        <v>1659</v>
      </c>
      <c r="D804" s="9" t="s">
        <v>1457</v>
      </c>
      <c r="E804" s="9" t="s">
        <v>3073</v>
      </c>
      <c r="F804" s="9" t="s">
        <v>3074</v>
      </c>
      <c r="G804" s="9">
        <v>1</v>
      </c>
      <c r="H804" s="9"/>
      <c r="I804" s="9"/>
      <c r="J804" s="9"/>
      <c r="K804" s="9" t="b">
        <v>0</v>
      </c>
      <c r="L804" s="9" t="s">
        <v>369</v>
      </c>
      <c r="M804" s="9" t="b">
        <v>0</v>
      </c>
      <c r="N804" s="9" t="s">
        <v>3075</v>
      </c>
      <c r="O804" s="9" t="s">
        <v>4114</v>
      </c>
      <c r="P804" s="7">
        <v>1274</v>
      </c>
      <c r="Q804" s="7">
        <v>813</v>
      </c>
      <c r="R804" s="7">
        <v>400</v>
      </c>
      <c r="S804" s="7">
        <v>95</v>
      </c>
      <c r="T804" s="8">
        <v>5.4</v>
      </c>
      <c r="U804" s="8">
        <v>1.1000000000000001</v>
      </c>
      <c r="V804" s="17">
        <v>1.1000000000000001</v>
      </c>
      <c r="AD804" s="1"/>
      <c r="AE804" s="3"/>
      <c r="AF804" s="3"/>
      <c r="AG804" s="3"/>
      <c r="AH804" s="3"/>
      <c r="AI804" s="3"/>
      <c r="AJ804" s="1"/>
      <c r="AK804" s="1"/>
    </row>
    <row r="805" spans="1:37" x14ac:dyDescent="0.3">
      <c r="A805" s="14">
        <v>816</v>
      </c>
      <c r="B805" s="14">
        <v>1</v>
      </c>
      <c r="C805" s="9" t="s">
        <v>1659</v>
      </c>
      <c r="D805" s="9" t="s">
        <v>1077</v>
      </c>
      <c r="E805" s="9" t="s">
        <v>2692</v>
      </c>
      <c r="F805" s="9" t="s">
        <v>2693</v>
      </c>
      <c r="G805" s="9">
        <v>4</v>
      </c>
      <c r="H805" s="9"/>
      <c r="I805" s="9"/>
      <c r="J805" s="9"/>
      <c r="K805" s="9" t="b">
        <v>0</v>
      </c>
      <c r="L805" s="9" t="s">
        <v>7</v>
      </c>
      <c r="M805" s="9" t="b">
        <v>0</v>
      </c>
      <c r="N805" s="9" t="s">
        <v>2694</v>
      </c>
      <c r="O805" s="9" t="s">
        <v>3991</v>
      </c>
      <c r="P805" s="7">
        <v>1288</v>
      </c>
      <c r="Q805" s="7">
        <v>582</v>
      </c>
      <c r="R805" s="7">
        <v>319</v>
      </c>
      <c r="S805" s="7">
        <v>97</v>
      </c>
      <c r="T805" s="8">
        <v>5.6</v>
      </c>
      <c r="U805" s="8">
        <v>1.1000000000000001</v>
      </c>
      <c r="V805" s="17">
        <v>1.1000000000000001</v>
      </c>
      <c r="AD805" s="1"/>
      <c r="AE805" s="3"/>
      <c r="AF805" s="2"/>
      <c r="AG805" s="2"/>
      <c r="AH805" s="2"/>
      <c r="AI805" s="3"/>
      <c r="AJ805" s="1"/>
      <c r="AK805" s="1"/>
    </row>
    <row r="806" spans="1:37" x14ac:dyDescent="0.3">
      <c r="A806" s="14">
        <v>867</v>
      </c>
      <c r="B806" s="14">
        <v>1</v>
      </c>
      <c r="C806" s="9" t="s">
        <v>1659</v>
      </c>
      <c r="D806" s="9" t="s">
        <v>1208</v>
      </c>
      <c r="E806" s="9" t="s">
        <v>2845</v>
      </c>
      <c r="F806" s="9" t="s">
        <v>2846</v>
      </c>
      <c r="G806" s="9">
        <v>3</v>
      </c>
      <c r="H806" s="9"/>
      <c r="I806" s="9"/>
      <c r="J806" s="9"/>
      <c r="K806" s="9" t="b">
        <v>0</v>
      </c>
      <c r="L806" s="9" t="s">
        <v>7</v>
      </c>
      <c r="M806" s="9" t="b">
        <v>0</v>
      </c>
      <c r="N806" s="9" t="s">
        <v>2847</v>
      </c>
      <c r="O806" s="9" t="s">
        <v>4042</v>
      </c>
      <c r="P806" s="7">
        <v>1328</v>
      </c>
      <c r="Q806" s="7">
        <v>699</v>
      </c>
      <c r="R806" s="7">
        <v>362</v>
      </c>
      <c r="S806" s="7">
        <v>100</v>
      </c>
      <c r="T806" s="8">
        <v>5.7</v>
      </c>
      <c r="U806" s="8">
        <v>1.1000000000000001</v>
      </c>
      <c r="V806" s="17">
        <v>1.1000000000000001</v>
      </c>
      <c r="AD806" s="1"/>
      <c r="AE806" s="3"/>
      <c r="AF806" s="2"/>
      <c r="AG806" s="2"/>
      <c r="AH806" s="2"/>
      <c r="AI806" s="3"/>
      <c r="AJ806" s="1"/>
      <c r="AK806" s="1"/>
    </row>
    <row r="807" spans="1:37" x14ac:dyDescent="0.3">
      <c r="A807" s="14">
        <v>424</v>
      </c>
      <c r="B807" s="14">
        <v>2</v>
      </c>
      <c r="C807" s="9" t="s">
        <v>0</v>
      </c>
      <c r="D807" s="9" t="s">
        <v>1457</v>
      </c>
      <c r="E807" s="9" t="s">
        <v>1472</v>
      </c>
      <c r="F807" s="9" t="s">
        <v>1473</v>
      </c>
      <c r="G807" s="9">
        <v>1</v>
      </c>
      <c r="H807" s="9"/>
      <c r="I807" s="9"/>
      <c r="J807" s="9"/>
      <c r="K807" s="9" t="b">
        <v>0</v>
      </c>
      <c r="L807" s="9"/>
      <c r="M807" s="9" t="b">
        <v>1</v>
      </c>
      <c r="N807" s="9" t="s">
        <v>1474</v>
      </c>
      <c r="O807" s="9" t="s">
        <v>3599</v>
      </c>
      <c r="P807" s="7">
        <v>1417</v>
      </c>
      <c r="Q807" s="7">
        <v>609</v>
      </c>
      <c r="R807" s="7">
        <v>424</v>
      </c>
      <c r="S807" s="7">
        <v>108</v>
      </c>
      <c r="T807" s="8">
        <v>5.6</v>
      </c>
      <c r="U807" s="8">
        <v>1.1000000000000001</v>
      </c>
      <c r="V807" s="17">
        <v>1.1000000000000001</v>
      </c>
      <c r="AD807" s="1"/>
      <c r="AE807" s="3"/>
      <c r="AF807" s="3"/>
      <c r="AG807" s="3"/>
      <c r="AH807" s="3"/>
      <c r="AI807" s="3"/>
      <c r="AJ807" s="1"/>
      <c r="AK807" s="1"/>
    </row>
    <row r="808" spans="1:37" x14ac:dyDescent="0.3">
      <c r="A808" s="14">
        <v>12</v>
      </c>
      <c r="B808" s="14">
        <v>1</v>
      </c>
      <c r="C808" s="9" t="s">
        <v>0</v>
      </c>
      <c r="D808" s="9" t="s">
        <v>1</v>
      </c>
      <c r="E808" s="9" t="s">
        <v>44</v>
      </c>
      <c r="F808" s="9" t="s">
        <v>45</v>
      </c>
      <c r="G808" s="9">
        <v>1</v>
      </c>
      <c r="H808" s="9"/>
      <c r="I808" s="9" t="s">
        <v>46</v>
      </c>
      <c r="J808" s="9"/>
      <c r="K808" s="9" t="b">
        <v>1</v>
      </c>
      <c r="L808" s="9" t="s">
        <v>7</v>
      </c>
      <c r="M808" s="9" t="b">
        <v>0</v>
      </c>
      <c r="N808" s="9" t="s">
        <v>47</v>
      </c>
      <c r="O808" s="9" t="s">
        <v>3188</v>
      </c>
      <c r="P808" s="7">
        <v>1500</v>
      </c>
      <c r="Q808" s="7">
        <v>729</v>
      </c>
      <c r="R808" s="7">
        <v>387</v>
      </c>
      <c r="S808" s="7">
        <v>112</v>
      </c>
      <c r="T808" s="8">
        <v>5.8</v>
      </c>
      <c r="U808" s="8">
        <v>1.1000000000000001</v>
      </c>
      <c r="V808" s="17">
        <v>1.1000000000000001</v>
      </c>
      <c r="AD808" s="1"/>
      <c r="AE808" s="3"/>
      <c r="AF808" s="2"/>
      <c r="AG808" s="2"/>
      <c r="AH808" s="3"/>
      <c r="AI808" s="3"/>
      <c r="AJ808" s="1"/>
      <c r="AK808" s="1"/>
    </row>
    <row r="809" spans="1:37" x14ac:dyDescent="0.3">
      <c r="A809" s="14">
        <v>83</v>
      </c>
      <c r="B809" s="14">
        <v>2</v>
      </c>
      <c r="C809" s="9" t="s">
        <v>0</v>
      </c>
      <c r="D809" s="9" t="s">
        <v>180</v>
      </c>
      <c r="E809" s="9" t="s">
        <v>314</v>
      </c>
      <c r="F809" s="10" t="s">
        <v>315</v>
      </c>
      <c r="G809" s="9">
        <v>1</v>
      </c>
      <c r="H809" s="9"/>
      <c r="I809" s="9"/>
      <c r="J809" s="9"/>
      <c r="K809" s="9" t="b">
        <v>0</v>
      </c>
      <c r="L809" s="9" t="s">
        <v>238</v>
      </c>
      <c r="M809" s="9" t="b">
        <v>0</v>
      </c>
      <c r="N809" s="9" t="s">
        <v>316</v>
      </c>
      <c r="O809" s="9" t="s">
        <v>3259</v>
      </c>
      <c r="P809" s="7">
        <v>1381</v>
      </c>
      <c r="Q809" s="7">
        <v>644</v>
      </c>
      <c r="R809" s="7">
        <v>448</v>
      </c>
      <c r="S809" s="7">
        <v>103</v>
      </c>
      <c r="T809" s="8">
        <v>5.7</v>
      </c>
      <c r="U809" s="8">
        <v>1.1000000000000001</v>
      </c>
      <c r="V809" s="17">
        <v>1.1000000000000001</v>
      </c>
      <c r="AD809" s="1"/>
      <c r="AE809" s="3"/>
      <c r="AF809" s="2"/>
      <c r="AG809" s="2"/>
      <c r="AH809" s="2"/>
      <c r="AI809" s="3"/>
      <c r="AJ809" s="1"/>
      <c r="AK809" s="1"/>
    </row>
    <row r="810" spans="1:37" x14ac:dyDescent="0.3">
      <c r="A810" s="14">
        <v>38</v>
      </c>
      <c r="B810" s="14">
        <v>1</v>
      </c>
      <c r="C810" s="9" t="s">
        <v>0</v>
      </c>
      <c r="D810" s="9" t="s">
        <v>1</v>
      </c>
      <c r="E810" s="9" t="s">
        <v>137</v>
      </c>
      <c r="F810" s="9" t="s">
        <v>138</v>
      </c>
      <c r="G810" s="9">
        <v>1</v>
      </c>
      <c r="H810" s="9"/>
      <c r="I810" s="9" t="s">
        <v>5</v>
      </c>
      <c r="J810" s="9">
        <v>1</v>
      </c>
      <c r="K810" s="9" t="b">
        <v>0</v>
      </c>
      <c r="L810" s="9" t="s">
        <v>7</v>
      </c>
      <c r="M810" s="9" t="b">
        <v>0</v>
      </c>
      <c r="N810" s="9" t="s">
        <v>139</v>
      </c>
      <c r="O810" s="9" t="s">
        <v>3214</v>
      </c>
      <c r="P810" s="7">
        <v>1416</v>
      </c>
      <c r="Q810" s="7">
        <v>861</v>
      </c>
      <c r="R810" s="7">
        <v>542</v>
      </c>
      <c r="S810" s="7">
        <v>109</v>
      </c>
      <c r="T810" s="8">
        <v>4.9000000000000004</v>
      </c>
      <c r="U810" s="8">
        <v>1.1000000000000001</v>
      </c>
      <c r="V810" s="17">
        <v>1.1000000000000001</v>
      </c>
      <c r="AD810" s="1"/>
      <c r="AE810" s="3"/>
      <c r="AF810" s="2"/>
      <c r="AG810" s="2"/>
      <c r="AH810" s="3"/>
      <c r="AI810" s="3"/>
      <c r="AJ810" s="1"/>
      <c r="AK810" s="1"/>
    </row>
    <row r="811" spans="1:37" x14ac:dyDescent="0.3">
      <c r="A811" s="14">
        <v>267</v>
      </c>
      <c r="B811" s="14">
        <v>3</v>
      </c>
      <c r="C811" s="9" t="s">
        <v>0</v>
      </c>
      <c r="D811" s="9" t="s">
        <v>411</v>
      </c>
      <c r="E811" s="9" t="s">
        <v>966</v>
      </c>
      <c r="F811" s="9" t="s">
        <v>967</v>
      </c>
      <c r="G811" s="9">
        <v>1</v>
      </c>
      <c r="H811" s="9"/>
      <c r="I811" s="9" t="s">
        <v>22</v>
      </c>
      <c r="J811" s="9"/>
      <c r="K811" s="9" t="b">
        <v>0</v>
      </c>
      <c r="L811" s="9" t="s">
        <v>772</v>
      </c>
      <c r="M811" s="9" t="b">
        <v>0</v>
      </c>
      <c r="N811" s="9" t="s">
        <v>968</v>
      </c>
      <c r="O811" s="9" t="s">
        <v>3443</v>
      </c>
      <c r="P811" s="7">
        <v>1229</v>
      </c>
      <c r="Q811" s="7">
        <v>695</v>
      </c>
      <c r="R811" s="7">
        <v>422</v>
      </c>
      <c r="S811" s="7">
        <v>92</v>
      </c>
      <c r="T811" s="8">
        <v>5.0999999999999996</v>
      </c>
      <c r="U811" s="8">
        <v>1.1000000000000001</v>
      </c>
      <c r="V811" s="17">
        <v>1.1000000000000001</v>
      </c>
      <c r="AD811" s="1"/>
      <c r="AE811" s="3"/>
      <c r="AF811" s="2"/>
      <c r="AG811" s="3"/>
      <c r="AH811" s="3"/>
      <c r="AI811" s="3"/>
      <c r="AJ811" s="1"/>
      <c r="AK811" s="1"/>
    </row>
    <row r="812" spans="1:37" x14ac:dyDescent="0.3">
      <c r="A812" s="14">
        <v>472</v>
      </c>
      <c r="B812" s="14">
        <v>2</v>
      </c>
      <c r="C812" s="9" t="s">
        <v>0</v>
      </c>
      <c r="D812" s="9" t="s">
        <v>1457</v>
      </c>
      <c r="E812" s="9" t="s">
        <v>1633</v>
      </c>
      <c r="F812" s="9" t="s">
        <v>1634</v>
      </c>
      <c r="G812" s="9">
        <v>1</v>
      </c>
      <c r="H812" s="9"/>
      <c r="I812" s="9" t="s">
        <v>22</v>
      </c>
      <c r="J812" s="9"/>
      <c r="K812" s="9" t="b">
        <v>0</v>
      </c>
      <c r="L812" s="9" t="s">
        <v>254</v>
      </c>
      <c r="M812" s="9" t="b">
        <v>0</v>
      </c>
      <c r="N812" s="9" t="s">
        <v>1635</v>
      </c>
      <c r="O812" s="9" t="s">
        <v>3647</v>
      </c>
      <c r="P812" s="7">
        <v>1364</v>
      </c>
      <c r="Q812" s="7">
        <v>737</v>
      </c>
      <c r="R812" s="7">
        <v>440</v>
      </c>
      <c r="S812" s="7">
        <v>109</v>
      </c>
      <c r="T812" s="8">
        <v>5.0999999999999996</v>
      </c>
      <c r="U812" s="8">
        <v>1.1000000000000001</v>
      </c>
      <c r="V812" s="17">
        <v>1.1000000000000001</v>
      </c>
      <c r="AD812" s="1"/>
      <c r="AE812" s="3"/>
      <c r="AF812" s="2"/>
      <c r="AG812" s="3"/>
      <c r="AH812" s="3"/>
      <c r="AI812" s="3"/>
      <c r="AJ812" s="1"/>
      <c r="AK812" s="1"/>
    </row>
    <row r="813" spans="1:37" x14ac:dyDescent="0.3">
      <c r="A813" s="14">
        <v>630</v>
      </c>
      <c r="B813" s="14">
        <v>3</v>
      </c>
      <c r="C813" s="9" t="s">
        <v>1659</v>
      </c>
      <c r="D813" s="9" t="s">
        <v>411</v>
      </c>
      <c r="E813" s="9" t="s">
        <v>2120</v>
      </c>
      <c r="F813" s="9" t="s">
        <v>2121</v>
      </c>
      <c r="G813" s="9">
        <v>3</v>
      </c>
      <c r="H813" s="9"/>
      <c r="I813" s="9"/>
      <c r="J813" s="9"/>
      <c r="K813" s="9" t="b">
        <v>0</v>
      </c>
      <c r="L813" s="9" t="s">
        <v>185</v>
      </c>
      <c r="M813" s="9" t="b">
        <v>0</v>
      </c>
      <c r="N813" s="9" t="s">
        <v>2122</v>
      </c>
      <c r="O813" s="9" t="s">
        <v>3805</v>
      </c>
      <c r="P813" s="7">
        <v>856</v>
      </c>
      <c r="Q813" s="7">
        <v>477</v>
      </c>
      <c r="R813" s="7">
        <v>209</v>
      </c>
      <c r="S813" s="7">
        <v>58</v>
      </c>
      <c r="T813" s="8">
        <v>5.9</v>
      </c>
      <c r="U813" s="8">
        <v>1</v>
      </c>
      <c r="V813" s="17">
        <v>1</v>
      </c>
      <c r="AD813" s="1"/>
      <c r="AE813" s="3"/>
      <c r="AF813" s="2"/>
      <c r="AG813" s="2"/>
      <c r="AH813" s="2"/>
      <c r="AI813" s="3"/>
      <c r="AJ813" s="1"/>
      <c r="AK813" s="1"/>
    </row>
    <row r="814" spans="1:37" x14ac:dyDescent="0.3">
      <c r="A814" s="14">
        <v>496</v>
      </c>
      <c r="B814" s="14">
        <v>1</v>
      </c>
      <c r="C814" s="9" t="s">
        <v>1659</v>
      </c>
      <c r="D814" s="9" t="s">
        <v>1</v>
      </c>
      <c r="E814" s="9" t="s">
        <v>1708</v>
      </c>
      <c r="F814" s="9" t="s">
        <v>1709</v>
      </c>
      <c r="G814" s="9">
        <v>4</v>
      </c>
      <c r="H814" s="9"/>
      <c r="I814" s="9"/>
      <c r="J814" s="9"/>
      <c r="K814" s="9" t="b">
        <v>0</v>
      </c>
      <c r="L814" s="9" t="s">
        <v>7</v>
      </c>
      <c r="M814" s="9" t="b">
        <v>0</v>
      </c>
      <c r="N814" s="9" t="s">
        <v>1710</v>
      </c>
      <c r="O814" s="9" t="s">
        <v>3671</v>
      </c>
      <c r="P814" s="7">
        <v>1007</v>
      </c>
      <c r="Q814" s="7">
        <v>555</v>
      </c>
      <c r="R814" s="7">
        <v>300</v>
      </c>
      <c r="S814" s="7">
        <v>67</v>
      </c>
      <c r="T814" s="8">
        <v>5.2</v>
      </c>
      <c r="U814" s="8">
        <v>1</v>
      </c>
      <c r="V814" s="17">
        <v>1</v>
      </c>
      <c r="AD814" s="1"/>
      <c r="AE814" s="3"/>
      <c r="AF814" s="2"/>
      <c r="AG814" s="2"/>
      <c r="AH814" s="2"/>
      <c r="AI814" s="3"/>
      <c r="AJ814" s="1"/>
      <c r="AK814" s="1"/>
    </row>
    <row r="815" spans="1:37" x14ac:dyDescent="0.3">
      <c r="A815" s="14">
        <v>923</v>
      </c>
      <c r="B815" s="14">
        <v>2</v>
      </c>
      <c r="C815" s="9" t="s">
        <v>1659</v>
      </c>
      <c r="D815" s="9" t="s">
        <v>1457</v>
      </c>
      <c r="E815" s="9" t="s">
        <v>3015</v>
      </c>
      <c r="F815" s="9" t="s">
        <v>3016</v>
      </c>
      <c r="G815" s="9">
        <v>3</v>
      </c>
      <c r="H815" s="9"/>
      <c r="I815" s="9"/>
      <c r="J815" s="9"/>
      <c r="K815" s="9" t="b">
        <v>0</v>
      </c>
      <c r="L815" s="9" t="s">
        <v>1603</v>
      </c>
      <c r="M815" s="9" t="b">
        <v>0</v>
      </c>
      <c r="N815" s="9" t="s">
        <v>3017</v>
      </c>
      <c r="O815" s="9" t="s">
        <v>4095</v>
      </c>
      <c r="P815" s="7">
        <v>1332</v>
      </c>
      <c r="Q815" s="7">
        <v>829</v>
      </c>
      <c r="R815" s="7">
        <v>404</v>
      </c>
      <c r="S815" s="7">
        <v>89</v>
      </c>
      <c r="T815" s="8">
        <v>5.5</v>
      </c>
      <c r="U815" s="8">
        <v>1</v>
      </c>
      <c r="V815" s="17">
        <v>1</v>
      </c>
      <c r="AD815" s="1"/>
      <c r="AE815" s="3"/>
      <c r="AF815" s="2"/>
      <c r="AG815" s="2"/>
      <c r="AH815" s="3"/>
      <c r="AI815" s="3"/>
      <c r="AJ815" s="1"/>
      <c r="AK815" s="1"/>
    </row>
    <row r="816" spans="1:37" x14ac:dyDescent="0.3">
      <c r="A816" s="14">
        <v>800</v>
      </c>
      <c r="B816" s="14">
        <v>1</v>
      </c>
      <c r="C816" s="9" t="s">
        <v>1659</v>
      </c>
      <c r="D816" s="9" t="s">
        <v>1077</v>
      </c>
      <c r="E816" s="9" t="s">
        <v>2644</v>
      </c>
      <c r="F816" s="9" t="s">
        <v>2645</v>
      </c>
      <c r="G816" s="9">
        <v>3</v>
      </c>
      <c r="H816" s="9"/>
      <c r="I816" s="9"/>
      <c r="J816" s="9"/>
      <c r="K816" s="9" t="b">
        <v>0</v>
      </c>
      <c r="L816" s="9" t="s">
        <v>7</v>
      </c>
      <c r="M816" s="9" t="b">
        <v>0</v>
      </c>
      <c r="N816" s="9" t="s">
        <v>2646</v>
      </c>
      <c r="O816" s="9" t="s">
        <v>3975</v>
      </c>
      <c r="P816" s="7">
        <v>1316</v>
      </c>
      <c r="Q816" s="7">
        <v>752</v>
      </c>
      <c r="R816" s="7">
        <v>306</v>
      </c>
      <c r="S816" s="7">
        <v>88</v>
      </c>
      <c r="T816" s="8">
        <v>5.8</v>
      </c>
      <c r="U816" s="8">
        <v>1</v>
      </c>
      <c r="V816" s="17">
        <v>1</v>
      </c>
      <c r="AD816" s="1"/>
      <c r="AE816" s="3"/>
      <c r="AF816" s="2"/>
      <c r="AG816" s="2"/>
      <c r="AH816" s="2"/>
      <c r="AI816" s="3"/>
      <c r="AJ816" s="1"/>
      <c r="AK816" s="1"/>
    </row>
    <row r="817" spans="1:37" x14ac:dyDescent="0.3">
      <c r="A817" s="14">
        <v>566</v>
      </c>
      <c r="B817" s="14">
        <v>2</v>
      </c>
      <c r="C817" s="9" t="s">
        <v>1659</v>
      </c>
      <c r="D817" s="9" t="s">
        <v>180</v>
      </c>
      <c r="E817" s="9" t="s">
        <v>1920</v>
      </c>
      <c r="F817" s="9" t="s">
        <v>1921</v>
      </c>
      <c r="G817" s="9">
        <v>1</v>
      </c>
      <c r="H817" s="9"/>
      <c r="I817" s="9"/>
      <c r="J817" s="9"/>
      <c r="K817" s="9" t="b">
        <v>0</v>
      </c>
      <c r="L817" s="9" t="s">
        <v>234</v>
      </c>
      <c r="M817" s="9" t="b">
        <v>0</v>
      </c>
      <c r="N817" s="9" t="s">
        <v>1922</v>
      </c>
      <c r="O817" s="9" t="s">
        <v>3741</v>
      </c>
      <c r="P817" s="7">
        <v>1302</v>
      </c>
      <c r="Q817" s="7">
        <v>653</v>
      </c>
      <c r="R817" s="7">
        <v>287</v>
      </c>
      <c r="S817" s="7">
        <v>91</v>
      </c>
      <c r="T817" s="8">
        <v>5.7</v>
      </c>
      <c r="U817" s="8">
        <v>1</v>
      </c>
      <c r="V817" s="17">
        <v>1</v>
      </c>
      <c r="AD817" s="1"/>
      <c r="AE817" s="3"/>
      <c r="AF817" s="2"/>
      <c r="AG817" s="2"/>
      <c r="AH817" s="3"/>
      <c r="AI817" s="3"/>
      <c r="AJ817" s="1"/>
      <c r="AK817" s="1"/>
    </row>
    <row r="818" spans="1:37" x14ac:dyDescent="0.3">
      <c r="A818" s="14">
        <v>666</v>
      </c>
      <c r="B818" s="14">
        <v>3</v>
      </c>
      <c r="C818" s="9" t="s">
        <v>1659</v>
      </c>
      <c r="D818" s="9" t="s">
        <v>411</v>
      </c>
      <c r="E818" s="9" t="s">
        <v>2233</v>
      </c>
      <c r="F818" s="9" t="s">
        <v>2234</v>
      </c>
      <c r="G818" s="9">
        <v>3</v>
      </c>
      <c r="H818" s="9"/>
      <c r="I818" s="9"/>
      <c r="J818" s="9"/>
      <c r="K818" s="9" t="b">
        <v>0</v>
      </c>
      <c r="L818" s="9" t="s">
        <v>2236</v>
      </c>
      <c r="M818" s="9" t="b">
        <v>1</v>
      </c>
      <c r="N818" s="9" t="s">
        <v>2235</v>
      </c>
      <c r="O818" s="9" t="s">
        <v>3841</v>
      </c>
      <c r="P818" s="7">
        <v>1050</v>
      </c>
      <c r="Q818" s="7">
        <v>547</v>
      </c>
      <c r="R818" s="7">
        <v>217</v>
      </c>
      <c r="S818" s="7">
        <v>73</v>
      </c>
      <c r="T818" s="8">
        <v>5.9</v>
      </c>
      <c r="U818" s="8">
        <v>1</v>
      </c>
      <c r="V818" s="17">
        <v>1</v>
      </c>
      <c r="AD818" s="1"/>
      <c r="AE818" s="3"/>
      <c r="AF818" s="3"/>
      <c r="AG818" s="3"/>
      <c r="AH818" s="3"/>
      <c r="AI818" s="3"/>
      <c r="AJ818" s="1"/>
      <c r="AK818" s="1"/>
    </row>
    <row r="819" spans="1:37" x14ac:dyDescent="0.3">
      <c r="A819" s="14">
        <v>677</v>
      </c>
      <c r="B819" s="14">
        <v>3</v>
      </c>
      <c r="C819" s="9" t="s">
        <v>1659</v>
      </c>
      <c r="D819" s="9" t="s">
        <v>411</v>
      </c>
      <c r="E819" s="9" t="s">
        <v>2268</v>
      </c>
      <c r="F819" s="9" t="s">
        <v>2269</v>
      </c>
      <c r="G819" s="9">
        <v>1</v>
      </c>
      <c r="H819" s="9"/>
      <c r="I819" s="9"/>
      <c r="J819" s="9"/>
      <c r="K819" s="9" t="b">
        <v>0</v>
      </c>
      <c r="L819" s="9" t="s">
        <v>430</v>
      </c>
      <c r="M819" s="9" t="b">
        <v>0</v>
      </c>
      <c r="N819" s="9" t="s">
        <v>2270</v>
      </c>
      <c r="O819" s="9" t="s">
        <v>3852</v>
      </c>
      <c r="P819" s="7">
        <v>1083</v>
      </c>
      <c r="Q819" s="7">
        <v>463</v>
      </c>
      <c r="R819" s="7">
        <v>204</v>
      </c>
      <c r="S819" s="7">
        <v>74</v>
      </c>
      <c r="T819" s="8">
        <v>6.1</v>
      </c>
      <c r="U819" s="8">
        <v>1</v>
      </c>
      <c r="V819" s="17">
        <v>1</v>
      </c>
      <c r="AD819" s="1"/>
      <c r="AE819" s="3"/>
      <c r="AF819" s="2"/>
      <c r="AG819" s="2"/>
      <c r="AH819" s="3"/>
      <c r="AI819" s="3"/>
      <c r="AJ819" s="1"/>
      <c r="AK819" s="1"/>
    </row>
    <row r="820" spans="1:37" x14ac:dyDescent="0.3">
      <c r="A820" s="14">
        <v>704</v>
      </c>
      <c r="B820" s="14">
        <v>3</v>
      </c>
      <c r="C820" s="9" t="s">
        <v>1659</v>
      </c>
      <c r="D820" s="9" t="s">
        <v>411</v>
      </c>
      <c r="E820" s="9" t="s">
        <v>2351</v>
      </c>
      <c r="F820" s="9" t="s">
        <v>2352</v>
      </c>
      <c r="G820" s="9">
        <v>1</v>
      </c>
      <c r="H820" s="9"/>
      <c r="I820" s="9"/>
      <c r="J820" s="9"/>
      <c r="K820" s="9" t="b">
        <v>0</v>
      </c>
      <c r="L820" s="9" t="s">
        <v>1897</v>
      </c>
      <c r="M820" s="9" t="b">
        <v>0</v>
      </c>
      <c r="N820" s="9" t="s">
        <v>2353</v>
      </c>
      <c r="O820" s="9" t="s">
        <v>3879</v>
      </c>
      <c r="P820" s="7">
        <v>1250</v>
      </c>
      <c r="Q820" s="7">
        <v>727</v>
      </c>
      <c r="R820" s="7">
        <v>307</v>
      </c>
      <c r="S820" s="7">
        <v>87</v>
      </c>
      <c r="T820" s="8">
        <v>5.3</v>
      </c>
      <c r="U820" s="8">
        <v>1</v>
      </c>
      <c r="V820" s="17">
        <v>1</v>
      </c>
      <c r="AD820" s="1"/>
      <c r="AE820" s="3"/>
      <c r="AF820" s="2"/>
      <c r="AG820" s="3"/>
      <c r="AH820" s="3"/>
      <c r="AI820" s="3"/>
      <c r="AJ820" s="1"/>
      <c r="AK820" s="1"/>
    </row>
    <row r="821" spans="1:37" x14ac:dyDescent="0.3">
      <c r="A821" s="14">
        <v>728</v>
      </c>
      <c r="B821" s="14">
        <v>3</v>
      </c>
      <c r="C821" s="9" t="s">
        <v>1659</v>
      </c>
      <c r="D821" s="9" t="s">
        <v>411</v>
      </c>
      <c r="E821" s="9" t="s">
        <v>2424</v>
      </c>
      <c r="F821" s="9" t="s">
        <v>2425</v>
      </c>
      <c r="G821" s="9">
        <v>1</v>
      </c>
      <c r="H821" s="9"/>
      <c r="I821" s="9"/>
      <c r="J821" s="9"/>
      <c r="K821" s="9" t="b">
        <v>0</v>
      </c>
      <c r="L821" s="9" t="s">
        <v>425</v>
      </c>
      <c r="M821" s="9" t="b">
        <v>0</v>
      </c>
      <c r="N821" s="9" t="s">
        <v>2426</v>
      </c>
      <c r="O821" s="9" t="s">
        <v>3903</v>
      </c>
      <c r="P821" s="7">
        <v>1155</v>
      </c>
      <c r="Q821" s="7">
        <v>654</v>
      </c>
      <c r="R821" s="7">
        <v>311</v>
      </c>
      <c r="S821" s="7">
        <v>83</v>
      </c>
      <c r="T821" s="8">
        <v>5.4</v>
      </c>
      <c r="U821" s="8">
        <v>1</v>
      </c>
      <c r="V821" s="17">
        <v>1</v>
      </c>
      <c r="AD821" s="1"/>
      <c r="AE821" s="3"/>
      <c r="AF821" s="2"/>
      <c r="AG821" s="3"/>
      <c r="AH821" s="3"/>
      <c r="AI821" s="3"/>
      <c r="AJ821" s="1"/>
      <c r="AK821" s="1"/>
    </row>
    <row r="822" spans="1:37" x14ac:dyDescent="0.3">
      <c r="A822" s="14">
        <v>591</v>
      </c>
      <c r="B822" s="14">
        <v>2</v>
      </c>
      <c r="C822" s="9" t="s">
        <v>1659</v>
      </c>
      <c r="D822" s="9" t="s">
        <v>180</v>
      </c>
      <c r="E822" s="9" t="s">
        <v>1998</v>
      </c>
      <c r="F822" s="10" t="s">
        <v>1999</v>
      </c>
      <c r="G822" s="9">
        <v>4</v>
      </c>
      <c r="H822" s="9"/>
      <c r="I822" s="9"/>
      <c r="J822" s="9"/>
      <c r="K822" s="9" t="b">
        <v>0</v>
      </c>
      <c r="L822" s="9" t="s">
        <v>194</v>
      </c>
      <c r="M822" s="9" t="b">
        <v>0</v>
      </c>
      <c r="N822" s="9" t="s">
        <v>2000</v>
      </c>
      <c r="O822" s="9" t="s">
        <v>3766</v>
      </c>
      <c r="P822" s="7">
        <v>1170</v>
      </c>
      <c r="Q822" s="7">
        <v>674</v>
      </c>
      <c r="R822" s="7">
        <v>251</v>
      </c>
      <c r="S822" s="7">
        <v>85</v>
      </c>
      <c r="T822" s="8">
        <v>5.6</v>
      </c>
      <c r="U822" s="8">
        <v>1</v>
      </c>
      <c r="V822" s="17">
        <v>1</v>
      </c>
      <c r="AD822" s="1"/>
      <c r="AE822" s="3"/>
      <c r="AF822" s="2"/>
      <c r="AG822" s="2"/>
      <c r="AH822" s="2"/>
      <c r="AI822" s="3"/>
      <c r="AJ822" s="1"/>
      <c r="AK822" s="1"/>
    </row>
    <row r="823" spans="1:37" x14ac:dyDescent="0.3">
      <c r="A823" s="14">
        <v>751</v>
      </c>
      <c r="B823" s="14">
        <v>3</v>
      </c>
      <c r="C823" s="9" t="s">
        <v>1659</v>
      </c>
      <c r="D823" s="9" t="s">
        <v>411</v>
      </c>
      <c r="E823" s="9" t="s">
        <v>2495</v>
      </c>
      <c r="F823" s="9" t="s">
        <v>2496</v>
      </c>
      <c r="G823" s="9">
        <v>1</v>
      </c>
      <c r="H823" s="9"/>
      <c r="I823" s="9"/>
      <c r="J823" s="9"/>
      <c r="K823" s="9" t="b">
        <v>0</v>
      </c>
      <c r="L823" s="9" t="s">
        <v>223</v>
      </c>
      <c r="M823" s="9" t="b">
        <v>0</v>
      </c>
      <c r="N823" s="9" t="s">
        <v>2497</v>
      </c>
      <c r="O823" s="9" t="s">
        <v>3926</v>
      </c>
      <c r="P823" s="7">
        <v>1146</v>
      </c>
      <c r="Q823" s="7">
        <v>472</v>
      </c>
      <c r="R823" s="7">
        <v>279</v>
      </c>
      <c r="S823" s="7">
        <v>80</v>
      </c>
      <c r="T823" s="8">
        <v>5.8</v>
      </c>
      <c r="U823" s="8">
        <v>1</v>
      </c>
      <c r="V823" s="17">
        <v>1</v>
      </c>
      <c r="AD823" s="1"/>
      <c r="AE823" s="3"/>
      <c r="AF823" s="3"/>
      <c r="AG823" s="3"/>
      <c r="AH823" s="3"/>
      <c r="AI823" s="3"/>
      <c r="AJ823" s="1"/>
      <c r="AK823" s="1"/>
    </row>
    <row r="824" spans="1:37" x14ac:dyDescent="0.3">
      <c r="A824" s="14">
        <v>768</v>
      </c>
      <c r="B824" s="14">
        <v>3</v>
      </c>
      <c r="C824" s="9" t="s">
        <v>1659</v>
      </c>
      <c r="D824" s="9" t="s">
        <v>411</v>
      </c>
      <c r="E824" s="9" t="s">
        <v>2547</v>
      </c>
      <c r="F824" s="9" t="s">
        <v>2548</v>
      </c>
      <c r="G824" s="9">
        <v>1</v>
      </c>
      <c r="H824" s="9"/>
      <c r="I824" s="9"/>
      <c r="J824" s="9"/>
      <c r="K824" s="9" t="b">
        <v>0</v>
      </c>
      <c r="L824" s="9" t="s">
        <v>497</v>
      </c>
      <c r="M824" s="9" t="b">
        <v>0</v>
      </c>
      <c r="N824" s="9" t="s">
        <v>2549</v>
      </c>
      <c r="O824" s="9" t="s">
        <v>3943</v>
      </c>
      <c r="P824" s="7">
        <v>1236</v>
      </c>
      <c r="Q824" s="7">
        <v>818</v>
      </c>
      <c r="R824" s="7">
        <v>309</v>
      </c>
      <c r="S824" s="7">
        <v>88</v>
      </c>
      <c r="T824" s="8">
        <v>5.3</v>
      </c>
      <c r="U824" s="8">
        <v>1</v>
      </c>
      <c r="V824" s="17">
        <v>1</v>
      </c>
      <c r="AD824" s="1"/>
      <c r="AE824" s="3"/>
      <c r="AF824" s="2"/>
      <c r="AG824" s="3"/>
      <c r="AH824" s="3"/>
      <c r="AI824" s="3"/>
      <c r="AJ824" s="1"/>
      <c r="AK824" s="1"/>
    </row>
    <row r="825" spans="1:37" x14ac:dyDescent="0.3">
      <c r="A825" s="14">
        <v>785</v>
      </c>
      <c r="B825" s="14">
        <v>3</v>
      </c>
      <c r="C825" s="9" t="s">
        <v>1659</v>
      </c>
      <c r="D825" s="9" t="s">
        <v>411</v>
      </c>
      <c r="E825" s="9" t="s">
        <v>2599</v>
      </c>
      <c r="F825" s="9" t="s">
        <v>2600</v>
      </c>
      <c r="G825" s="9">
        <v>1</v>
      </c>
      <c r="H825" s="9"/>
      <c r="I825" s="9"/>
      <c r="J825" s="9"/>
      <c r="K825" s="9" t="b">
        <v>0</v>
      </c>
      <c r="L825" s="9" t="s">
        <v>777</v>
      </c>
      <c r="M825" s="9" t="b">
        <v>1</v>
      </c>
      <c r="N825" s="9" t="s">
        <v>2601</v>
      </c>
      <c r="O825" s="9" t="s">
        <v>3960</v>
      </c>
      <c r="P825" s="7">
        <v>1099</v>
      </c>
      <c r="Q825" s="7">
        <v>414</v>
      </c>
      <c r="R825" s="7">
        <v>240</v>
      </c>
      <c r="S825" s="7">
        <v>80</v>
      </c>
      <c r="T825" s="8">
        <v>4.2</v>
      </c>
      <c r="U825" s="8">
        <v>1</v>
      </c>
      <c r="V825" s="17">
        <v>1</v>
      </c>
      <c r="AD825" s="1"/>
      <c r="AE825" s="3"/>
      <c r="AF825" s="3"/>
      <c r="AG825" s="3"/>
      <c r="AH825" s="3"/>
      <c r="AI825" s="3"/>
      <c r="AJ825" s="1"/>
      <c r="AK825" s="1"/>
    </row>
    <row r="826" spans="1:37" x14ac:dyDescent="0.3">
      <c r="A826" s="14">
        <v>606</v>
      </c>
      <c r="B826" s="14">
        <v>2</v>
      </c>
      <c r="C826" s="9" t="s">
        <v>1659</v>
      </c>
      <c r="D826" s="9" t="s">
        <v>180</v>
      </c>
      <c r="E826" s="9" t="s">
        <v>2046</v>
      </c>
      <c r="F826" s="9" t="s">
        <v>2047</v>
      </c>
      <c r="G826" s="9">
        <v>1</v>
      </c>
      <c r="H826" s="9"/>
      <c r="I826" s="9"/>
      <c r="J826" s="9"/>
      <c r="K826" s="9" t="b">
        <v>0</v>
      </c>
      <c r="L826" s="9" t="s">
        <v>332</v>
      </c>
      <c r="M826" s="9" t="b">
        <v>0</v>
      </c>
      <c r="N826" s="9" t="s">
        <v>2048</v>
      </c>
      <c r="O826" s="9" t="s">
        <v>3781</v>
      </c>
      <c r="P826" s="7">
        <v>1266</v>
      </c>
      <c r="Q826" s="7">
        <v>690</v>
      </c>
      <c r="R826" s="7">
        <v>361</v>
      </c>
      <c r="S826" s="7">
        <v>88</v>
      </c>
      <c r="T826" s="8">
        <v>5.6</v>
      </c>
      <c r="U826" s="8">
        <v>1</v>
      </c>
      <c r="V826" s="17">
        <v>1</v>
      </c>
      <c r="AD826" s="1"/>
      <c r="AE826" s="3"/>
      <c r="AF826" s="2"/>
      <c r="AG826" s="3"/>
      <c r="AH826" s="3"/>
      <c r="AI826" s="3"/>
      <c r="AJ826" s="1"/>
      <c r="AK826" s="1"/>
    </row>
    <row r="827" spans="1:37" x14ac:dyDescent="0.3">
      <c r="A827" s="14">
        <v>547</v>
      </c>
      <c r="B827" s="14">
        <v>1</v>
      </c>
      <c r="C827" s="9" t="s">
        <v>1659</v>
      </c>
      <c r="D827" s="9" t="s">
        <v>1</v>
      </c>
      <c r="E827" s="9" t="s">
        <v>1860</v>
      </c>
      <c r="F827" s="9" t="s">
        <v>1861</v>
      </c>
      <c r="G827" s="9">
        <v>3</v>
      </c>
      <c r="H827" s="9"/>
      <c r="I827" s="9"/>
      <c r="J827" s="9"/>
      <c r="K827" s="9" t="b">
        <v>0</v>
      </c>
      <c r="L827" s="9" t="s">
        <v>7</v>
      </c>
      <c r="M827" s="9" t="b">
        <v>1</v>
      </c>
      <c r="N827" s="9" t="s">
        <v>1862</v>
      </c>
      <c r="O827" s="9" t="s">
        <v>3722</v>
      </c>
      <c r="P827" s="7">
        <v>1343</v>
      </c>
      <c r="Q827" s="7">
        <v>633</v>
      </c>
      <c r="R827" s="7">
        <v>336</v>
      </c>
      <c r="S827" s="7">
        <v>91</v>
      </c>
      <c r="T827" s="8">
        <v>5.8</v>
      </c>
      <c r="U827" s="8">
        <v>1</v>
      </c>
      <c r="V827" s="17">
        <v>1</v>
      </c>
      <c r="AD827" s="1"/>
      <c r="AE827" s="3"/>
      <c r="AF827" s="2"/>
      <c r="AG827" s="2"/>
      <c r="AH827" s="2"/>
      <c r="AI827" s="3"/>
      <c r="AJ827" s="1"/>
      <c r="AK827" s="1"/>
    </row>
    <row r="828" spans="1:37" x14ac:dyDescent="0.3">
      <c r="A828" s="14">
        <v>303</v>
      </c>
      <c r="B828" s="14">
        <v>1</v>
      </c>
      <c r="C828" s="9" t="s">
        <v>0</v>
      </c>
      <c r="D828" s="9" t="s">
        <v>1077</v>
      </c>
      <c r="E828" s="9" t="s">
        <v>1081</v>
      </c>
      <c r="F828" s="9" t="s">
        <v>1082</v>
      </c>
      <c r="G828" s="9">
        <v>1</v>
      </c>
      <c r="H828" s="9" t="s">
        <v>261</v>
      </c>
      <c r="I828" s="9"/>
      <c r="J828" s="9"/>
      <c r="K828" s="9" t="b">
        <v>0</v>
      </c>
      <c r="L828" s="9" t="s">
        <v>7</v>
      </c>
      <c r="M828" s="9" t="b">
        <v>0</v>
      </c>
      <c r="N828" s="9" t="s">
        <v>1083</v>
      </c>
      <c r="O828" s="9" t="s">
        <v>3479</v>
      </c>
      <c r="P828" s="7">
        <v>1365</v>
      </c>
      <c r="Q828" s="7">
        <v>755</v>
      </c>
      <c r="R828" s="7">
        <v>285</v>
      </c>
      <c r="S828" s="7">
        <v>100</v>
      </c>
      <c r="T828" s="8">
        <v>5.8</v>
      </c>
      <c r="U828" s="8">
        <v>1</v>
      </c>
      <c r="V828" s="17">
        <v>1</v>
      </c>
      <c r="AD828" s="1"/>
      <c r="AE828" s="3"/>
      <c r="AF828" s="2"/>
      <c r="AG828" s="2"/>
      <c r="AH828" s="3"/>
      <c r="AI828" s="3"/>
      <c r="AJ828" s="1"/>
      <c r="AK828" s="1"/>
    </row>
    <row r="829" spans="1:37" x14ac:dyDescent="0.3">
      <c r="A829" s="14">
        <v>54</v>
      </c>
      <c r="B829" s="14">
        <v>2</v>
      </c>
      <c r="C829" s="9" t="s">
        <v>0</v>
      </c>
      <c r="D829" s="9" t="s">
        <v>180</v>
      </c>
      <c r="E829" s="9" t="s">
        <v>195</v>
      </c>
      <c r="F829" s="9" t="s">
        <v>196</v>
      </c>
      <c r="G829" s="9">
        <v>1</v>
      </c>
      <c r="H829" s="9"/>
      <c r="I829" s="9"/>
      <c r="J829" s="9"/>
      <c r="K829" s="9" t="b">
        <v>0</v>
      </c>
      <c r="L829" s="9" t="s">
        <v>198</v>
      </c>
      <c r="M829" s="9" t="b">
        <v>1</v>
      </c>
      <c r="N829" s="9" t="s">
        <v>197</v>
      </c>
      <c r="O829" s="9" t="s">
        <v>3230</v>
      </c>
      <c r="P829" s="7">
        <v>1339</v>
      </c>
      <c r="Q829" s="7">
        <v>400</v>
      </c>
      <c r="R829" s="7">
        <v>287</v>
      </c>
      <c r="S829" s="7">
        <v>96</v>
      </c>
      <c r="T829" s="8">
        <v>5.9</v>
      </c>
      <c r="U829" s="8">
        <v>1</v>
      </c>
      <c r="V829" s="17">
        <v>1</v>
      </c>
      <c r="AD829" s="1"/>
      <c r="AE829" s="3"/>
      <c r="AF829" s="3"/>
      <c r="AG829" s="3"/>
      <c r="AH829" s="3"/>
      <c r="AI829" s="3"/>
      <c r="AJ829" s="1"/>
      <c r="AK829" s="1"/>
    </row>
    <row r="830" spans="1:37" x14ac:dyDescent="0.3">
      <c r="A830" s="14">
        <v>58</v>
      </c>
      <c r="B830" s="14">
        <v>2</v>
      </c>
      <c r="C830" s="9" t="s">
        <v>0</v>
      </c>
      <c r="D830" s="9" t="s">
        <v>180</v>
      </c>
      <c r="E830" s="9" t="s">
        <v>211</v>
      </c>
      <c r="F830" s="9" t="s">
        <v>212</v>
      </c>
      <c r="G830" s="9">
        <v>1</v>
      </c>
      <c r="H830" s="9" t="s">
        <v>213</v>
      </c>
      <c r="I830" s="9"/>
      <c r="J830" s="9"/>
      <c r="K830" s="9" t="b">
        <v>0</v>
      </c>
      <c r="L830" s="9" t="s">
        <v>215</v>
      </c>
      <c r="M830" s="9" t="b">
        <v>0</v>
      </c>
      <c r="N830" s="9" t="s">
        <v>214</v>
      </c>
      <c r="O830" s="9" t="s">
        <v>3234</v>
      </c>
      <c r="P830" s="7">
        <v>1106</v>
      </c>
      <c r="Q830" s="7">
        <v>501</v>
      </c>
      <c r="R830" s="7">
        <v>267</v>
      </c>
      <c r="S830" s="7">
        <v>76</v>
      </c>
      <c r="T830" s="8">
        <v>6</v>
      </c>
      <c r="U830" s="8">
        <v>1</v>
      </c>
      <c r="V830" s="17">
        <v>1</v>
      </c>
      <c r="AD830" s="1"/>
      <c r="AE830" s="3"/>
      <c r="AF830" s="3"/>
      <c r="AG830" s="3"/>
      <c r="AH830" s="3"/>
      <c r="AI830" s="3"/>
      <c r="AJ830" s="1"/>
      <c r="AK830" s="1"/>
    </row>
    <row r="831" spans="1:37" x14ac:dyDescent="0.3">
      <c r="A831" s="14">
        <v>353</v>
      </c>
      <c r="B831" s="14">
        <v>1</v>
      </c>
      <c r="C831" s="9" t="s">
        <v>0</v>
      </c>
      <c r="D831" s="9" t="s">
        <v>1208</v>
      </c>
      <c r="E831" s="9" t="s">
        <v>1248</v>
      </c>
      <c r="F831" s="9" t="s">
        <v>1249</v>
      </c>
      <c r="G831" s="9">
        <v>1</v>
      </c>
      <c r="H831" s="9" t="s">
        <v>576</v>
      </c>
      <c r="I831" s="9"/>
      <c r="J831" s="9">
        <v>1</v>
      </c>
      <c r="K831" s="9" t="b">
        <v>0</v>
      </c>
      <c r="L831" s="9" t="s">
        <v>7</v>
      </c>
      <c r="M831" s="9" t="b">
        <v>0</v>
      </c>
      <c r="N831" s="9" t="s">
        <v>1250</v>
      </c>
      <c r="O831" s="9" t="s">
        <v>3529</v>
      </c>
      <c r="P831" s="7">
        <v>1445</v>
      </c>
      <c r="Q831" s="7">
        <v>949</v>
      </c>
      <c r="R831" s="7">
        <v>489</v>
      </c>
      <c r="S831" s="7">
        <v>102</v>
      </c>
      <c r="T831" s="8">
        <v>5.2</v>
      </c>
      <c r="U831" s="8">
        <v>1</v>
      </c>
      <c r="V831" s="17">
        <v>1</v>
      </c>
      <c r="AD831" s="1"/>
      <c r="AE831" s="3"/>
      <c r="AF831" s="2"/>
      <c r="AG831" s="3"/>
      <c r="AH831" s="3"/>
      <c r="AI831" s="3"/>
      <c r="AJ831" s="1"/>
      <c r="AK831" s="1"/>
    </row>
    <row r="832" spans="1:37" x14ac:dyDescent="0.3">
      <c r="A832" s="14">
        <v>22</v>
      </c>
      <c r="B832" s="14">
        <v>1</v>
      </c>
      <c r="C832" s="9" t="s">
        <v>0</v>
      </c>
      <c r="D832" s="9" t="s">
        <v>1</v>
      </c>
      <c r="E832" s="9" t="s">
        <v>79</v>
      </c>
      <c r="F832" s="9" t="s">
        <v>80</v>
      </c>
      <c r="G832" s="9">
        <v>1</v>
      </c>
      <c r="H832" s="9"/>
      <c r="I832" s="9" t="s">
        <v>22</v>
      </c>
      <c r="J832" s="9"/>
      <c r="K832" s="9" t="b">
        <v>0</v>
      </c>
      <c r="L832" s="9" t="s">
        <v>7</v>
      </c>
      <c r="M832" s="9" t="b">
        <v>0</v>
      </c>
      <c r="N832" s="9" t="s">
        <v>81</v>
      </c>
      <c r="O832" s="9" t="s">
        <v>3198</v>
      </c>
      <c r="P832" s="7">
        <v>1378</v>
      </c>
      <c r="Q832" s="7">
        <v>790</v>
      </c>
      <c r="R832" s="7">
        <v>537</v>
      </c>
      <c r="S832" s="7">
        <v>93</v>
      </c>
      <c r="T832" s="8">
        <v>5.0999999999999996</v>
      </c>
      <c r="U832" s="8">
        <v>1</v>
      </c>
      <c r="V832" s="17">
        <v>1</v>
      </c>
      <c r="AD832" s="1"/>
      <c r="AE832" s="3"/>
      <c r="AF832" s="3"/>
      <c r="AG832" s="3"/>
      <c r="AH832" s="3"/>
      <c r="AI832" s="3"/>
      <c r="AJ832" s="1"/>
      <c r="AK832" s="1"/>
    </row>
    <row r="833" spans="1:37" x14ac:dyDescent="0.3">
      <c r="A833" s="14">
        <v>208</v>
      </c>
      <c r="B833" s="14">
        <v>3</v>
      </c>
      <c r="C833" s="9" t="s">
        <v>0</v>
      </c>
      <c r="D833" s="9" t="s">
        <v>411</v>
      </c>
      <c r="E833" s="9" t="s">
        <v>769</v>
      </c>
      <c r="F833" s="9" t="s">
        <v>770</v>
      </c>
      <c r="G833" s="9">
        <v>1</v>
      </c>
      <c r="H833" s="9"/>
      <c r="I833" s="9"/>
      <c r="J833" s="9"/>
      <c r="K833" s="9" t="b">
        <v>1</v>
      </c>
      <c r="L833" s="9" t="s">
        <v>772</v>
      </c>
      <c r="M833" s="9" t="b">
        <v>0</v>
      </c>
      <c r="N833" s="9" t="s">
        <v>771</v>
      </c>
      <c r="O833" s="9" t="s">
        <v>3384</v>
      </c>
      <c r="P833" s="7">
        <v>1104</v>
      </c>
      <c r="Q833" s="7">
        <v>443</v>
      </c>
      <c r="R833" s="7">
        <v>248</v>
      </c>
      <c r="S833" s="7">
        <v>69</v>
      </c>
      <c r="T833" s="8">
        <v>6</v>
      </c>
      <c r="U833" s="8">
        <v>0.9</v>
      </c>
      <c r="V833" s="19">
        <v>1</v>
      </c>
      <c r="W833" s="23" t="s">
        <v>4180</v>
      </c>
      <c r="AD833" s="1"/>
      <c r="AE833" s="3"/>
      <c r="AF833" s="3"/>
      <c r="AG833" s="3"/>
      <c r="AH833" s="3"/>
      <c r="AI833" s="3"/>
      <c r="AJ833" s="1"/>
      <c r="AK833" s="1"/>
    </row>
    <row r="834" spans="1:37" x14ac:dyDescent="0.3">
      <c r="A834" s="14">
        <v>457</v>
      </c>
      <c r="B834" s="14">
        <v>2</v>
      </c>
      <c r="C834" s="9" t="s">
        <v>0</v>
      </c>
      <c r="D834" s="9" t="s">
        <v>1457</v>
      </c>
      <c r="E834" s="9" t="s">
        <v>1584</v>
      </c>
      <c r="F834" s="9" t="s">
        <v>1585</v>
      </c>
      <c r="G834" s="9">
        <v>1</v>
      </c>
      <c r="H834" s="9"/>
      <c r="I834" s="9" t="s">
        <v>22</v>
      </c>
      <c r="J834" s="9"/>
      <c r="K834" s="9" t="b">
        <v>0</v>
      </c>
      <c r="L834" s="9"/>
      <c r="M834" s="9" t="b">
        <v>0</v>
      </c>
      <c r="N834" s="9" t="s">
        <v>1586</v>
      </c>
      <c r="O834" s="9" t="s">
        <v>3632</v>
      </c>
      <c r="P834" s="7">
        <v>1278</v>
      </c>
      <c r="Q834" s="7">
        <v>726</v>
      </c>
      <c r="R834" s="7">
        <v>401</v>
      </c>
      <c r="S834" s="7">
        <v>87</v>
      </c>
      <c r="T834" s="8">
        <v>5.2</v>
      </c>
      <c r="U834" s="8">
        <v>1</v>
      </c>
      <c r="V834" s="17">
        <v>1</v>
      </c>
      <c r="AD834" s="1"/>
      <c r="AE834" s="3"/>
      <c r="AF834" s="3"/>
      <c r="AG834" s="3"/>
      <c r="AH834" s="3"/>
      <c r="AI834" s="3"/>
      <c r="AJ834" s="1"/>
      <c r="AK834" s="1"/>
    </row>
    <row r="835" spans="1:37" x14ac:dyDescent="0.3">
      <c r="A835" s="14">
        <v>320</v>
      </c>
      <c r="B835" s="14">
        <v>1</v>
      </c>
      <c r="C835" s="9" t="s">
        <v>0</v>
      </c>
      <c r="D835" s="9" t="s">
        <v>1077</v>
      </c>
      <c r="E835" s="9" t="s">
        <v>1136</v>
      </c>
      <c r="F835" s="9" t="s">
        <v>1137</v>
      </c>
      <c r="G835" s="9">
        <v>1</v>
      </c>
      <c r="H835" s="9" t="s">
        <v>1138</v>
      </c>
      <c r="I835" s="9"/>
      <c r="J835" s="9"/>
      <c r="K835" s="9" t="b">
        <v>0</v>
      </c>
      <c r="L835" s="9" t="s">
        <v>7</v>
      </c>
      <c r="M835" s="9" t="b">
        <v>0</v>
      </c>
      <c r="N835" s="9" t="s">
        <v>1139</v>
      </c>
      <c r="O835" s="9" t="s">
        <v>3496</v>
      </c>
      <c r="P835" s="7">
        <v>1141</v>
      </c>
      <c r="Q835" s="7">
        <v>577</v>
      </c>
      <c r="R835" s="7">
        <v>268</v>
      </c>
      <c r="S835" s="7">
        <v>76</v>
      </c>
      <c r="T835" s="8">
        <v>5.8</v>
      </c>
      <c r="U835" s="8">
        <v>1</v>
      </c>
      <c r="V835" s="17">
        <v>1</v>
      </c>
      <c r="AD835" s="1"/>
      <c r="AE835" s="3"/>
      <c r="AF835" s="2"/>
      <c r="AG835" s="3"/>
      <c r="AH835" s="3"/>
      <c r="AI835" s="3"/>
      <c r="AJ835" s="1"/>
      <c r="AK835" s="1"/>
    </row>
    <row r="836" spans="1:37" x14ac:dyDescent="0.3">
      <c r="A836" s="14">
        <v>30</v>
      </c>
      <c r="B836" s="14">
        <v>1</v>
      </c>
      <c r="C836" s="9" t="s">
        <v>0</v>
      </c>
      <c r="D836" s="9" t="s">
        <v>1</v>
      </c>
      <c r="E836" s="9" t="s">
        <v>108</v>
      </c>
      <c r="F836" s="9" t="s">
        <v>109</v>
      </c>
      <c r="G836" s="9">
        <v>1</v>
      </c>
      <c r="H836" s="9"/>
      <c r="I836" s="9" t="s">
        <v>110</v>
      </c>
      <c r="J836" s="9"/>
      <c r="K836" s="9" t="b">
        <v>1</v>
      </c>
      <c r="L836" s="9" t="s">
        <v>7</v>
      </c>
      <c r="M836" s="9" t="b">
        <v>0</v>
      </c>
      <c r="N836" s="9" t="s">
        <v>111</v>
      </c>
      <c r="O836" s="9" t="s">
        <v>3206</v>
      </c>
      <c r="P836" s="7">
        <v>1372</v>
      </c>
      <c r="Q836" s="7">
        <v>634</v>
      </c>
      <c r="R836" s="7">
        <v>342</v>
      </c>
      <c r="S836" s="7">
        <v>92</v>
      </c>
      <c r="T836" s="8">
        <v>5.6</v>
      </c>
      <c r="U836" s="8">
        <v>1</v>
      </c>
      <c r="V836" s="17">
        <v>1</v>
      </c>
      <c r="AD836" s="1"/>
      <c r="AE836" s="3"/>
      <c r="AF836" s="3"/>
      <c r="AG836" s="3"/>
      <c r="AH836" s="3"/>
      <c r="AI836" s="3"/>
      <c r="AJ836" s="1"/>
      <c r="AK836" s="1"/>
    </row>
    <row r="837" spans="1:37" x14ac:dyDescent="0.3">
      <c r="A837" s="14">
        <v>87</v>
      </c>
      <c r="B837" s="14">
        <v>2</v>
      </c>
      <c r="C837" s="9" t="s">
        <v>0</v>
      </c>
      <c r="D837" s="9" t="s">
        <v>180</v>
      </c>
      <c r="E837" s="9" t="s">
        <v>329</v>
      </c>
      <c r="F837" s="9" t="s">
        <v>330</v>
      </c>
      <c r="G837" s="9">
        <v>1</v>
      </c>
      <c r="H837" s="9"/>
      <c r="I837" s="9" t="s">
        <v>5</v>
      </c>
      <c r="J837" s="9">
        <v>1</v>
      </c>
      <c r="K837" s="9" t="b">
        <v>0</v>
      </c>
      <c r="L837" s="9" t="s">
        <v>332</v>
      </c>
      <c r="M837" s="9" t="b">
        <v>0</v>
      </c>
      <c r="N837" s="9" t="s">
        <v>331</v>
      </c>
      <c r="O837" s="9" t="s">
        <v>3263</v>
      </c>
      <c r="P837" s="7">
        <v>1375</v>
      </c>
      <c r="Q837" s="7">
        <v>744</v>
      </c>
      <c r="R837" s="7">
        <v>422</v>
      </c>
      <c r="S837" s="7">
        <v>99</v>
      </c>
      <c r="T837" s="8">
        <v>5.4</v>
      </c>
      <c r="U837" s="8">
        <v>1</v>
      </c>
      <c r="V837" s="17">
        <v>1</v>
      </c>
      <c r="AD837" s="1"/>
      <c r="AE837" s="3"/>
      <c r="AF837" s="2"/>
      <c r="AG837" s="3"/>
      <c r="AH837" s="3"/>
      <c r="AI837" s="3"/>
      <c r="AJ837" s="1"/>
      <c r="AK837" s="1"/>
    </row>
    <row r="838" spans="1:37" x14ac:dyDescent="0.3">
      <c r="A838" s="14">
        <v>103</v>
      </c>
      <c r="B838" s="14">
        <v>2</v>
      </c>
      <c r="C838" s="9" t="s">
        <v>0</v>
      </c>
      <c r="D838" s="9" t="s">
        <v>180</v>
      </c>
      <c r="E838" s="9" t="s">
        <v>388</v>
      </c>
      <c r="F838" s="9" t="s">
        <v>389</v>
      </c>
      <c r="G838" s="9">
        <v>1</v>
      </c>
      <c r="H838" s="9"/>
      <c r="I838" s="9"/>
      <c r="J838" s="9"/>
      <c r="K838" s="9" t="b">
        <v>0</v>
      </c>
      <c r="L838" s="9" t="s">
        <v>391</v>
      </c>
      <c r="M838" s="9" t="b">
        <v>0</v>
      </c>
      <c r="N838" s="9" t="s">
        <v>390</v>
      </c>
      <c r="O838" s="9" t="s">
        <v>3279</v>
      </c>
      <c r="P838" s="7">
        <v>1397</v>
      </c>
      <c r="Q838" s="7">
        <v>641</v>
      </c>
      <c r="R838" s="7">
        <v>426</v>
      </c>
      <c r="S838" s="7">
        <v>102</v>
      </c>
      <c r="T838" s="8">
        <v>5.7</v>
      </c>
      <c r="U838" s="8">
        <v>1</v>
      </c>
      <c r="V838" s="17">
        <v>1</v>
      </c>
      <c r="AD838" s="1"/>
      <c r="AE838" s="3"/>
      <c r="AF838" s="2"/>
      <c r="AG838" s="3"/>
      <c r="AH838" s="3"/>
      <c r="AI838" s="3"/>
      <c r="AJ838" s="1"/>
      <c r="AK838" s="1"/>
    </row>
    <row r="839" spans="1:37" x14ac:dyDescent="0.3">
      <c r="A839" s="14">
        <v>477</v>
      </c>
      <c r="B839" s="14">
        <v>2</v>
      </c>
      <c r="C839" s="9" t="s">
        <v>0</v>
      </c>
      <c r="D839" s="9" t="s">
        <v>1457</v>
      </c>
      <c r="E839" s="9" t="s">
        <v>1649</v>
      </c>
      <c r="F839" s="9" t="s">
        <v>1650</v>
      </c>
      <c r="G839" s="9">
        <v>1</v>
      </c>
      <c r="H839" s="9"/>
      <c r="I839" s="9"/>
      <c r="J839" s="9"/>
      <c r="K839" s="9" t="b">
        <v>1</v>
      </c>
      <c r="L839" s="9" t="s">
        <v>296</v>
      </c>
      <c r="M839" s="9" t="b">
        <v>0</v>
      </c>
      <c r="N839" s="9" t="s">
        <v>1651</v>
      </c>
      <c r="O839" s="9" t="s">
        <v>3652</v>
      </c>
      <c r="P839" s="7">
        <v>1345</v>
      </c>
      <c r="Q839" s="7">
        <v>617</v>
      </c>
      <c r="R839" s="7">
        <v>335</v>
      </c>
      <c r="S839" s="7">
        <v>92</v>
      </c>
      <c r="T839" s="8">
        <v>6.1</v>
      </c>
      <c r="U839" s="8">
        <v>1</v>
      </c>
      <c r="V839" s="17">
        <v>1</v>
      </c>
      <c r="AD839" s="1"/>
      <c r="AE839" s="3"/>
      <c r="AF839" s="3"/>
      <c r="AG839" s="3"/>
      <c r="AH839" s="3"/>
      <c r="AI839" s="3"/>
      <c r="AJ839" s="1"/>
      <c r="AK839" s="1"/>
    </row>
    <row r="840" spans="1:37" x14ac:dyDescent="0.3">
      <c r="A840" s="14">
        <v>550</v>
      </c>
      <c r="B840" s="14">
        <v>2</v>
      </c>
      <c r="C840" s="9" t="s">
        <v>1659</v>
      </c>
      <c r="D840" s="9" t="s">
        <v>180</v>
      </c>
      <c r="E840" s="9" t="s">
        <v>1869</v>
      </c>
      <c r="F840" s="9" t="s">
        <v>1870</v>
      </c>
      <c r="G840" s="9">
        <v>4</v>
      </c>
      <c r="H840" s="9"/>
      <c r="I840" s="9"/>
      <c r="J840" s="9"/>
      <c r="K840" s="9" t="b">
        <v>0</v>
      </c>
      <c r="L840" s="9" t="s">
        <v>234</v>
      </c>
      <c r="M840" s="9" t="b">
        <v>0</v>
      </c>
      <c r="N840" s="9" t="s">
        <v>1871</v>
      </c>
      <c r="O840" s="9" t="s">
        <v>3725</v>
      </c>
      <c r="P840" s="7">
        <v>1317</v>
      </c>
      <c r="Q840" s="7">
        <v>715</v>
      </c>
      <c r="R840" s="7">
        <v>359</v>
      </c>
      <c r="S840" s="7">
        <v>81</v>
      </c>
      <c r="T840" s="8">
        <v>5.6</v>
      </c>
      <c r="U840" s="8">
        <v>0.9</v>
      </c>
      <c r="V840" s="17">
        <v>0.9</v>
      </c>
      <c r="AD840" s="1"/>
      <c r="AE840" s="3"/>
      <c r="AF840" s="2"/>
      <c r="AG840" s="3"/>
      <c r="AH840" s="3"/>
      <c r="AI840" s="3"/>
      <c r="AJ840" s="1"/>
      <c r="AK840" s="1"/>
    </row>
    <row r="841" spans="1:37" x14ac:dyDescent="0.3">
      <c r="A841" s="14">
        <v>918</v>
      </c>
      <c r="B841" s="14">
        <v>2</v>
      </c>
      <c r="C841" s="9" t="s">
        <v>1659</v>
      </c>
      <c r="D841" s="9" t="s">
        <v>1457</v>
      </c>
      <c r="E841" s="9" t="s">
        <v>2997</v>
      </c>
      <c r="F841" s="9" t="s">
        <v>2998</v>
      </c>
      <c r="G841" s="9">
        <v>1</v>
      </c>
      <c r="H841" s="9"/>
      <c r="I841" s="9"/>
      <c r="J841" s="9"/>
      <c r="K841" s="9" t="b">
        <v>0</v>
      </c>
      <c r="L841" s="9" t="s">
        <v>3000</v>
      </c>
      <c r="M841" s="9" t="b">
        <v>0</v>
      </c>
      <c r="N841" s="9" t="s">
        <v>2999</v>
      </c>
      <c r="O841" s="9" t="s">
        <v>4090</v>
      </c>
      <c r="P841" s="7">
        <v>1349</v>
      </c>
      <c r="Q841" s="7">
        <v>719</v>
      </c>
      <c r="R841" s="7">
        <v>299</v>
      </c>
      <c r="S841" s="7">
        <v>82</v>
      </c>
      <c r="T841" s="8">
        <v>5.8</v>
      </c>
      <c r="U841" s="8">
        <v>0.9</v>
      </c>
      <c r="V841" s="17">
        <v>0.9</v>
      </c>
      <c r="AD841" s="1"/>
      <c r="AE841" s="3"/>
      <c r="AF841" s="3"/>
      <c r="AG841" s="3"/>
      <c r="AH841" s="3"/>
      <c r="AI841" s="3"/>
      <c r="AJ841" s="1"/>
      <c r="AK841" s="1"/>
    </row>
    <row r="842" spans="1:37" x14ac:dyDescent="0.3">
      <c r="A842" s="14">
        <v>494</v>
      </c>
      <c r="B842" s="14">
        <v>1</v>
      </c>
      <c r="C842" s="9" t="s">
        <v>1659</v>
      </c>
      <c r="D842" s="9" t="s">
        <v>1</v>
      </c>
      <c r="E842" s="9" t="s">
        <v>1702</v>
      </c>
      <c r="F842" s="9" t="s">
        <v>1703</v>
      </c>
      <c r="G842" s="9">
        <v>1</v>
      </c>
      <c r="H842" s="9"/>
      <c r="I842" s="9"/>
      <c r="J842" s="9"/>
      <c r="K842" s="9" t="b">
        <v>0</v>
      </c>
      <c r="L842" s="9" t="s">
        <v>7</v>
      </c>
      <c r="M842" s="9" t="b">
        <v>0</v>
      </c>
      <c r="N842" s="9" t="s">
        <v>1704</v>
      </c>
      <c r="O842" s="9" t="s">
        <v>3669</v>
      </c>
      <c r="P842" s="7">
        <v>1272</v>
      </c>
      <c r="Q842" s="7">
        <v>670</v>
      </c>
      <c r="R842" s="7">
        <v>348</v>
      </c>
      <c r="S842" s="7">
        <v>77</v>
      </c>
      <c r="T842" s="8">
        <v>5.4</v>
      </c>
      <c r="U842" s="8">
        <v>0.9</v>
      </c>
      <c r="V842" s="17">
        <v>0.9</v>
      </c>
      <c r="AD842" s="1"/>
      <c r="AE842" s="3"/>
      <c r="AF842" s="2"/>
      <c r="AG842" s="2"/>
      <c r="AH842" s="2"/>
      <c r="AI842" s="3"/>
      <c r="AJ842" s="1"/>
      <c r="AK842" s="1"/>
    </row>
    <row r="843" spans="1:37" x14ac:dyDescent="0.3">
      <c r="A843" s="14">
        <v>498</v>
      </c>
      <c r="B843" s="14">
        <v>1</v>
      </c>
      <c r="C843" s="9" t="s">
        <v>1659</v>
      </c>
      <c r="D843" s="9" t="s">
        <v>1</v>
      </c>
      <c r="E843" s="9" t="s">
        <v>1714</v>
      </c>
      <c r="F843" s="9" t="s">
        <v>1715</v>
      </c>
      <c r="G843" s="9">
        <v>4</v>
      </c>
      <c r="H843" s="9"/>
      <c r="I843" s="9"/>
      <c r="J843" s="9"/>
      <c r="K843" s="9" t="b">
        <v>0</v>
      </c>
      <c r="L843" s="9" t="s">
        <v>7</v>
      </c>
      <c r="M843" s="9" t="b">
        <v>0</v>
      </c>
      <c r="N843" s="9" t="s">
        <v>1716</v>
      </c>
      <c r="O843" s="9" t="s">
        <v>3673</v>
      </c>
      <c r="P843" s="7">
        <v>1325</v>
      </c>
      <c r="Q843" s="7">
        <v>512</v>
      </c>
      <c r="R843" s="7">
        <v>261</v>
      </c>
      <c r="S843" s="7">
        <v>83</v>
      </c>
      <c r="T843" s="8">
        <v>6.1</v>
      </c>
      <c r="U843" s="8">
        <v>0.9</v>
      </c>
      <c r="V843" s="17">
        <v>0.9</v>
      </c>
      <c r="AD843" s="1"/>
      <c r="AE843" s="3"/>
      <c r="AF843" s="3"/>
      <c r="AG843" s="3"/>
      <c r="AH843" s="3"/>
      <c r="AI843" s="3"/>
      <c r="AJ843" s="1"/>
      <c r="AK843" s="1"/>
    </row>
    <row r="844" spans="1:37" x14ac:dyDescent="0.3">
      <c r="A844" s="14">
        <v>802</v>
      </c>
      <c r="B844" s="14">
        <v>1</v>
      </c>
      <c r="C844" s="9" t="s">
        <v>1659</v>
      </c>
      <c r="D844" s="9" t="s">
        <v>1077</v>
      </c>
      <c r="E844" s="9" t="s">
        <v>2650</v>
      </c>
      <c r="F844" s="9" t="s">
        <v>2651</v>
      </c>
      <c r="G844" s="9">
        <v>1</v>
      </c>
      <c r="H844" s="9"/>
      <c r="I844" s="9"/>
      <c r="J844" s="9"/>
      <c r="K844" s="9" t="b">
        <v>0</v>
      </c>
      <c r="L844" s="9" t="s">
        <v>7</v>
      </c>
      <c r="M844" s="9" t="b">
        <v>0</v>
      </c>
      <c r="N844" s="9" t="s">
        <v>2652</v>
      </c>
      <c r="O844" s="9" t="s">
        <v>3977</v>
      </c>
      <c r="P844" s="7">
        <v>1039</v>
      </c>
      <c r="Q844" s="7">
        <v>520</v>
      </c>
      <c r="R844" s="7">
        <v>225</v>
      </c>
      <c r="S844" s="7">
        <v>62</v>
      </c>
      <c r="T844" s="8">
        <v>5.7</v>
      </c>
      <c r="U844" s="8">
        <v>0.9</v>
      </c>
      <c r="V844" s="17">
        <v>0.9</v>
      </c>
      <c r="AD844" s="1"/>
      <c r="AE844" s="3"/>
      <c r="AF844" s="2"/>
      <c r="AG844" s="3"/>
      <c r="AH844" s="3"/>
      <c r="AI844" s="3"/>
      <c r="AJ844" s="1"/>
      <c r="AK844" s="1"/>
    </row>
    <row r="845" spans="1:37" x14ac:dyDescent="0.3">
      <c r="A845" s="14">
        <v>805</v>
      </c>
      <c r="B845" s="14">
        <v>1</v>
      </c>
      <c r="C845" s="9" t="s">
        <v>1659</v>
      </c>
      <c r="D845" s="9" t="s">
        <v>1077</v>
      </c>
      <c r="E845" s="9" t="s">
        <v>2659</v>
      </c>
      <c r="F845" s="9" t="s">
        <v>2660</v>
      </c>
      <c r="G845" s="9">
        <v>1</v>
      </c>
      <c r="H845" s="9"/>
      <c r="I845" s="9"/>
      <c r="J845" s="9"/>
      <c r="K845" s="9" t="b">
        <v>0</v>
      </c>
      <c r="L845" s="9" t="s">
        <v>7</v>
      </c>
      <c r="M845" s="9" t="b">
        <v>0</v>
      </c>
      <c r="N845" s="9" t="s">
        <v>2661</v>
      </c>
      <c r="O845" s="9" t="s">
        <v>3980</v>
      </c>
      <c r="P845" s="7">
        <v>1260</v>
      </c>
      <c r="Q845" s="7">
        <v>569</v>
      </c>
      <c r="R845" s="7">
        <v>238</v>
      </c>
      <c r="S845" s="7">
        <v>82</v>
      </c>
      <c r="T845" s="8">
        <v>6</v>
      </c>
      <c r="U845" s="8">
        <v>0.9</v>
      </c>
      <c r="V845" s="17">
        <v>0.9</v>
      </c>
      <c r="AD845" s="1"/>
      <c r="AE845" s="3"/>
      <c r="AF845" s="2"/>
      <c r="AG845" s="3"/>
      <c r="AH845" s="3"/>
      <c r="AI845" s="3"/>
      <c r="AJ845" s="1"/>
      <c r="AK845" s="1"/>
    </row>
    <row r="846" spans="1:37" x14ac:dyDescent="0.3">
      <c r="A846" s="14">
        <v>844</v>
      </c>
      <c r="B846" s="14">
        <v>1</v>
      </c>
      <c r="C846" s="9" t="s">
        <v>1659</v>
      </c>
      <c r="D846" s="9" t="s">
        <v>1208</v>
      </c>
      <c r="E846" s="9" t="s">
        <v>2776</v>
      </c>
      <c r="F846" s="9" t="s">
        <v>2777</v>
      </c>
      <c r="G846" s="9">
        <v>1</v>
      </c>
      <c r="H846" s="9"/>
      <c r="I846" s="9"/>
      <c r="J846" s="9"/>
      <c r="K846" s="9" t="b">
        <v>0</v>
      </c>
      <c r="L846" s="9" t="s">
        <v>7</v>
      </c>
      <c r="M846" s="9" t="b">
        <v>0</v>
      </c>
      <c r="N846" s="9" t="s">
        <v>2778</v>
      </c>
      <c r="O846" s="9" t="s">
        <v>4019</v>
      </c>
      <c r="P846" s="7">
        <v>1327</v>
      </c>
      <c r="Q846" s="7">
        <v>558</v>
      </c>
      <c r="R846" s="7">
        <v>247</v>
      </c>
      <c r="S846" s="7">
        <v>84</v>
      </c>
      <c r="T846" s="8">
        <v>5.8</v>
      </c>
      <c r="U846" s="8">
        <v>0.9</v>
      </c>
      <c r="V846" s="17">
        <v>0.9</v>
      </c>
      <c r="AD846" s="1"/>
      <c r="AE846" s="3"/>
      <c r="AF846" s="2"/>
      <c r="AG846" s="2"/>
      <c r="AH846" s="2"/>
      <c r="AI846" s="3"/>
      <c r="AJ846" s="1"/>
      <c r="AK846" s="1"/>
    </row>
    <row r="847" spans="1:37" x14ac:dyDescent="0.3">
      <c r="A847" s="14">
        <v>669</v>
      </c>
      <c r="B847" s="14">
        <v>3</v>
      </c>
      <c r="C847" s="9" t="s">
        <v>1659</v>
      </c>
      <c r="D847" s="9" t="s">
        <v>411</v>
      </c>
      <c r="E847" s="9" t="s">
        <v>2243</v>
      </c>
      <c r="F847" s="9" t="s">
        <v>2244</v>
      </c>
      <c r="G847" s="9">
        <v>3</v>
      </c>
      <c r="H847" s="9"/>
      <c r="I847" s="9"/>
      <c r="J847" s="9"/>
      <c r="K847" s="9" t="b">
        <v>0</v>
      </c>
      <c r="L847" s="9" t="s">
        <v>425</v>
      </c>
      <c r="M847" s="9" t="b">
        <v>0</v>
      </c>
      <c r="N847" s="9" t="s">
        <v>2245</v>
      </c>
      <c r="O847" s="9" t="s">
        <v>3844</v>
      </c>
      <c r="P847" s="7">
        <v>1172</v>
      </c>
      <c r="Q847" s="7">
        <v>762</v>
      </c>
      <c r="R847" s="7">
        <v>352</v>
      </c>
      <c r="S847" s="7">
        <v>73</v>
      </c>
      <c r="T847" s="8">
        <v>5.5</v>
      </c>
      <c r="U847" s="8">
        <v>0.9</v>
      </c>
      <c r="V847" s="17">
        <v>0.9</v>
      </c>
      <c r="AD847" s="1"/>
      <c r="AE847" s="3"/>
      <c r="AF847" s="2"/>
      <c r="AG847" s="2"/>
      <c r="AH847" s="2"/>
      <c r="AI847" s="3"/>
      <c r="AJ847" s="1"/>
      <c r="AK847" s="1"/>
    </row>
    <row r="848" spans="1:37" x14ac:dyDescent="0.3">
      <c r="A848" s="14">
        <v>580</v>
      </c>
      <c r="B848" s="14">
        <v>2</v>
      </c>
      <c r="C848" s="9" t="s">
        <v>1659</v>
      </c>
      <c r="D848" s="9" t="s">
        <v>180</v>
      </c>
      <c r="E848" s="9" t="s">
        <v>1963</v>
      </c>
      <c r="F848" s="9" t="s">
        <v>1964</v>
      </c>
      <c r="G848" s="9">
        <v>4</v>
      </c>
      <c r="H848" s="9"/>
      <c r="I848" s="9"/>
      <c r="J848" s="9"/>
      <c r="K848" s="9" t="b">
        <v>0</v>
      </c>
      <c r="L848" s="9" t="s">
        <v>1966</v>
      </c>
      <c r="M848" s="9" t="b">
        <v>0</v>
      </c>
      <c r="N848" s="9" t="s">
        <v>1965</v>
      </c>
      <c r="O848" s="9" t="s">
        <v>3755</v>
      </c>
      <c r="P848" s="7">
        <v>1184</v>
      </c>
      <c r="Q848" s="7">
        <v>404</v>
      </c>
      <c r="R848" s="7">
        <v>197</v>
      </c>
      <c r="S848" s="7">
        <v>71</v>
      </c>
      <c r="T848" s="8">
        <v>5.8</v>
      </c>
      <c r="U848" s="8">
        <v>0.9</v>
      </c>
      <c r="V848" s="17">
        <v>0.9</v>
      </c>
      <c r="AD848" s="1"/>
      <c r="AE848" s="3"/>
      <c r="AF848" s="2"/>
      <c r="AG848" s="3"/>
      <c r="AH848" s="3"/>
      <c r="AI848" s="3"/>
      <c r="AJ848" s="1"/>
      <c r="AK848" s="1"/>
    </row>
    <row r="849" spans="1:37" x14ac:dyDescent="0.3">
      <c r="A849" s="14">
        <v>590</v>
      </c>
      <c r="B849" s="14">
        <v>2</v>
      </c>
      <c r="C849" s="9" t="s">
        <v>1659</v>
      </c>
      <c r="D849" s="9" t="s">
        <v>180</v>
      </c>
      <c r="E849" s="9" t="s">
        <v>1995</v>
      </c>
      <c r="F849" s="9" t="s">
        <v>1996</v>
      </c>
      <c r="G849" s="9">
        <v>3</v>
      </c>
      <c r="H849" s="9"/>
      <c r="I849" s="9"/>
      <c r="J849" s="9"/>
      <c r="K849" s="9" t="b">
        <v>0</v>
      </c>
      <c r="L849" s="9" t="s">
        <v>1603</v>
      </c>
      <c r="M849" s="9" t="b">
        <v>0</v>
      </c>
      <c r="N849" s="9" t="s">
        <v>1997</v>
      </c>
      <c r="O849" s="9" t="s">
        <v>3765</v>
      </c>
      <c r="P849" s="7">
        <v>1188</v>
      </c>
      <c r="Q849" s="7">
        <v>565</v>
      </c>
      <c r="R849" s="7">
        <v>243</v>
      </c>
      <c r="S849" s="7">
        <v>72</v>
      </c>
      <c r="T849" s="8">
        <v>6</v>
      </c>
      <c r="U849" s="8">
        <v>0.9</v>
      </c>
      <c r="V849" s="17">
        <v>0.9</v>
      </c>
      <c r="AD849" s="1"/>
      <c r="AE849" s="3"/>
      <c r="AF849" s="2"/>
      <c r="AG849" s="2"/>
      <c r="AH849" s="3"/>
      <c r="AI849" s="3"/>
      <c r="AJ849" s="1"/>
      <c r="AK849" s="1"/>
    </row>
    <row r="850" spans="1:37" x14ac:dyDescent="0.3">
      <c r="A850" s="14">
        <v>868</v>
      </c>
      <c r="B850" s="14">
        <v>1</v>
      </c>
      <c r="C850" s="9" t="s">
        <v>1659</v>
      </c>
      <c r="D850" s="9" t="s">
        <v>1208</v>
      </c>
      <c r="E850" s="9" t="s">
        <v>2848</v>
      </c>
      <c r="F850" s="9" t="s">
        <v>2849</v>
      </c>
      <c r="G850" s="9">
        <v>1</v>
      </c>
      <c r="H850" s="9"/>
      <c r="I850" s="9"/>
      <c r="J850" s="9"/>
      <c r="K850" s="9" t="b">
        <v>0</v>
      </c>
      <c r="L850" s="9" t="s">
        <v>7</v>
      </c>
      <c r="M850" s="9" t="b">
        <v>0</v>
      </c>
      <c r="N850" s="9" t="s">
        <v>2850</v>
      </c>
      <c r="O850" s="9" t="s">
        <v>4043</v>
      </c>
      <c r="P850" s="7">
        <v>1341</v>
      </c>
      <c r="Q850" s="7">
        <v>765</v>
      </c>
      <c r="R850" s="7">
        <v>352</v>
      </c>
      <c r="S850" s="7">
        <v>86</v>
      </c>
      <c r="T850" s="8">
        <v>5.7</v>
      </c>
      <c r="U850" s="8">
        <v>0.9</v>
      </c>
      <c r="V850" s="17">
        <v>0.9</v>
      </c>
      <c r="AD850" s="1"/>
      <c r="AE850" s="3"/>
      <c r="AF850" s="3"/>
      <c r="AG850" s="3"/>
      <c r="AH850" s="3"/>
      <c r="AI850" s="3"/>
      <c r="AJ850" s="1"/>
      <c r="AK850" s="1"/>
    </row>
    <row r="851" spans="1:37" x14ac:dyDescent="0.3">
      <c r="A851" s="14">
        <v>430</v>
      </c>
      <c r="B851" s="14">
        <v>2</v>
      </c>
      <c r="C851" s="9" t="s">
        <v>0</v>
      </c>
      <c r="D851" s="9" t="s">
        <v>1457</v>
      </c>
      <c r="E851" s="9" t="s">
        <v>1493</v>
      </c>
      <c r="F851" s="9" t="s">
        <v>1494</v>
      </c>
      <c r="G851" s="9">
        <v>1</v>
      </c>
      <c r="H851" s="9"/>
      <c r="I851" s="9" t="s">
        <v>123</v>
      </c>
      <c r="J851" s="9">
        <v>1</v>
      </c>
      <c r="K851" s="9" t="b">
        <v>0</v>
      </c>
      <c r="L851" s="9" t="s">
        <v>1496</v>
      </c>
      <c r="M851" s="9" t="b">
        <v>0</v>
      </c>
      <c r="N851" s="9" t="s">
        <v>1495</v>
      </c>
      <c r="O851" s="9" t="s">
        <v>3605</v>
      </c>
      <c r="P851" s="7">
        <v>1287</v>
      </c>
      <c r="Q851" s="7">
        <v>632</v>
      </c>
      <c r="R851" s="7">
        <v>334</v>
      </c>
      <c r="S851" s="7">
        <v>80</v>
      </c>
      <c r="T851" s="8">
        <v>5.8</v>
      </c>
      <c r="U851" s="8">
        <v>0.9</v>
      </c>
      <c r="V851" s="17">
        <v>0.9</v>
      </c>
      <c r="AD851" s="1"/>
      <c r="AE851" s="3"/>
      <c r="AF851" s="2"/>
      <c r="AG851" s="2"/>
      <c r="AH851" s="3"/>
      <c r="AI851" s="3"/>
      <c r="AJ851" s="1"/>
      <c r="AK851" s="1"/>
    </row>
    <row r="852" spans="1:37" x14ac:dyDescent="0.3">
      <c r="A852" s="14">
        <v>59</v>
      </c>
      <c r="B852" s="14">
        <v>2</v>
      </c>
      <c r="C852" s="9" t="s">
        <v>0</v>
      </c>
      <c r="D852" s="9" t="s">
        <v>180</v>
      </c>
      <c r="E852" s="9" t="s">
        <v>216</v>
      </c>
      <c r="F852" s="9" t="s">
        <v>217</v>
      </c>
      <c r="G852" s="9">
        <v>1</v>
      </c>
      <c r="H852" s="9"/>
      <c r="I852" s="9" t="s">
        <v>218</v>
      </c>
      <c r="J852" s="9">
        <v>1</v>
      </c>
      <c r="K852" s="9" t="b">
        <v>0</v>
      </c>
      <c r="L852" s="9" t="s">
        <v>194</v>
      </c>
      <c r="M852" s="9" t="b">
        <v>0</v>
      </c>
      <c r="N852" s="9" t="s">
        <v>219</v>
      </c>
      <c r="O852" s="9" t="s">
        <v>3235</v>
      </c>
      <c r="P852" s="7">
        <v>1347</v>
      </c>
      <c r="Q852" s="7">
        <v>679</v>
      </c>
      <c r="R852" s="7">
        <v>311</v>
      </c>
      <c r="S852" s="7">
        <v>84</v>
      </c>
      <c r="T852" s="8">
        <v>5.7</v>
      </c>
      <c r="U852" s="8">
        <v>0.9</v>
      </c>
      <c r="V852" s="17">
        <v>0.9</v>
      </c>
      <c r="W852" s="25"/>
      <c r="AD852" s="1"/>
      <c r="AE852" s="3"/>
      <c r="AF852" s="2"/>
      <c r="AG852" s="3"/>
      <c r="AH852" s="3"/>
      <c r="AI852" s="3"/>
      <c r="AJ852" s="1"/>
      <c r="AK852" s="1"/>
    </row>
    <row r="853" spans="1:37" x14ac:dyDescent="0.3">
      <c r="A853" s="14">
        <v>390</v>
      </c>
      <c r="B853" s="14">
        <v>4</v>
      </c>
      <c r="C853" s="9" t="s">
        <v>0</v>
      </c>
      <c r="D853" s="9" t="s">
        <v>1338</v>
      </c>
      <c r="E853" s="9" t="s">
        <v>1363</v>
      </c>
      <c r="F853" s="9" t="s">
        <v>1364</v>
      </c>
      <c r="G853" s="9">
        <v>1</v>
      </c>
      <c r="H853" s="9"/>
      <c r="I853" s="9" t="s">
        <v>22</v>
      </c>
      <c r="J853" s="9"/>
      <c r="K853" s="9" t="b">
        <v>0</v>
      </c>
      <c r="L853" s="9" t="s">
        <v>437</v>
      </c>
      <c r="M853" s="9" t="b">
        <v>0</v>
      </c>
      <c r="N853" s="9" t="s">
        <v>1365</v>
      </c>
      <c r="O853" s="9" t="s">
        <v>3566</v>
      </c>
      <c r="P853" s="7">
        <v>515</v>
      </c>
      <c r="Q853" s="7">
        <v>265</v>
      </c>
      <c r="R853" s="7">
        <v>172</v>
      </c>
      <c r="S853" s="7">
        <v>31</v>
      </c>
      <c r="T853" s="8">
        <v>5.3</v>
      </c>
      <c r="U853" s="8">
        <v>0.9</v>
      </c>
      <c r="V853" s="17">
        <v>0.9</v>
      </c>
      <c r="AD853" s="1"/>
      <c r="AE853" s="3"/>
      <c r="AF853" s="2"/>
      <c r="AG853" s="3"/>
      <c r="AH853" s="3"/>
      <c r="AI853" s="3"/>
      <c r="AJ853" s="1"/>
      <c r="AK853" s="1"/>
    </row>
    <row r="854" spans="1:37" x14ac:dyDescent="0.3">
      <c r="A854" s="14">
        <v>176</v>
      </c>
      <c r="B854" s="14">
        <v>3</v>
      </c>
      <c r="C854" s="9" t="s">
        <v>0</v>
      </c>
      <c r="D854" s="9" t="s">
        <v>411</v>
      </c>
      <c r="E854" s="9" t="s">
        <v>660</v>
      </c>
      <c r="F854" s="9" t="s">
        <v>661</v>
      </c>
      <c r="G854" s="9">
        <v>1</v>
      </c>
      <c r="H854" s="9" t="s">
        <v>10</v>
      </c>
      <c r="I854" s="9" t="s">
        <v>51</v>
      </c>
      <c r="J854" s="9"/>
      <c r="K854" s="9" t="b">
        <v>0</v>
      </c>
      <c r="L854" s="9" t="s">
        <v>526</v>
      </c>
      <c r="M854" s="9" t="b">
        <v>0</v>
      </c>
      <c r="N854" s="9" t="s">
        <v>662</v>
      </c>
      <c r="O854" s="9" t="s">
        <v>3352</v>
      </c>
      <c r="P854" s="7">
        <v>873</v>
      </c>
      <c r="Q854" s="7">
        <v>378</v>
      </c>
      <c r="R854" s="7">
        <v>262</v>
      </c>
      <c r="S854" s="7">
        <v>57</v>
      </c>
      <c r="T854" s="8">
        <v>5.2</v>
      </c>
      <c r="U854" s="8">
        <v>0.9</v>
      </c>
      <c r="V854" s="17">
        <v>0.9</v>
      </c>
      <c r="AD854" s="1"/>
      <c r="AE854" s="3"/>
      <c r="AF854" s="3"/>
      <c r="AG854" s="3"/>
      <c r="AH854" s="3"/>
      <c r="AI854" s="3"/>
      <c r="AJ854" s="1"/>
      <c r="AK854" s="1"/>
    </row>
    <row r="855" spans="1:37" x14ac:dyDescent="0.3">
      <c r="A855" s="14">
        <v>445</v>
      </c>
      <c r="B855" s="14">
        <v>2</v>
      </c>
      <c r="C855" s="9" t="s">
        <v>0</v>
      </c>
      <c r="D855" s="9" t="s">
        <v>1457</v>
      </c>
      <c r="E855" s="9" t="s">
        <v>1542</v>
      </c>
      <c r="F855" s="10" t="s">
        <v>1543</v>
      </c>
      <c r="G855" s="9">
        <v>1</v>
      </c>
      <c r="H855" s="9" t="s">
        <v>1488</v>
      </c>
      <c r="I855" s="9" t="s">
        <v>51</v>
      </c>
      <c r="J855" s="9"/>
      <c r="K855" s="9" t="b">
        <v>0</v>
      </c>
      <c r="L855" s="9" t="s">
        <v>296</v>
      </c>
      <c r="M855" s="9" t="b">
        <v>1</v>
      </c>
      <c r="N855" s="9" t="s">
        <v>1544</v>
      </c>
      <c r="O855" s="9" t="s">
        <v>3620</v>
      </c>
      <c r="P855" s="7">
        <v>1320</v>
      </c>
      <c r="Q855" s="7">
        <v>559</v>
      </c>
      <c r="R855" s="7">
        <v>356</v>
      </c>
      <c r="S855" s="7">
        <v>84</v>
      </c>
      <c r="T855" s="8">
        <v>5.7</v>
      </c>
      <c r="U855" s="8">
        <v>0.9</v>
      </c>
      <c r="V855" s="17">
        <v>0.9</v>
      </c>
      <c r="AD855" s="1"/>
      <c r="AE855" s="3"/>
      <c r="AF855" s="2"/>
      <c r="AG855" s="2"/>
      <c r="AH855" s="2"/>
      <c r="AI855" s="3"/>
      <c r="AJ855" s="1"/>
      <c r="AK855" s="1"/>
    </row>
    <row r="856" spans="1:37" x14ac:dyDescent="0.3">
      <c r="A856" s="14">
        <v>193</v>
      </c>
      <c r="B856" s="14">
        <v>3</v>
      </c>
      <c r="C856" s="9" t="s">
        <v>0</v>
      </c>
      <c r="D856" s="9" t="s">
        <v>411</v>
      </c>
      <c r="E856" s="9" t="s">
        <v>717</v>
      </c>
      <c r="F856" s="9" t="s">
        <v>718</v>
      </c>
      <c r="G856" s="9">
        <v>1</v>
      </c>
      <c r="H856" s="9"/>
      <c r="I856" s="9" t="s">
        <v>443</v>
      </c>
      <c r="J856" s="9">
        <v>1</v>
      </c>
      <c r="K856" s="9" t="b">
        <v>0</v>
      </c>
      <c r="L856" s="9" t="s">
        <v>448</v>
      </c>
      <c r="M856" s="9" t="b">
        <v>0</v>
      </c>
      <c r="N856" s="9" t="s">
        <v>719</v>
      </c>
      <c r="O856" s="9" t="s">
        <v>3369</v>
      </c>
      <c r="P856" s="7">
        <v>1011</v>
      </c>
      <c r="Q856" s="7">
        <v>372</v>
      </c>
      <c r="R856" s="7">
        <v>202</v>
      </c>
      <c r="S856" s="7">
        <v>64</v>
      </c>
      <c r="T856" s="8">
        <v>5.0999999999999996</v>
      </c>
      <c r="U856" s="8">
        <v>0.9</v>
      </c>
      <c r="V856" s="17">
        <v>0.9</v>
      </c>
      <c r="AD856" s="1"/>
      <c r="AE856" s="3"/>
      <c r="AF856" s="2"/>
      <c r="AG856" s="3"/>
      <c r="AH856" s="3"/>
      <c r="AI856" s="3"/>
      <c r="AJ856" s="1"/>
      <c r="AK856" s="1"/>
    </row>
    <row r="857" spans="1:37" x14ac:dyDescent="0.3">
      <c r="A857" s="14">
        <v>259</v>
      </c>
      <c r="B857" s="14">
        <v>3</v>
      </c>
      <c r="C857" s="9" t="s">
        <v>0</v>
      </c>
      <c r="D857" s="9" t="s">
        <v>411</v>
      </c>
      <c r="E857" s="9" t="s">
        <v>941</v>
      </c>
      <c r="F857" s="9" t="s">
        <v>942</v>
      </c>
      <c r="G857" s="9">
        <v>1</v>
      </c>
      <c r="H857" s="9"/>
      <c r="I857" s="9" t="s">
        <v>22</v>
      </c>
      <c r="J857" s="9"/>
      <c r="K857" s="9" t="b">
        <v>0</v>
      </c>
      <c r="L857" s="9" t="s">
        <v>194</v>
      </c>
      <c r="M857" s="9" t="b">
        <v>0</v>
      </c>
      <c r="N857" s="9" t="s">
        <v>943</v>
      </c>
      <c r="O857" s="9" t="s">
        <v>3435</v>
      </c>
      <c r="P857" s="7">
        <v>1225</v>
      </c>
      <c r="Q857" s="7">
        <v>414</v>
      </c>
      <c r="R857" s="7">
        <v>302</v>
      </c>
      <c r="S857" s="7">
        <v>77</v>
      </c>
      <c r="T857" s="8">
        <v>5.2</v>
      </c>
      <c r="U857" s="8">
        <v>0.9</v>
      </c>
      <c r="V857" s="17">
        <v>0.9</v>
      </c>
      <c r="AD857" s="1"/>
      <c r="AE857" s="3"/>
      <c r="AF857" s="2"/>
      <c r="AG857" s="2"/>
      <c r="AH857" s="2"/>
      <c r="AI857" s="3"/>
      <c r="AJ857" s="1"/>
      <c r="AK857" s="1"/>
    </row>
    <row r="858" spans="1:37" x14ac:dyDescent="0.3">
      <c r="A858" s="14">
        <v>43</v>
      </c>
      <c r="B858" s="14">
        <v>1</v>
      </c>
      <c r="C858" s="9" t="s">
        <v>0</v>
      </c>
      <c r="D858" s="9" t="s">
        <v>1</v>
      </c>
      <c r="E858" s="9" t="s">
        <v>153</v>
      </c>
      <c r="F858" s="9" t="s">
        <v>154</v>
      </c>
      <c r="G858" s="9">
        <v>1</v>
      </c>
      <c r="H858" s="9"/>
      <c r="I858" s="9"/>
      <c r="J858" s="9"/>
      <c r="K858" s="9" t="b">
        <v>0</v>
      </c>
      <c r="L858" s="9" t="s">
        <v>7</v>
      </c>
      <c r="M858" s="9" t="b">
        <v>0</v>
      </c>
      <c r="N858" s="9" t="s">
        <v>155</v>
      </c>
      <c r="O858" s="9" t="s">
        <v>3219</v>
      </c>
      <c r="P858" s="7">
        <v>1229</v>
      </c>
      <c r="Q858" s="7">
        <v>406</v>
      </c>
      <c r="R858" s="7">
        <v>281</v>
      </c>
      <c r="S858" s="7">
        <v>79</v>
      </c>
      <c r="T858" s="8">
        <v>6</v>
      </c>
      <c r="U858" s="8">
        <v>0.9</v>
      </c>
      <c r="V858" s="17">
        <v>0.9</v>
      </c>
      <c r="AD858" s="1"/>
      <c r="AE858" s="3"/>
      <c r="AF858" s="2"/>
      <c r="AG858" s="2"/>
      <c r="AH858" s="3"/>
      <c r="AI858" s="3"/>
      <c r="AJ858" s="1"/>
      <c r="AK858" s="1"/>
    </row>
    <row r="859" spans="1:37" x14ac:dyDescent="0.3">
      <c r="A859" s="14">
        <v>283</v>
      </c>
      <c r="B859" s="14">
        <v>3</v>
      </c>
      <c r="C859" s="9" t="s">
        <v>0</v>
      </c>
      <c r="D859" s="9" t="s">
        <v>411</v>
      </c>
      <c r="E859" s="9" t="s">
        <v>1015</v>
      </c>
      <c r="F859" s="9" t="s">
        <v>1016</v>
      </c>
      <c r="G859" s="9">
        <v>1</v>
      </c>
      <c r="H859" s="9" t="s">
        <v>1017</v>
      </c>
      <c r="I859" s="9" t="s">
        <v>77</v>
      </c>
      <c r="J859" s="9"/>
      <c r="K859" s="9" t="b">
        <v>1</v>
      </c>
      <c r="L859" s="9" t="s">
        <v>194</v>
      </c>
      <c r="M859" s="9" t="b">
        <v>0</v>
      </c>
      <c r="N859" s="9" t="s">
        <v>1018</v>
      </c>
      <c r="O859" s="9" t="s">
        <v>3459</v>
      </c>
      <c r="P859" s="7">
        <v>1188</v>
      </c>
      <c r="Q859" s="7">
        <v>657</v>
      </c>
      <c r="R859" s="7">
        <v>291</v>
      </c>
      <c r="S859" s="7">
        <v>74</v>
      </c>
      <c r="T859" s="8">
        <v>5.8</v>
      </c>
      <c r="U859" s="8">
        <v>0.9</v>
      </c>
      <c r="V859" s="17">
        <v>0.9</v>
      </c>
      <c r="AD859" s="1"/>
      <c r="AE859" s="3"/>
      <c r="AF859" s="3"/>
      <c r="AG859" s="3"/>
      <c r="AH859" s="3"/>
      <c r="AI859" s="3"/>
      <c r="AJ859" s="1"/>
      <c r="AK859" s="1"/>
    </row>
    <row r="860" spans="1:37" x14ac:dyDescent="0.3">
      <c r="A860" s="14">
        <v>105</v>
      </c>
      <c r="B860" s="14">
        <v>2</v>
      </c>
      <c r="C860" s="9" t="s">
        <v>0</v>
      </c>
      <c r="D860" s="9" t="s">
        <v>180</v>
      </c>
      <c r="E860" s="9" t="s">
        <v>395</v>
      </c>
      <c r="F860" s="9" t="s">
        <v>396</v>
      </c>
      <c r="G860" s="9">
        <v>1</v>
      </c>
      <c r="H860" s="9"/>
      <c r="I860" s="9" t="s">
        <v>397</v>
      </c>
      <c r="J860" s="9"/>
      <c r="K860" s="9" t="b">
        <v>0</v>
      </c>
      <c r="L860" s="9" t="s">
        <v>399</v>
      </c>
      <c r="M860" s="9" t="b">
        <v>0</v>
      </c>
      <c r="N860" s="9" t="s">
        <v>398</v>
      </c>
      <c r="O860" s="9" t="s">
        <v>3281</v>
      </c>
      <c r="P860" s="7">
        <v>1311</v>
      </c>
      <c r="Q860" s="7">
        <v>545</v>
      </c>
      <c r="R860" s="7">
        <v>305</v>
      </c>
      <c r="S860" s="7">
        <v>86</v>
      </c>
      <c r="T860" s="8">
        <v>5.8</v>
      </c>
      <c r="U860" s="8">
        <v>0.9</v>
      </c>
      <c r="V860" s="17">
        <v>0.9</v>
      </c>
      <c r="AD860" s="1"/>
      <c r="AE860" s="3"/>
      <c r="AF860" s="2"/>
      <c r="AG860" s="3"/>
      <c r="AH860" s="3"/>
      <c r="AI860" s="3"/>
      <c r="AJ860" s="1"/>
      <c r="AK860" s="1"/>
    </row>
    <row r="861" spans="1:37" x14ac:dyDescent="0.3">
      <c r="A861" s="14">
        <v>644</v>
      </c>
      <c r="B861" s="14">
        <v>3</v>
      </c>
      <c r="C861" s="9" t="s">
        <v>1659</v>
      </c>
      <c r="D861" s="9" t="s">
        <v>411</v>
      </c>
      <c r="E861" s="9" t="s">
        <v>2164</v>
      </c>
      <c r="F861" s="9" t="s">
        <v>2165</v>
      </c>
      <c r="G861" s="9">
        <v>3</v>
      </c>
      <c r="H861" s="9"/>
      <c r="I861" s="9"/>
      <c r="J861" s="9"/>
      <c r="K861" s="9" t="b">
        <v>0</v>
      </c>
      <c r="L861" s="9" t="s">
        <v>777</v>
      </c>
      <c r="M861" s="9" t="b">
        <v>0</v>
      </c>
      <c r="N861" s="9" t="s">
        <v>2166</v>
      </c>
      <c r="O861" s="9" t="s">
        <v>3819</v>
      </c>
      <c r="P861" s="7">
        <v>1178</v>
      </c>
      <c r="Q861" s="7">
        <v>542</v>
      </c>
      <c r="R861" s="7">
        <v>286</v>
      </c>
      <c r="S861" s="7">
        <v>69</v>
      </c>
      <c r="T861" s="8">
        <v>5.6</v>
      </c>
      <c r="U861" s="8">
        <v>0.8</v>
      </c>
      <c r="V861" s="17">
        <v>0.8</v>
      </c>
      <c r="AD861" s="1"/>
      <c r="AE861" s="3"/>
      <c r="AF861" s="2"/>
      <c r="AG861" s="2"/>
      <c r="AH861" s="2"/>
      <c r="AI861" s="3"/>
      <c r="AJ861" s="1"/>
      <c r="AK861" s="1"/>
    </row>
    <row r="862" spans="1:37" x14ac:dyDescent="0.3">
      <c r="A862" s="14">
        <v>843</v>
      </c>
      <c r="B862" s="14">
        <v>1</v>
      </c>
      <c r="C862" s="9" t="s">
        <v>1659</v>
      </c>
      <c r="D862" s="9" t="s">
        <v>1208</v>
      </c>
      <c r="E862" s="9" t="s">
        <v>2773</v>
      </c>
      <c r="F862" s="9" t="s">
        <v>2774</v>
      </c>
      <c r="G862" s="9">
        <v>4</v>
      </c>
      <c r="H862" s="9"/>
      <c r="I862" s="9"/>
      <c r="J862" s="9"/>
      <c r="K862" s="9" t="b">
        <v>0</v>
      </c>
      <c r="L862" s="9" t="s">
        <v>7</v>
      </c>
      <c r="M862" s="9" t="b">
        <v>0</v>
      </c>
      <c r="N862" s="9" t="s">
        <v>2775</v>
      </c>
      <c r="O862" s="9" t="s">
        <v>4018</v>
      </c>
      <c r="P862" s="7">
        <v>1272</v>
      </c>
      <c r="Q862" s="7">
        <v>449</v>
      </c>
      <c r="R862" s="7">
        <v>225</v>
      </c>
      <c r="S862" s="7">
        <v>71</v>
      </c>
      <c r="T862" s="8">
        <v>6</v>
      </c>
      <c r="U862" s="8">
        <v>0.8</v>
      </c>
      <c r="V862" s="17">
        <v>0.8</v>
      </c>
      <c r="AD862" s="1"/>
      <c r="AE862" s="3"/>
      <c r="AF862" s="2"/>
      <c r="AG862" s="2"/>
      <c r="AH862" s="3"/>
      <c r="AI862" s="3"/>
      <c r="AJ862" s="1"/>
      <c r="AK862" s="1"/>
    </row>
    <row r="863" spans="1:37" x14ac:dyDescent="0.3">
      <c r="A863" s="14">
        <v>763</v>
      </c>
      <c r="B863" s="14">
        <v>3</v>
      </c>
      <c r="C863" s="9" t="s">
        <v>1659</v>
      </c>
      <c r="D863" s="9" t="s">
        <v>411</v>
      </c>
      <c r="E863" s="9" t="s">
        <v>2532</v>
      </c>
      <c r="F863" s="9" t="s">
        <v>2533</v>
      </c>
      <c r="G863" s="9">
        <v>3</v>
      </c>
      <c r="H863" s="9"/>
      <c r="I863" s="9"/>
      <c r="J863" s="9"/>
      <c r="K863" s="9" t="b">
        <v>0</v>
      </c>
      <c r="L863" s="9" t="s">
        <v>1603</v>
      </c>
      <c r="M863" s="9" t="b">
        <v>0</v>
      </c>
      <c r="N863" s="9" t="s">
        <v>2534</v>
      </c>
      <c r="O863" s="9" t="s">
        <v>3938</v>
      </c>
      <c r="P863" s="7">
        <v>1130</v>
      </c>
      <c r="Q863" s="7">
        <v>466</v>
      </c>
      <c r="R863" s="7">
        <v>210</v>
      </c>
      <c r="S863" s="7">
        <v>64</v>
      </c>
      <c r="T863" s="8">
        <v>6.1</v>
      </c>
      <c r="U863" s="8">
        <v>0.8</v>
      </c>
      <c r="V863" s="17">
        <v>0.8</v>
      </c>
      <c r="AD863" s="1"/>
      <c r="AE863" s="3"/>
      <c r="AF863" s="2"/>
      <c r="AG863" s="3"/>
      <c r="AH863" s="3"/>
      <c r="AI863" s="3"/>
      <c r="AJ863" s="1"/>
      <c r="AK863" s="1"/>
    </row>
    <row r="864" spans="1:37" x14ac:dyDescent="0.3">
      <c r="A864" s="14">
        <v>540</v>
      </c>
      <c r="B864" s="14">
        <v>1</v>
      </c>
      <c r="C864" s="9" t="s">
        <v>1659</v>
      </c>
      <c r="D864" s="9" t="s">
        <v>1</v>
      </c>
      <c r="E864" s="9" t="s">
        <v>1839</v>
      </c>
      <c r="F864" s="10" t="s">
        <v>1840</v>
      </c>
      <c r="G864" s="9">
        <v>4</v>
      </c>
      <c r="H864" s="9"/>
      <c r="I864" s="9"/>
      <c r="J864" s="9"/>
      <c r="K864" s="9" t="b">
        <v>0</v>
      </c>
      <c r="L864" s="9" t="s">
        <v>7</v>
      </c>
      <c r="M864" s="9" t="b">
        <v>0</v>
      </c>
      <c r="N864" s="9" t="s">
        <v>1841</v>
      </c>
      <c r="O864" s="9" t="s">
        <v>3715</v>
      </c>
      <c r="P864" s="7">
        <v>1255</v>
      </c>
      <c r="Q864" s="7">
        <v>591</v>
      </c>
      <c r="R864" s="7">
        <v>304</v>
      </c>
      <c r="S864" s="7">
        <v>70</v>
      </c>
      <c r="T864" s="8">
        <v>5.4</v>
      </c>
      <c r="U864" s="8">
        <v>0.8</v>
      </c>
      <c r="V864" s="17">
        <v>0.8</v>
      </c>
      <c r="AD864" s="1"/>
      <c r="AE864" s="3"/>
      <c r="AF864" s="2"/>
      <c r="AG864" s="3"/>
      <c r="AH864" s="3"/>
      <c r="AI864" s="3"/>
      <c r="AJ864" s="1"/>
      <c r="AK864" s="1"/>
    </row>
    <row r="865" spans="1:37" x14ac:dyDescent="0.3">
      <c r="A865" s="14">
        <v>824</v>
      </c>
      <c r="B865" s="14">
        <v>1</v>
      </c>
      <c r="C865" s="9" t="s">
        <v>1659</v>
      </c>
      <c r="D865" s="9" t="s">
        <v>1077</v>
      </c>
      <c r="E865" s="9" t="s">
        <v>2716</v>
      </c>
      <c r="F865" s="9" t="s">
        <v>2717</v>
      </c>
      <c r="G865" s="9">
        <v>4</v>
      </c>
      <c r="H865" s="9"/>
      <c r="I865" s="9"/>
      <c r="J865" s="9"/>
      <c r="K865" s="9" t="b">
        <v>0</v>
      </c>
      <c r="L865" s="9" t="s">
        <v>7</v>
      </c>
      <c r="M865" s="9" t="b">
        <v>0</v>
      </c>
      <c r="N865" s="9" t="s">
        <v>2718</v>
      </c>
      <c r="O865" s="9" t="s">
        <v>3999</v>
      </c>
      <c r="P865" s="7">
        <v>1335</v>
      </c>
      <c r="Q865" s="7">
        <v>723</v>
      </c>
      <c r="R865" s="7">
        <v>355</v>
      </c>
      <c r="S865" s="7">
        <v>79</v>
      </c>
      <c r="T865" s="8">
        <v>5.4</v>
      </c>
      <c r="U865" s="8">
        <v>0.8</v>
      </c>
      <c r="V865" s="17">
        <v>0.8</v>
      </c>
      <c r="AD865" s="1"/>
      <c r="AE865" s="3"/>
      <c r="AF865" s="2"/>
      <c r="AG865" s="2"/>
      <c r="AH865" s="3"/>
      <c r="AI865" s="3"/>
      <c r="AJ865" s="1"/>
      <c r="AK865" s="1"/>
    </row>
    <row r="866" spans="1:37" x14ac:dyDescent="0.3">
      <c r="A866" s="14">
        <v>769</v>
      </c>
      <c r="B866" s="14">
        <v>3</v>
      </c>
      <c r="C866" s="9" t="s">
        <v>1659</v>
      </c>
      <c r="D866" s="9" t="s">
        <v>411</v>
      </c>
      <c r="E866" s="9" t="s">
        <v>2550</v>
      </c>
      <c r="F866" s="9" t="s">
        <v>2551</v>
      </c>
      <c r="G866" s="9">
        <v>1</v>
      </c>
      <c r="H866" s="9"/>
      <c r="I866" s="9"/>
      <c r="J866" s="9"/>
      <c r="K866" s="9" t="b">
        <v>0</v>
      </c>
      <c r="L866" s="9" t="s">
        <v>425</v>
      </c>
      <c r="M866" s="9" t="b">
        <v>0</v>
      </c>
      <c r="N866" s="9" t="s">
        <v>2552</v>
      </c>
      <c r="O866" s="9" t="s">
        <v>3944</v>
      </c>
      <c r="P866" s="7">
        <v>826</v>
      </c>
      <c r="Q866" s="7">
        <v>479</v>
      </c>
      <c r="R866" s="7">
        <v>167</v>
      </c>
      <c r="S866" s="7">
        <v>49</v>
      </c>
      <c r="T866" s="8">
        <v>5.5</v>
      </c>
      <c r="U866" s="8">
        <v>0.8</v>
      </c>
      <c r="V866" s="17">
        <v>0.8</v>
      </c>
      <c r="AD866" s="1"/>
      <c r="AE866" s="3"/>
      <c r="AF866" s="2"/>
      <c r="AG866" s="2"/>
      <c r="AH866" s="2"/>
      <c r="AI866" s="3"/>
      <c r="AJ866" s="1"/>
      <c r="AK866" s="1"/>
    </row>
    <row r="867" spans="1:37" x14ac:dyDescent="0.3">
      <c r="A867" s="14">
        <v>786</v>
      </c>
      <c r="B867" s="14">
        <v>3</v>
      </c>
      <c r="C867" s="9" t="s">
        <v>1659</v>
      </c>
      <c r="D867" s="9" t="s">
        <v>411</v>
      </c>
      <c r="E867" s="9" t="s">
        <v>2602</v>
      </c>
      <c r="F867" s="9" t="s">
        <v>2603</v>
      </c>
      <c r="G867" s="9">
        <v>4</v>
      </c>
      <c r="H867" s="9"/>
      <c r="I867" s="9"/>
      <c r="J867" s="9"/>
      <c r="K867" s="9" t="b">
        <v>0</v>
      </c>
      <c r="L867" s="9" t="s">
        <v>238</v>
      </c>
      <c r="M867" s="9" t="b">
        <v>0</v>
      </c>
      <c r="N867" s="9" t="s">
        <v>2604</v>
      </c>
      <c r="O867" s="9" t="s">
        <v>3961</v>
      </c>
      <c r="P867" s="7">
        <v>870</v>
      </c>
      <c r="Q867" s="7">
        <v>498</v>
      </c>
      <c r="R867" s="7">
        <v>224</v>
      </c>
      <c r="S867" s="7">
        <v>48</v>
      </c>
      <c r="T867" s="8">
        <v>5.7</v>
      </c>
      <c r="U867" s="8">
        <v>0.8</v>
      </c>
      <c r="V867" s="17">
        <v>0.8</v>
      </c>
      <c r="AD867" s="1"/>
      <c r="AE867" s="3"/>
      <c r="AF867" s="3"/>
      <c r="AG867" s="3"/>
      <c r="AH867" s="3"/>
      <c r="AI867" s="3"/>
      <c r="AJ867" s="1"/>
      <c r="AK867" s="1"/>
    </row>
    <row r="868" spans="1:37" x14ac:dyDescent="0.3">
      <c r="A868" s="14">
        <v>548</v>
      </c>
      <c r="B868" s="14">
        <v>1</v>
      </c>
      <c r="C868" s="9" t="s">
        <v>1659</v>
      </c>
      <c r="D868" s="9" t="s">
        <v>1</v>
      </c>
      <c r="E868" s="9" t="s">
        <v>1863</v>
      </c>
      <c r="F868" s="9" t="s">
        <v>1864</v>
      </c>
      <c r="G868" s="9">
        <v>3</v>
      </c>
      <c r="H868" s="9"/>
      <c r="I868" s="9"/>
      <c r="J868" s="9"/>
      <c r="K868" s="9" t="b">
        <v>0</v>
      </c>
      <c r="L868" s="9" t="s">
        <v>7</v>
      </c>
      <c r="M868" s="9" t="b">
        <v>0</v>
      </c>
      <c r="N868" s="9" t="s">
        <v>1865</v>
      </c>
      <c r="O868" s="9" t="s">
        <v>3723</v>
      </c>
      <c r="P868" s="7">
        <v>1288</v>
      </c>
      <c r="Q868" s="7">
        <v>713</v>
      </c>
      <c r="R868" s="7">
        <v>321</v>
      </c>
      <c r="S868" s="7">
        <v>74</v>
      </c>
      <c r="T868" s="8">
        <v>5.8</v>
      </c>
      <c r="U868" s="8">
        <v>0.8</v>
      </c>
      <c r="V868" s="17">
        <v>0.8</v>
      </c>
      <c r="AD868" s="1"/>
      <c r="AE868" s="3"/>
      <c r="AF868" s="2"/>
      <c r="AG868" s="2"/>
      <c r="AH868" s="3"/>
      <c r="AI868" s="3"/>
      <c r="AJ868" s="1"/>
      <c r="AK868" s="1"/>
    </row>
    <row r="869" spans="1:37" x14ac:dyDescent="0.3">
      <c r="A869" s="14">
        <v>441</v>
      </c>
      <c r="B869" s="14">
        <v>2</v>
      </c>
      <c r="C869" s="9" t="s">
        <v>0</v>
      </c>
      <c r="D869" s="9" t="s">
        <v>1457</v>
      </c>
      <c r="E869" s="9" t="s">
        <v>1527</v>
      </c>
      <c r="F869" s="9" t="s">
        <v>1528</v>
      </c>
      <c r="G869" s="9">
        <v>1</v>
      </c>
      <c r="H869" s="9" t="s">
        <v>1529</v>
      </c>
      <c r="I869" s="9"/>
      <c r="J869" s="9"/>
      <c r="K869" s="9" t="b">
        <v>0</v>
      </c>
      <c r="L869" s="9" t="s">
        <v>234</v>
      </c>
      <c r="M869" s="9" t="b">
        <v>0</v>
      </c>
      <c r="N869" s="9" t="s">
        <v>1530</v>
      </c>
      <c r="O869" s="9" t="s">
        <v>3616</v>
      </c>
      <c r="P869" s="7">
        <v>1248</v>
      </c>
      <c r="Q869" s="7">
        <v>541</v>
      </c>
      <c r="R869" s="7">
        <v>304</v>
      </c>
      <c r="S869" s="7">
        <v>73</v>
      </c>
      <c r="T869" s="8">
        <v>5.8</v>
      </c>
      <c r="U869" s="8">
        <v>0.8</v>
      </c>
      <c r="V869" s="17">
        <v>0.8</v>
      </c>
      <c r="AD869" s="1"/>
      <c r="AE869" s="3"/>
      <c r="AF869" s="3"/>
      <c r="AG869" s="3"/>
      <c r="AH869" s="3"/>
      <c r="AI869" s="3"/>
      <c r="AJ869" s="1"/>
      <c r="AK869" s="1"/>
    </row>
    <row r="870" spans="1:37" x14ac:dyDescent="0.3">
      <c r="A870" s="14">
        <v>203</v>
      </c>
      <c r="B870" s="14">
        <v>3</v>
      </c>
      <c r="C870" s="9" t="s">
        <v>0</v>
      </c>
      <c r="D870" s="9" t="s">
        <v>411</v>
      </c>
      <c r="E870" s="9" t="s">
        <v>752</v>
      </c>
      <c r="F870" s="9" t="s">
        <v>753</v>
      </c>
      <c r="G870" s="9">
        <v>1</v>
      </c>
      <c r="H870" s="9"/>
      <c r="I870" s="9" t="s">
        <v>22</v>
      </c>
      <c r="J870" s="9"/>
      <c r="K870" s="9" t="b">
        <v>0</v>
      </c>
      <c r="L870" s="9" t="s">
        <v>497</v>
      </c>
      <c r="M870" s="9" t="b">
        <v>0</v>
      </c>
      <c r="N870" s="9" t="s">
        <v>754</v>
      </c>
      <c r="O870" s="9" t="s">
        <v>3379</v>
      </c>
      <c r="P870" s="7">
        <v>1164</v>
      </c>
      <c r="Q870" s="7">
        <v>364</v>
      </c>
      <c r="R870" s="7">
        <v>224</v>
      </c>
      <c r="S870" s="7">
        <v>68</v>
      </c>
      <c r="T870" s="8">
        <v>5.8</v>
      </c>
      <c r="U870" s="8">
        <v>0.8</v>
      </c>
      <c r="V870" s="17">
        <v>0.8</v>
      </c>
      <c r="AD870" s="1"/>
      <c r="AE870" s="3"/>
      <c r="AF870" s="2"/>
      <c r="AG870" s="2"/>
      <c r="AH870" s="2"/>
      <c r="AI870" s="3"/>
      <c r="AJ870" s="1"/>
      <c r="AK870" s="1"/>
    </row>
    <row r="871" spans="1:37" x14ac:dyDescent="0.3">
      <c r="A871" s="14">
        <v>241</v>
      </c>
      <c r="B871" s="14">
        <v>3</v>
      </c>
      <c r="C871" s="9" t="s">
        <v>0</v>
      </c>
      <c r="D871" s="9" t="s">
        <v>411</v>
      </c>
      <c r="E871" s="9" t="s">
        <v>879</v>
      </c>
      <c r="F871" s="9" t="s">
        <v>880</v>
      </c>
      <c r="G871" s="9">
        <v>1</v>
      </c>
      <c r="H871" s="9"/>
      <c r="I871" s="9" t="s">
        <v>22</v>
      </c>
      <c r="J871" s="9"/>
      <c r="K871" s="9" t="b">
        <v>0</v>
      </c>
      <c r="L871" s="9" t="s">
        <v>238</v>
      </c>
      <c r="M871" s="9" t="b">
        <v>0</v>
      </c>
      <c r="N871" s="9" t="s">
        <v>881</v>
      </c>
      <c r="O871" s="9" t="s">
        <v>3417</v>
      </c>
      <c r="P871" s="7">
        <v>1179</v>
      </c>
      <c r="Q871" s="7">
        <v>583</v>
      </c>
      <c r="R871" s="7">
        <v>308</v>
      </c>
      <c r="S871" s="7">
        <v>68</v>
      </c>
      <c r="T871" s="8">
        <v>5.6</v>
      </c>
      <c r="U871" s="8">
        <v>0.8</v>
      </c>
      <c r="V871" s="17">
        <v>0.8</v>
      </c>
      <c r="AD871" s="1"/>
      <c r="AE871" s="3"/>
      <c r="AF871" s="2"/>
      <c r="AG871" s="2"/>
      <c r="AH871" s="3"/>
      <c r="AI871" s="3"/>
      <c r="AJ871" s="1"/>
      <c r="AK871" s="1"/>
    </row>
    <row r="872" spans="1:37" x14ac:dyDescent="0.3">
      <c r="A872" s="14">
        <v>333</v>
      </c>
      <c r="B872" s="14">
        <v>1</v>
      </c>
      <c r="C872" s="9" t="s">
        <v>0</v>
      </c>
      <c r="D872" s="9" t="s">
        <v>1077</v>
      </c>
      <c r="E872" s="9" t="s">
        <v>1181</v>
      </c>
      <c r="F872" s="9" t="s">
        <v>1182</v>
      </c>
      <c r="G872" s="9">
        <v>1</v>
      </c>
      <c r="H872" s="9"/>
      <c r="I872" s="9" t="s">
        <v>1183</v>
      </c>
      <c r="J872" s="9">
        <v>2</v>
      </c>
      <c r="K872" s="9" t="b">
        <v>0</v>
      </c>
      <c r="L872" s="9" t="s">
        <v>7</v>
      </c>
      <c r="M872" s="9" t="b">
        <v>0</v>
      </c>
      <c r="N872" s="9" t="s">
        <v>1184</v>
      </c>
      <c r="O872" s="9" t="s">
        <v>3509</v>
      </c>
      <c r="P872" s="7">
        <v>1307</v>
      </c>
      <c r="Q872" s="7">
        <v>581</v>
      </c>
      <c r="R872" s="7">
        <v>205</v>
      </c>
      <c r="S872" s="7">
        <v>75</v>
      </c>
      <c r="T872" s="8">
        <v>5.7</v>
      </c>
      <c r="U872" s="8">
        <v>0.8</v>
      </c>
      <c r="V872" s="17">
        <v>0.8</v>
      </c>
      <c r="AD872" s="1"/>
      <c r="AE872" s="3"/>
      <c r="AF872" s="3"/>
      <c r="AG872" s="3"/>
      <c r="AH872" s="3"/>
      <c r="AI872" s="3"/>
      <c r="AJ872" s="1"/>
      <c r="AK872" s="1"/>
    </row>
    <row r="873" spans="1:37" x14ac:dyDescent="0.3">
      <c r="A873" s="14">
        <v>384</v>
      </c>
      <c r="B873" s="14">
        <v>4</v>
      </c>
      <c r="C873" s="9" t="s">
        <v>0</v>
      </c>
      <c r="D873" s="9" t="s">
        <v>1338</v>
      </c>
      <c r="E873" s="9" t="s">
        <v>1345</v>
      </c>
      <c r="F873" s="9" t="s">
        <v>1346</v>
      </c>
      <c r="G873" s="9">
        <v>1</v>
      </c>
      <c r="H873" s="9"/>
      <c r="I873" s="9" t="s">
        <v>22</v>
      </c>
      <c r="J873" s="9"/>
      <c r="K873" s="9" t="b">
        <v>0</v>
      </c>
      <c r="L873" s="9" t="s">
        <v>194</v>
      </c>
      <c r="M873" s="9" t="b">
        <v>0</v>
      </c>
      <c r="N873" s="9" t="s">
        <v>1347</v>
      </c>
      <c r="O873" s="9" t="s">
        <v>3560</v>
      </c>
      <c r="P873" s="7">
        <v>52</v>
      </c>
      <c r="Q873" s="7">
        <v>20</v>
      </c>
      <c r="R873" s="7">
        <v>12</v>
      </c>
      <c r="S873" s="7">
        <v>2</v>
      </c>
      <c r="T873" s="8">
        <v>4.8</v>
      </c>
      <c r="U873" s="18">
        <v>0.5</v>
      </c>
      <c r="V873" s="26">
        <v>0.75</v>
      </c>
      <c r="W873" s="23" t="s">
        <v>4166</v>
      </c>
      <c r="AD873" s="1"/>
      <c r="AE873" s="3"/>
      <c r="AF873" s="2"/>
      <c r="AG873" s="2"/>
      <c r="AH873" s="2"/>
      <c r="AI873" s="3"/>
      <c r="AJ873" s="1"/>
      <c r="AK873" s="1"/>
    </row>
    <row r="874" spans="1:37" x14ac:dyDescent="0.3">
      <c r="A874" s="14">
        <v>153</v>
      </c>
      <c r="B874" s="14">
        <v>3</v>
      </c>
      <c r="C874" s="9" t="s">
        <v>0</v>
      </c>
      <c r="D874" s="9" t="s">
        <v>411</v>
      </c>
      <c r="E874" s="9" t="s">
        <v>581</v>
      </c>
      <c r="F874" s="9" t="s">
        <v>582</v>
      </c>
      <c r="G874" s="9">
        <v>1</v>
      </c>
      <c r="H874" s="9"/>
      <c r="I874" s="9" t="s">
        <v>77</v>
      </c>
      <c r="J874" s="9"/>
      <c r="K874" s="9" t="b">
        <v>1</v>
      </c>
      <c r="L874" s="9" t="s">
        <v>238</v>
      </c>
      <c r="M874" s="9" t="b">
        <v>0</v>
      </c>
      <c r="N874" s="9" t="s">
        <v>583</v>
      </c>
      <c r="O874" s="9" t="s">
        <v>3329</v>
      </c>
      <c r="P874" s="7">
        <v>922</v>
      </c>
      <c r="Q874" s="7">
        <v>334</v>
      </c>
      <c r="R874" s="7">
        <v>101</v>
      </c>
      <c r="S874" s="7">
        <v>24</v>
      </c>
      <c r="T874" s="8">
        <v>6.2</v>
      </c>
      <c r="U874" s="8">
        <v>0.4</v>
      </c>
      <c r="V874" s="26">
        <v>0.75</v>
      </c>
      <c r="W874" s="23" t="s">
        <v>4174</v>
      </c>
      <c r="AD874" s="1"/>
      <c r="AE874" s="3"/>
      <c r="AF874" s="2"/>
      <c r="AG874" s="2"/>
      <c r="AH874" s="2"/>
      <c r="AI874" s="3"/>
      <c r="AJ874" s="1"/>
      <c r="AK874" s="1"/>
    </row>
    <row r="875" spans="1:37" x14ac:dyDescent="0.3">
      <c r="A875" s="14">
        <v>833</v>
      </c>
      <c r="B875" s="14">
        <v>1</v>
      </c>
      <c r="C875" s="9" t="s">
        <v>1659</v>
      </c>
      <c r="D875" s="9" t="s">
        <v>1208</v>
      </c>
      <c r="E875" s="9" t="s">
        <v>2743</v>
      </c>
      <c r="F875" s="9" t="s">
        <v>2744</v>
      </c>
      <c r="G875" s="9">
        <v>1</v>
      </c>
      <c r="H875" s="9"/>
      <c r="I875" s="9"/>
      <c r="J875" s="9"/>
      <c r="K875" s="9" t="b">
        <v>0</v>
      </c>
      <c r="L875" s="9" t="s">
        <v>7</v>
      </c>
      <c r="M875" s="9" t="b">
        <v>0</v>
      </c>
      <c r="N875" s="9" t="s">
        <v>2745</v>
      </c>
      <c r="O875" s="9" t="s">
        <v>4008</v>
      </c>
      <c r="P875" s="7">
        <v>986</v>
      </c>
      <c r="Q875" s="7">
        <v>432</v>
      </c>
      <c r="R875" s="7">
        <v>178</v>
      </c>
      <c r="S875" s="7">
        <v>51</v>
      </c>
      <c r="T875" s="8">
        <v>6</v>
      </c>
      <c r="U875" s="8">
        <v>0.7</v>
      </c>
      <c r="V875" s="17">
        <v>0.7</v>
      </c>
      <c r="AD875" s="1"/>
      <c r="AE875" s="3"/>
      <c r="AF875" s="2"/>
      <c r="AG875" s="3"/>
      <c r="AH875" s="3"/>
      <c r="AI875" s="3"/>
      <c r="AJ875" s="1"/>
      <c r="AK875" s="1"/>
    </row>
    <row r="876" spans="1:37" x14ac:dyDescent="0.3">
      <c r="A876" s="14">
        <v>625</v>
      </c>
      <c r="B876" s="14">
        <v>3</v>
      </c>
      <c r="C876" s="9" t="s">
        <v>1659</v>
      </c>
      <c r="D876" s="9" t="s">
        <v>411</v>
      </c>
      <c r="E876" s="9" t="s">
        <v>2105</v>
      </c>
      <c r="F876" s="9" t="s">
        <v>2106</v>
      </c>
      <c r="G876" s="9">
        <v>1</v>
      </c>
      <c r="H876" s="9"/>
      <c r="I876" s="9"/>
      <c r="J876" s="9"/>
      <c r="K876" s="9" t="b">
        <v>0</v>
      </c>
      <c r="L876" s="9" t="s">
        <v>453</v>
      </c>
      <c r="M876" s="9" t="b">
        <v>0</v>
      </c>
      <c r="N876" s="9" t="s">
        <v>2107</v>
      </c>
      <c r="O876" s="9" t="s">
        <v>3800</v>
      </c>
      <c r="P876" s="7">
        <v>1102</v>
      </c>
      <c r="Q876" s="7">
        <v>557</v>
      </c>
      <c r="R876" s="7">
        <v>257</v>
      </c>
      <c r="S876" s="7">
        <v>52</v>
      </c>
      <c r="T876" s="8">
        <v>5.5</v>
      </c>
      <c r="U876" s="8">
        <v>0.7</v>
      </c>
      <c r="V876" s="17">
        <v>0.7</v>
      </c>
      <c r="AD876" s="1"/>
      <c r="AE876" s="3"/>
      <c r="AF876" s="2"/>
      <c r="AG876" s="3"/>
      <c r="AH876" s="3"/>
      <c r="AI876" s="3"/>
      <c r="AJ876" s="1"/>
      <c r="AK876" s="1"/>
    </row>
    <row r="877" spans="1:37" x14ac:dyDescent="0.3">
      <c r="A877" s="14">
        <v>488</v>
      </c>
      <c r="B877" s="14">
        <v>1</v>
      </c>
      <c r="C877" s="9" t="s">
        <v>1659</v>
      </c>
      <c r="D877" s="9" t="s">
        <v>1</v>
      </c>
      <c r="E877" s="9" t="s">
        <v>1684</v>
      </c>
      <c r="F877" s="9" t="s">
        <v>1685</v>
      </c>
      <c r="G877" s="9">
        <v>4</v>
      </c>
      <c r="H877" s="9"/>
      <c r="I877" s="9"/>
      <c r="J877" s="9"/>
      <c r="K877" s="9" t="b">
        <v>0</v>
      </c>
      <c r="L877" s="9" t="s">
        <v>7</v>
      </c>
      <c r="M877" s="9" t="b">
        <v>0</v>
      </c>
      <c r="N877" s="9" t="s">
        <v>1686</v>
      </c>
      <c r="O877" s="9" t="s">
        <v>3663</v>
      </c>
      <c r="P877" s="7">
        <v>1109</v>
      </c>
      <c r="Q877" s="7">
        <v>421</v>
      </c>
      <c r="R877" s="7">
        <v>201</v>
      </c>
      <c r="S877" s="7">
        <v>58</v>
      </c>
      <c r="T877" s="8">
        <v>5.7</v>
      </c>
      <c r="U877" s="8">
        <v>0.7</v>
      </c>
      <c r="V877" s="17">
        <v>0.7</v>
      </c>
      <c r="AD877" s="1"/>
      <c r="AE877" s="3"/>
      <c r="AF877" s="3"/>
      <c r="AG877" s="3"/>
      <c r="AH877" s="3"/>
      <c r="AI877" s="3"/>
      <c r="AJ877" s="1"/>
      <c r="AK877" s="1"/>
    </row>
    <row r="878" spans="1:37" x14ac:dyDescent="0.3">
      <c r="A878" s="14">
        <v>744</v>
      </c>
      <c r="B878" s="14">
        <v>3</v>
      </c>
      <c r="C878" s="9" t="s">
        <v>1659</v>
      </c>
      <c r="D878" s="9" t="s">
        <v>411</v>
      </c>
      <c r="E878" s="9" t="s">
        <v>2474</v>
      </c>
      <c r="F878" s="9" t="s">
        <v>2475</v>
      </c>
      <c r="G878" s="9">
        <v>3</v>
      </c>
      <c r="H878" s="9"/>
      <c r="I878" s="9"/>
      <c r="J878" s="9"/>
      <c r="K878" s="9" t="b">
        <v>0</v>
      </c>
      <c r="L878" s="9" t="s">
        <v>437</v>
      </c>
      <c r="M878" s="9" t="b">
        <v>0</v>
      </c>
      <c r="N878" s="9" t="s">
        <v>2476</v>
      </c>
      <c r="O878" s="9" t="s">
        <v>3919</v>
      </c>
      <c r="P878" s="7">
        <v>886</v>
      </c>
      <c r="Q878" s="7">
        <v>470</v>
      </c>
      <c r="R878" s="7">
        <v>230</v>
      </c>
      <c r="S878" s="7">
        <v>44</v>
      </c>
      <c r="T878" s="8">
        <v>5.3</v>
      </c>
      <c r="U878" s="8">
        <v>0.7</v>
      </c>
      <c r="V878" s="17">
        <v>0.7</v>
      </c>
      <c r="AD878" s="1"/>
      <c r="AE878" s="3"/>
      <c r="AF878" s="2"/>
      <c r="AG878" s="3"/>
      <c r="AH878" s="3"/>
      <c r="AI878" s="3"/>
      <c r="AJ878" s="1"/>
      <c r="AK878" s="1"/>
    </row>
    <row r="879" spans="1:37" x14ac:dyDescent="0.3">
      <c r="A879" s="14">
        <v>863</v>
      </c>
      <c r="B879" s="14">
        <v>1</v>
      </c>
      <c r="C879" s="9" t="s">
        <v>1659</v>
      </c>
      <c r="D879" s="9" t="s">
        <v>1208</v>
      </c>
      <c r="E879" s="9" t="s">
        <v>2833</v>
      </c>
      <c r="F879" s="9" t="s">
        <v>2834</v>
      </c>
      <c r="G879" s="9">
        <v>4</v>
      </c>
      <c r="H879" s="9"/>
      <c r="I879" s="9"/>
      <c r="J879" s="9"/>
      <c r="K879" s="9" t="b">
        <v>0</v>
      </c>
      <c r="L879" s="9" t="s">
        <v>7</v>
      </c>
      <c r="M879" s="9" t="b">
        <v>0</v>
      </c>
      <c r="N879" s="9" t="s">
        <v>2835</v>
      </c>
      <c r="O879" s="9" t="s">
        <v>4038</v>
      </c>
      <c r="P879" s="7">
        <v>1306</v>
      </c>
      <c r="Q879" s="7">
        <v>806</v>
      </c>
      <c r="R879" s="7">
        <v>258</v>
      </c>
      <c r="S879" s="7">
        <v>64</v>
      </c>
      <c r="T879" s="8">
        <v>5.8</v>
      </c>
      <c r="U879" s="8">
        <v>0.7</v>
      </c>
      <c r="V879" s="17">
        <v>0.7</v>
      </c>
      <c r="AD879" s="1"/>
      <c r="AE879" s="3"/>
      <c r="AF879" s="3"/>
      <c r="AG879" s="3"/>
      <c r="AH879" s="3"/>
      <c r="AI879" s="3"/>
      <c r="AJ879" s="1"/>
      <c r="AK879" s="1"/>
    </row>
    <row r="880" spans="1:37" x14ac:dyDescent="0.3">
      <c r="A880" s="14">
        <v>957</v>
      </c>
      <c r="B880" s="14">
        <v>2</v>
      </c>
      <c r="C880" s="9" t="s">
        <v>1659</v>
      </c>
      <c r="D880" s="9" t="s">
        <v>1457</v>
      </c>
      <c r="E880" s="9" t="s">
        <v>3122</v>
      </c>
      <c r="F880" s="9" t="s">
        <v>3123</v>
      </c>
      <c r="G880" s="9">
        <v>3</v>
      </c>
      <c r="H880" s="9"/>
      <c r="I880" s="9"/>
      <c r="J880" s="9"/>
      <c r="K880" s="9" t="b">
        <v>0</v>
      </c>
      <c r="L880" s="9" t="s">
        <v>1465</v>
      </c>
      <c r="M880" s="9" t="b">
        <v>0</v>
      </c>
      <c r="N880" s="9" t="s">
        <v>3124</v>
      </c>
      <c r="O880" s="9" t="s">
        <v>4129</v>
      </c>
      <c r="P880" s="7">
        <v>1336</v>
      </c>
      <c r="Q880" s="7">
        <v>408</v>
      </c>
      <c r="R880" s="7">
        <v>175</v>
      </c>
      <c r="S880" s="7">
        <v>61</v>
      </c>
      <c r="T880" s="8">
        <v>6.1</v>
      </c>
      <c r="U880" s="8">
        <v>0.7</v>
      </c>
      <c r="V880" s="17">
        <v>0.7</v>
      </c>
      <c r="AD880" s="1"/>
      <c r="AE880" s="3"/>
      <c r="AF880" s="2"/>
      <c r="AG880" s="2"/>
      <c r="AH880" s="3"/>
      <c r="AI880" s="3"/>
      <c r="AJ880" s="1"/>
      <c r="AK880" s="1"/>
    </row>
    <row r="881" spans="1:37" x14ac:dyDescent="0.3">
      <c r="A881" s="14">
        <v>347</v>
      </c>
      <c r="B881" s="14">
        <v>1</v>
      </c>
      <c r="C881" s="9" t="s">
        <v>0</v>
      </c>
      <c r="D881" s="9" t="s">
        <v>1208</v>
      </c>
      <c r="E881" s="9" t="s">
        <v>1228</v>
      </c>
      <c r="F881" s="9" t="s">
        <v>1229</v>
      </c>
      <c r="G881" s="9">
        <v>1</v>
      </c>
      <c r="H881" s="9"/>
      <c r="I881" s="9" t="s">
        <v>1230</v>
      </c>
      <c r="J881" s="9">
        <v>2</v>
      </c>
      <c r="K881" s="9" t="b">
        <v>0</v>
      </c>
      <c r="L881" s="9" t="s">
        <v>7</v>
      </c>
      <c r="M881" s="9" t="b">
        <v>1</v>
      </c>
      <c r="N881" s="9" t="s">
        <v>1231</v>
      </c>
      <c r="O881" s="9" t="s">
        <v>3523</v>
      </c>
      <c r="P881" s="7">
        <v>1411</v>
      </c>
      <c r="Q881" s="7">
        <v>662</v>
      </c>
      <c r="R881" s="7">
        <v>246</v>
      </c>
      <c r="S881" s="7">
        <v>65</v>
      </c>
      <c r="T881" s="8">
        <v>5.7</v>
      </c>
      <c r="U881" s="8">
        <v>0.7</v>
      </c>
      <c r="V881" s="17">
        <v>0.7</v>
      </c>
      <c r="AD881" s="1"/>
      <c r="AE881" s="3"/>
      <c r="AF881" s="2"/>
      <c r="AG881" s="2"/>
      <c r="AH881" s="3"/>
      <c r="AI881" s="3"/>
      <c r="AJ881" s="1"/>
      <c r="AK881" s="1"/>
    </row>
    <row r="882" spans="1:37" x14ac:dyDescent="0.3">
      <c r="A882" s="14">
        <v>309</v>
      </c>
      <c r="B882" s="14">
        <v>1</v>
      </c>
      <c r="C882" s="9" t="s">
        <v>0</v>
      </c>
      <c r="D882" s="9" t="s">
        <v>1077</v>
      </c>
      <c r="E882" s="9" t="s">
        <v>1101</v>
      </c>
      <c r="F882" s="9" t="s">
        <v>1102</v>
      </c>
      <c r="G882" s="9">
        <v>1</v>
      </c>
      <c r="H882" s="9" t="s">
        <v>10</v>
      </c>
      <c r="I882" s="9" t="s">
        <v>5</v>
      </c>
      <c r="J882" s="9">
        <v>1</v>
      </c>
      <c r="K882" s="9" t="b">
        <v>0</v>
      </c>
      <c r="L882" s="9" t="s">
        <v>7</v>
      </c>
      <c r="M882" s="9" t="b">
        <v>0</v>
      </c>
      <c r="N882" s="9" t="s">
        <v>1103</v>
      </c>
      <c r="O882" s="9" t="s">
        <v>3485</v>
      </c>
      <c r="P882" s="7">
        <v>920</v>
      </c>
      <c r="Q882" s="7">
        <v>384</v>
      </c>
      <c r="R882" s="7">
        <v>168</v>
      </c>
      <c r="S882" s="7">
        <v>45</v>
      </c>
      <c r="T882" s="8">
        <v>5.9</v>
      </c>
      <c r="U882" s="8">
        <v>0.7</v>
      </c>
      <c r="V882" s="17">
        <v>0.7</v>
      </c>
      <c r="AD882" s="1"/>
      <c r="AE882" s="3"/>
      <c r="AF882" s="2"/>
      <c r="AG882" s="3"/>
      <c r="AH882" s="3"/>
      <c r="AI882" s="3"/>
      <c r="AJ882" s="1"/>
      <c r="AK882" s="1"/>
    </row>
    <row r="883" spans="1:37" x14ac:dyDescent="0.3">
      <c r="A883" s="14">
        <v>19</v>
      </c>
      <c r="B883" s="14">
        <v>1</v>
      </c>
      <c r="C883" s="9" t="s">
        <v>0</v>
      </c>
      <c r="D883" s="9" t="s">
        <v>1</v>
      </c>
      <c r="E883" s="9" t="s">
        <v>69</v>
      </c>
      <c r="F883" s="10" t="s">
        <v>70</v>
      </c>
      <c r="G883" s="9">
        <v>1</v>
      </c>
      <c r="H883" s="9"/>
      <c r="I883" s="9" t="s">
        <v>5</v>
      </c>
      <c r="J883" s="9">
        <v>1</v>
      </c>
      <c r="K883" s="9" t="b">
        <v>0</v>
      </c>
      <c r="L883" s="9" t="s">
        <v>7</v>
      </c>
      <c r="M883" s="9" t="b">
        <v>0</v>
      </c>
      <c r="N883" s="9" t="s">
        <v>71</v>
      </c>
      <c r="O883" s="9" t="s">
        <v>3195</v>
      </c>
      <c r="P883" s="7">
        <v>1137</v>
      </c>
      <c r="Q883" s="7">
        <v>509</v>
      </c>
      <c r="R883" s="7">
        <v>213</v>
      </c>
      <c r="S883" s="7">
        <v>59</v>
      </c>
      <c r="T883" s="8">
        <v>5.8</v>
      </c>
      <c r="U883" s="8">
        <v>0.7</v>
      </c>
      <c r="V883" s="17">
        <v>0.7</v>
      </c>
      <c r="AD883" s="1"/>
      <c r="AE883" s="3"/>
      <c r="AF883" s="3"/>
      <c r="AG883" s="3"/>
      <c r="AH883" s="3"/>
      <c r="AI883" s="3"/>
      <c r="AJ883" s="1"/>
      <c r="AK883" s="1"/>
    </row>
    <row r="884" spans="1:37" x14ac:dyDescent="0.3">
      <c r="A884" s="14">
        <v>20</v>
      </c>
      <c r="B884" s="14">
        <v>1</v>
      </c>
      <c r="C884" s="9" t="s">
        <v>0</v>
      </c>
      <c r="D884" s="9" t="s">
        <v>1</v>
      </c>
      <c r="E884" s="9" t="s">
        <v>72</v>
      </c>
      <c r="F884" s="9" t="s">
        <v>73</v>
      </c>
      <c r="G884" s="9">
        <v>1</v>
      </c>
      <c r="H884" s="9"/>
      <c r="I884" s="9"/>
      <c r="J884" s="9"/>
      <c r="K884" s="9" t="b">
        <v>0</v>
      </c>
      <c r="L884" s="9" t="s">
        <v>7</v>
      </c>
      <c r="M884" s="9" t="b">
        <v>0</v>
      </c>
      <c r="N884" s="9" t="s">
        <v>74</v>
      </c>
      <c r="O884" s="9" t="s">
        <v>3196</v>
      </c>
      <c r="P884" s="7">
        <v>1137</v>
      </c>
      <c r="Q884" s="7">
        <v>298</v>
      </c>
      <c r="R884" s="7">
        <v>195</v>
      </c>
      <c r="S884" s="7">
        <v>52</v>
      </c>
      <c r="T884" s="8">
        <v>6.2</v>
      </c>
      <c r="U884" s="8">
        <v>0.7</v>
      </c>
      <c r="V884" s="17">
        <v>0.7</v>
      </c>
      <c r="AD884" s="1"/>
      <c r="AE884" s="3"/>
      <c r="AF884" s="2"/>
      <c r="AG884" s="3"/>
      <c r="AH884" s="3"/>
      <c r="AI884" s="3"/>
      <c r="AJ884" s="1"/>
      <c r="AK884" s="1"/>
    </row>
    <row r="885" spans="1:37" x14ac:dyDescent="0.3">
      <c r="A885" s="14">
        <v>24</v>
      </c>
      <c r="B885" s="14">
        <v>1</v>
      </c>
      <c r="C885" s="9" t="s">
        <v>0</v>
      </c>
      <c r="D885" s="9" t="s">
        <v>1</v>
      </c>
      <c r="E885" s="9" t="s">
        <v>86</v>
      </c>
      <c r="F885" s="9" t="s">
        <v>87</v>
      </c>
      <c r="G885" s="9">
        <v>1</v>
      </c>
      <c r="H885" s="9"/>
      <c r="I885" s="9" t="s">
        <v>88</v>
      </c>
      <c r="J885" s="9">
        <v>1</v>
      </c>
      <c r="K885" s="9" t="b">
        <v>0</v>
      </c>
      <c r="L885" s="9" t="s">
        <v>7</v>
      </c>
      <c r="M885" s="9" t="b">
        <v>0</v>
      </c>
      <c r="N885" s="9" t="s">
        <v>89</v>
      </c>
      <c r="O885" s="9" t="s">
        <v>3200</v>
      </c>
      <c r="P885" s="7">
        <v>1073</v>
      </c>
      <c r="Q885" s="7">
        <v>415</v>
      </c>
      <c r="R885" s="7">
        <v>192</v>
      </c>
      <c r="S885" s="7">
        <v>51</v>
      </c>
      <c r="T885" s="8">
        <v>6</v>
      </c>
      <c r="U885" s="8">
        <v>0.7</v>
      </c>
      <c r="V885" s="17">
        <v>0.7</v>
      </c>
      <c r="AD885" s="1"/>
      <c r="AE885" s="3"/>
      <c r="AF885" s="2"/>
      <c r="AG885" s="2"/>
      <c r="AH885" s="3"/>
      <c r="AI885" s="3"/>
      <c r="AJ885" s="1"/>
      <c r="AK885" s="1"/>
    </row>
    <row r="886" spans="1:37" x14ac:dyDescent="0.3">
      <c r="A886" s="14">
        <v>336</v>
      </c>
      <c r="B886" s="14">
        <v>1</v>
      </c>
      <c r="C886" s="9" t="s">
        <v>0</v>
      </c>
      <c r="D886" s="9" t="s">
        <v>1077</v>
      </c>
      <c r="E886" s="9" t="s">
        <v>1192</v>
      </c>
      <c r="F886" s="9" t="s">
        <v>1193</v>
      </c>
      <c r="G886" s="9">
        <v>1</v>
      </c>
      <c r="H886" s="9"/>
      <c r="I886" s="9" t="s">
        <v>1194</v>
      </c>
      <c r="J886" s="9"/>
      <c r="K886" s="9" t="b">
        <v>1</v>
      </c>
      <c r="L886" s="9" t="s">
        <v>7</v>
      </c>
      <c r="M886" s="9" t="b">
        <v>0</v>
      </c>
      <c r="N886" s="9" t="s">
        <v>1195</v>
      </c>
      <c r="O886" s="9" t="s">
        <v>3512</v>
      </c>
      <c r="P886" s="7">
        <v>1091</v>
      </c>
      <c r="Q886" s="7">
        <v>342</v>
      </c>
      <c r="R886" s="7">
        <v>155</v>
      </c>
      <c r="S886" s="7">
        <v>50</v>
      </c>
      <c r="T886" s="8">
        <v>5.7</v>
      </c>
      <c r="U886" s="8">
        <v>0.7</v>
      </c>
      <c r="V886" s="17">
        <v>0.7</v>
      </c>
      <c r="AD886" s="1"/>
      <c r="AE886" s="3"/>
      <c r="AF886" s="3"/>
      <c r="AG886" s="3"/>
      <c r="AH886" s="3"/>
      <c r="AI886" s="3"/>
      <c r="AJ886" s="1"/>
      <c r="AK886" s="1"/>
    </row>
    <row r="887" spans="1:37" x14ac:dyDescent="0.3">
      <c r="A887" s="14">
        <v>795</v>
      </c>
      <c r="B887" s="14">
        <v>1</v>
      </c>
      <c r="C887" s="9" t="s">
        <v>1659</v>
      </c>
      <c r="D887" s="9" t="s">
        <v>1077</v>
      </c>
      <c r="E887" s="9" t="s">
        <v>2629</v>
      </c>
      <c r="F887" s="9" t="s">
        <v>2630</v>
      </c>
      <c r="G887" s="9">
        <v>3</v>
      </c>
      <c r="H887" s="9"/>
      <c r="I887" s="9"/>
      <c r="J887" s="9"/>
      <c r="K887" s="9" t="b">
        <v>0</v>
      </c>
      <c r="L887" s="9" t="s">
        <v>7</v>
      </c>
      <c r="M887" s="9" t="b">
        <v>0</v>
      </c>
      <c r="N887" s="9" t="s">
        <v>2631</v>
      </c>
      <c r="O887" s="9" t="s">
        <v>3970</v>
      </c>
      <c r="P887" s="7">
        <v>1160</v>
      </c>
      <c r="Q887" s="7">
        <v>317</v>
      </c>
      <c r="R887" s="7">
        <v>147</v>
      </c>
      <c r="S887" s="7">
        <v>49</v>
      </c>
      <c r="T887" s="8">
        <v>5.9</v>
      </c>
      <c r="U887" s="8">
        <v>0.6</v>
      </c>
      <c r="V887" s="17">
        <v>0.6</v>
      </c>
      <c r="AD887" s="1"/>
      <c r="AE887" s="3"/>
      <c r="AF887" s="2"/>
      <c r="AG887" s="2"/>
      <c r="AH887" s="3"/>
      <c r="AI887" s="3"/>
      <c r="AJ887" s="1"/>
      <c r="AK887" s="1"/>
    </row>
    <row r="888" spans="1:37" x14ac:dyDescent="0.3">
      <c r="A888" s="14">
        <v>646</v>
      </c>
      <c r="B888" s="14">
        <v>3</v>
      </c>
      <c r="C888" s="9" t="s">
        <v>1659</v>
      </c>
      <c r="D888" s="9" t="s">
        <v>411</v>
      </c>
      <c r="E888" s="9" t="s">
        <v>2170</v>
      </c>
      <c r="F888" s="9" t="s">
        <v>2171</v>
      </c>
      <c r="G888" s="9">
        <v>1</v>
      </c>
      <c r="H888" s="9"/>
      <c r="I888" s="9"/>
      <c r="J888" s="9"/>
      <c r="K888" s="9" t="b">
        <v>0</v>
      </c>
      <c r="L888" s="9" t="s">
        <v>497</v>
      </c>
      <c r="M888" s="9" t="b">
        <v>0</v>
      </c>
      <c r="N888" s="9" t="s">
        <v>2172</v>
      </c>
      <c r="O888" s="9" t="s">
        <v>3821</v>
      </c>
      <c r="P888" s="7">
        <v>939</v>
      </c>
      <c r="Q888" s="7">
        <v>462</v>
      </c>
      <c r="R888" s="7">
        <v>177</v>
      </c>
      <c r="S888" s="7">
        <v>42</v>
      </c>
      <c r="T888" s="8">
        <v>5.8</v>
      </c>
      <c r="U888" s="8">
        <v>0.6</v>
      </c>
      <c r="V888" s="17">
        <v>0.6</v>
      </c>
      <c r="AD888" s="1"/>
      <c r="AE888" s="3"/>
      <c r="AF888" s="2"/>
      <c r="AG888" s="3"/>
      <c r="AH888" s="3"/>
      <c r="AI888" s="3"/>
      <c r="AJ888" s="1"/>
      <c r="AK888" s="1"/>
    </row>
    <row r="889" spans="1:37" x14ac:dyDescent="0.3">
      <c r="A889" s="14">
        <v>657</v>
      </c>
      <c r="B889" s="14">
        <v>3</v>
      </c>
      <c r="C889" s="9" t="s">
        <v>1659</v>
      </c>
      <c r="D889" s="9" t="s">
        <v>411</v>
      </c>
      <c r="E889" s="9" t="s">
        <v>2206</v>
      </c>
      <c r="F889" s="9" t="s">
        <v>2207</v>
      </c>
      <c r="G889" s="9">
        <v>1</v>
      </c>
      <c r="H889" s="9"/>
      <c r="I889" s="9"/>
      <c r="J889" s="9"/>
      <c r="K889" s="9" t="b">
        <v>0</v>
      </c>
      <c r="L889" s="9" t="s">
        <v>238</v>
      </c>
      <c r="M889" s="9" t="b">
        <v>0</v>
      </c>
      <c r="N889" s="9" t="s">
        <v>2208</v>
      </c>
      <c r="O889" s="9" t="s">
        <v>3832</v>
      </c>
      <c r="P889" s="7">
        <v>1118</v>
      </c>
      <c r="Q889" s="7">
        <v>279</v>
      </c>
      <c r="R889" s="7">
        <v>131</v>
      </c>
      <c r="S889" s="7">
        <v>44</v>
      </c>
      <c r="T889" s="8">
        <v>5.9</v>
      </c>
      <c r="U889" s="8">
        <v>0.6</v>
      </c>
      <c r="V889" s="17">
        <v>0.6</v>
      </c>
      <c r="AD889" s="1"/>
      <c r="AE889" s="3"/>
      <c r="AF889" s="2"/>
      <c r="AG889" s="2"/>
      <c r="AH889" s="3"/>
      <c r="AI889" s="3"/>
      <c r="AJ889" s="1"/>
      <c r="AK889" s="1"/>
    </row>
    <row r="890" spans="1:37" x14ac:dyDescent="0.3">
      <c r="A890" s="14">
        <v>523</v>
      </c>
      <c r="B890" s="14">
        <v>1</v>
      </c>
      <c r="C890" s="9" t="s">
        <v>1659</v>
      </c>
      <c r="D890" s="9" t="s">
        <v>1</v>
      </c>
      <c r="E890" s="9" t="s">
        <v>1789</v>
      </c>
      <c r="F890" s="9" t="s">
        <v>1790</v>
      </c>
      <c r="G890" s="9">
        <v>1</v>
      </c>
      <c r="H890" s="9"/>
      <c r="I890" s="9"/>
      <c r="J890" s="9"/>
      <c r="K890" s="9" t="b">
        <v>0</v>
      </c>
      <c r="L890" s="9" t="s">
        <v>7</v>
      </c>
      <c r="M890" s="9" t="b">
        <v>0</v>
      </c>
      <c r="N890" s="9" t="s">
        <v>1791</v>
      </c>
      <c r="O890" s="9" t="s">
        <v>3698</v>
      </c>
      <c r="P890" s="7">
        <v>1367</v>
      </c>
      <c r="Q890" s="7">
        <v>539</v>
      </c>
      <c r="R890" s="7">
        <v>216</v>
      </c>
      <c r="S890" s="7">
        <v>62</v>
      </c>
      <c r="T890" s="8">
        <v>6.1</v>
      </c>
      <c r="U890" s="8">
        <v>0.6</v>
      </c>
      <c r="V890" s="17">
        <v>0.6</v>
      </c>
      <c r="AD890" s="1"/>
      <c r="AE890" s="3"/>
      <c r="AF890" s="3"/>
      <c r="AG890" s="3"/>
      <c r="AH890" s="3"/>
      <c r="AI890" s="3"/>
      <c r="AJ890" s="1"/>
      <c r="AK890" s="1"/>
    </row>
    <row r="891" spans="1:37" x14ac:dyDescent="0.3">
      <c r="A891" s="14">
        <v>529</v>
      </c>
      <c r="B891" s="14">
        <v>1</v>
      </c>
      <c r="C891" s="9" t="s">
        <v>1659</v>
      </c>
      <c r="D891" s="9" t="s">
        <v>1</v>
      </c>
      <c r="E891" s="9" t="s">
        <v>1807</v>
      </c>
      <c r="F891" s="9" t="s">
        <v>1808</v>
      </c>
      <c r="G891" s="9">
        <v>3</v>
      </c>
      <c r="H891" s="9"/>
      <c r="I891" s="9"/>
      <c r="J891" s="9"/>
      <c r="K891" s="9" t="b">
        <v>0</v>
      </c>
      <c r="L891" s="9" t="s">
        <v>7</v>
      </c>
      <c r="M891" s="9" t="b">
        <v>0</v>
      </c>
      <c r="N891" s="9" t="s">
        <v>1809</v>
      </c>
      <c r="O891" s="9" t="s">
        <v>3704</v>
      </c>
      <c r="P891" s="7">
        <v>1149</v>
      </c>
      <c r="Q891" s="7">
        <v>413</v>
      </c>
      <c r="R891" s="7">
        <v>184</v>
      </c>
      <c r="S891" s="7">
        <v>52</v>
      </c>
      <c r="T891" s="8">
        <v>6.1</v>
      </c>
      <c r="U891" s="8">
        <v>0.6</v>
      </c>
      <c r="V891" s="17">
        <v>0.6</v>
      </c>
      <c r="AD891" s="1"/>
      <c r="AE891" s="3"/>
      <c r="AF891" s="2"/>
      <c r="AG891" s="3"/>
      <c r="AH891" s="3"/>
      <c r="AI891" s="3"/>
      <c r="AJ891" s="1"/>
      <c r="AK891" s="1"/>
    </row>
    <row r="892" spans="1:37" x14ac:dyDescent="0.3">
      <c r="A892" s="14">
        <v>346</v>
      </c>
      <c r="B892" s="14">
        <v>1</v>
      </c>
      <c r="C892" s="9" t="s">
        <v>0</v>
      </c>
      <c r="D892" s="9" t="s">
        <v>1208</v>
      </c>
      <c r="E892" s="9" t="s">
        <v>1225</v>
      </c>
      <c r="F892" s="9" t="s">
        <v>1226</v>
      </c>
      <c r="G892" s="9">
        <v>1</v>
      </c>
      <c r="H892" s="9"/>
      <c r="I892" s="9" t="s">
        <v>22</v>
      </c>
      <c r="J892" s="9"/>
      <c r="K892" s="9" t="b">
        <v>0</v>
      </c>
      <c r="L892" s="9" t="s">
        <v>7</v>
      </c>
      <c r="M892" s="9" t="b">
        <v>0</v>
      </c>
      <c r="N892" s="9" t="s">
        <v>1227</v>
      </c>
      <c r="O892" s="9" t="s">
        <v>3522</v>
      </c>
      <c r="P892" s="7">
        <v>1053</v>
      </c>
      <c r="Q892" s="7">
        <v>403</v>
      </c>
      <c r="R892" s="7">
        <v>208</v>
      </c>
      <c r="S892" s="7">
        <v>47</v>
      </c>
      <c r="T892" s="8">
        <v>5.6</v>
      </c>
      <c r="U892" s="8">
        <v>0.6</v>
      </c>
      <c r="V892" s="17">
        <v>0.6</v>
      </c>
      <c r="AD892" s="1"/>
      <c r="AE892" s="3"/>
      <c r="AF892" s="2"/>
      <c r="AG892" s="2"/>
      <c r="AH892" s="3"/>
      <c r="AI892" s="3"/>
      <c r="AJ892" s="1"/>
      <c r="AK892" s="1"/>
    </row>
    <row r="893" spans="1:37" x14ac:dyDescent="0.3">
      <c r="A893" s="14">
        <v>151</v>
      </c>
      <c r="B893" s="14">
        <v>3</v>
      </c>
      <c r="C893" s="9" t="s">
        <v>0</v>
      </c>
      <c r="D893" s="9" t="s">
        <v>411</v>
      </c>
      <c r="E893" s="9" t="s">
        <v>574</v>
      </c>
      <c r="F893" s="9" t="s">
        <v>575</v>
      </c>
      <c r="G893" s="9">
        <v>1</v>
      </c>
      <c r="H893" s="9" t="s">
        <v>576</v>
      </c>
      <c r="I893" s="9"/>
      <c r="J893" s="9">
        <v>2</v>
      </c>
      <c r="K893" s="9" t="b">
        <v>0</v>
      </c>
      <c r="L893" s="9" t="s">
        <v>309</v>
      </c>
      <c r="M893" s="9" t="b">
        <v>0</v>
      </c>
      <c r="N893" s="9" t="s">
        <v>577</v>
      </c>
      <c r="O893" s="9" t="s">
        <v>3327</v>
      </c>
      <c r="P893" s="7">
        <v>970</v>
      </c>
      <c r="Q893" s="7">
        <v>395</v>
      </c>
      <c r="R893" s="7">
        <v>186</v>
      </c>
      <c r="S893" s="7">
        <v>42</v>
      </c>
      <c r="T893" s="8">
        <v>6</v>
      </c>
      <c r="U893" s="8">
        <v>0.6</v>
      </c>
      <c r="V893" s="17">
        <v>0.6</v>
      </c>
      <c r="AD893" s="1"/>
      <c r="AE893" s="3"/>
      <c r="AF893" s="2"/>
      <c r="AG893" s="3"/>
      <c r="AH893" s="3"/>
      <c r="AI893" s="3"/>
      <c r="AJ893" s="1"/>
      <c r="AK893" s="1"/>
    </row>
    <row r="894" spans="1:37" x14ac:dyDescent="0.3">
      <c r="A894" s="14">
        <v>410</v>
      </c>
      <c r="B894" s="14">
        <v>4</v>
      </c>
      <c r="C894" s="9" t="s">
        <v>0</v>
      </c>
      <c r="D894" s="9" t="s">
        <v>1394</v>
      </c>
      <c r="E894" s="9" t="s">
        <v>1427</v>
      </c>
      <c r="F894" s="9" t="s">
        <v>1428</v>
      </c>
      <c r="G894" s="9">
        <v>1</v>
      </c>
      <c r="H894" s="9" t="s">
        <v>10</v>
      </c>
      <c r="I894" s="9" t="s">
        <v>114</v>
      </c>
      <c r="J894" s="9">
        <v>1</v>
      </c>
      <c r="K894" s="9" t="b">
        <v>0</v>
      </c>
      <c r="L894" s="9"/>
      <c r="M894" s="9" t="b">
        <v>0</v>
      </c>
      <c r="N894" s="9" t="s">
        <v>1429</v>
      </c>
      <c r="O894" s="9" t="s">
        <v>3586</v>
      </c>
      <c r="P894" s="7">
        <v>1149</v>
      </c>
      <c r="Q894" s="7">
        <v>342</v>
      </c>
      <c r="R894" s="7">
        <v>207</v>
      </c>
      <c r="S894" s="7">
        <v>50</v>
      </c>
      <c r="T894" s="8">
        <v>5.9</v>
      </c>
      <c r="U894" s="8">
        <v>0.6</v>
      </c>
      <c r="V894" s="17">
        <v>0.6</v>
      </c>
      <c r="AD894" s="1"/>
      <c r="AE894" s="3"/>
      <c r="AF894" s="3"/>
      <c r="AG894" s="3"/>
      <c r="AH894" s="3"/>
      <c r="AI894" s="3"/>
      <c r="AJ894" s="1"/>
      <c r="AK894" s="1"/>
    </row>
    <row r="895" spans="1:37" x14ac:dyDescent="0.3">
      <c r="A895" s="14">
        <v>33</v>
      </c>
      <c r="B895" s="14">
        <v>1</v>
      </c>
      <c r="C895" s="9" t="s">
        <v>0</v>
      </c>
      <c r="D895" s="9" t="s">
        <v>1</v>
      </c>
      <c r="E895" s="9" t="s">
        <v>120</v>
      </c>
      <c r="F895" s="9" t="s">
        <v>121</v>
      </c>
      <c r="G895" s="9">
        <v>1</v>
      </c>
      <c r="H895" s="9" t="s">
        <v>122</v>
      </c>
      <c r="I895" s="9" t="s">
        <v>123</v>
      </c>
      <c r="J895" s="9">
        <v>2</v>
      </c>
      <c r="K895" s="9" t="b">
        <v>0</v>
      </c>
      <c r="L895" s="9" t="s">
        <v>7</v>
      </c>
      <c r="M895" s="9" t="b">
        <v>0</v>
      </c>
      <c r="N895" s="9" t="s">
        <v>124</v>
      </c>
      <c r="O895" s="9" t="s">
        <v>3209</v>
      </c>
      <c r="P895" s="7">
        <v>990</v>
      </c>
      <c r="Q895" s="7">
        <v>398</v>
      </c>
      <c r="R895" s="7">
        <v>202</v>
      </c>
      <c r="S895" s="7">
        <v>41</v>
      </c>
      <c r="T895" s="8">
        <v>5.7</v>
      </c>
      <c r="U895" s="8">
        <v>0.6</v>
      </c>
      <c r="V895" s="17">
        <v>0.6</v>
      </c>
      <c r="AD895" s="1"/>
      <c r="AE895" s="3"/>
      <c r="AF895" s="2"/>
      <c r="AG895" s="2"/>
      <c r="AH895" s="3"/>
      <c r="AI895" s="3"/>
      <c r="AJ895" s="1"/>
      <c r="AK895" s="1"/>
    </row>
    <row r="896" spans="1:37" x14ac:dyDescent="0.3">
      <c r="A896" s="14">
        <v>300</v>
      </c>
      <c r="B896" s="14">
        <v>3</v>
      </c>
      <c r="C896" s="9" t="s">
        <v>0</v>
      </c>
      <c r="D896" s="9" t="s">
        <v>411</v>
      </c>
      <c r="E896" s="9" t="s">
        <v>1070</v>
      </c>
      <c r="F896" s="9" t="s">
        <v>1071</v>
      </c>
      <c r="G896" s="9">
        <v>1</v>
      </c>
      <c r="H896" s="9"/>
      <c r="I896" s="9" t="s">
        <v>22</v>
      </c>
      <c r="J896" s="9"/>
      <c r="K896" s="9" t="b">
        <v>0</v>
      </c>
      <c r="L896" s="9" t="s">
        <v>1073</v>
      </c>
      <c r="M896" s="9" t="b">
        <v>0</v>
      </c>
      <c r="N896" s="9" t="s">
        <v>1072</v>
      </c>
      <c r="O896" s="9" t="s">
        <v>3476</v>
      </c>
      <c r="P896" s="7">
        <v>926</v>
      </c>
      <c r="Q896" s="7">
        <v>338</v>
      </c>
      <c r="R896" s="7">
        <v>164</v>
      </c>
      <c r="S896" s="7">
        <v>37</v>
      </c>
      <c r="T896" s="8">
        <v>5.6</v>
      </c>
      <c r="U896" s="8">
        <v>0.6</v>
      </c>
      <c r="V896" s="17">
        <v>0.6</v>
      </c>
      <c r="AD896" s="1"/>
      <c r="AE896" s="3"/>
      <c r="AF896" s="2"/>
      <c r="AG896" s="2"/>
      <c r="AH896" s="2"/>
      <c r="AI896" s="3"/>
      <c r="AJ896" s="1"/>
      <c r="AK896" s="1"/>
    </row>
    <row r="897" spans="1:37" x14ac:dyDescent="0.3">
      <c r="A897" s="14">
        <v>616</v>
      </c>
      <c r="B897" s="14">
        <v>3</v>
      </c>
      <c r="C897" s="9" t="s">
        <v>1659</v>
      </c>
      <c r="D897" s="9" t="s">
        <v>411</v>
      </c>
      <c r="E897" s="9" t="s">
        <v>2077</v>
      </c>
      <c r="F897" s="9" t="s">
        <v>2078</v>
      </c>
      <c r="G897" s="9">
        <v>1</v>
      </c>
      <c r="H897" s="9"/>
      <c r="I897" s="9"/>
      <c r="J897" s="9"/>
      <c r="K897" s="9" t="b">
        <v>0</v>
      </c>
      <c r="L897" s="9" t="s">
        <v>194</v>
      </c>
      <c r="M897" s="9" t="b">
        <v>0</v>
      </c>
      <c r="N897" s="9" t="s">
        <v>2079</v>
      </c>
      <c r="O897" s="9" t="s">
        <v>3791</v>
      </c>
      <c r="P897" s="7">
        <v>1122</v>
      </c>
      <c r="Q897" s="7">
        <v>356</v>
      </c>
      <c r="R897" s="7">
        <v>134</v>
      </c>
      <c r="S897" s="7">
        <v>36</v>
      </c>
      <c r="T897" s="8">
        <v>6.1</v>
      </c>
      <c r="U897" s="8">
        <v>0.5</v>
      </c>
      <c r="V897" s="17">
        <v>0.5</v>
      </c>
      <c r="AD897" s="1"/>
      <c r="AE897" s="3"/>
      <c r="AF897" s="2"/>
      <c r="AG897" s="2"/>
      <c r="AH897" s="2"/>
      <c r="AI897" s="3"/>
      <c r="AJ897" s="1"/>
      <c r="AK897" s="1"/>
    </row>
    <row r="898" spans="1:37" x14ac:dyDescent="0.3">
      <c r="A898" s="14">
        <v>556</v>
      </c>
      <c r="B898" s="14">
        <v>2</v>
      </c>
      <c r="C898" s="9" t="s">
        <v>1659</v>
      </c>
      <c r="D898" s="9" t="s">
        <v>180</v>
      </c>
      <c r="E898" s="9" t="s">
        <v>1888</v>
      </c>
      <c r="F898" s="9" t="s">
        <v>1889</v>
      </c>
      <c r="G898" s="9">
        <v>1</v>
      </c>
      <c r="H898" s="9"/>
      <c r="I898" s="9"/>
      <c r="J898" s="9"/>
      <c r="K898" s="9" t="b">
        <v>0</v>
      </c>
      <c r="L898" s="9" t="s">
        <v>238</v>
      </c>
      <c r="M898" s="9" t="b">
        <v>0</v>
      </c>
      <c r="N898" s="9" t="s">
        <v>1890</v>
      </c>
      <c r="O898" s="9" t="s">
        <v>3731</v>
      </c>
      <c r="P898" s="7">
        <v>1053</v>
      </c>
      <c r="Q898" s="7">
        <v>214</v>
      </c>
      <c r="R898" s="7">
        <v>100</v>
      </c>
      <c r="S898" s="7">
        <v>38</v>
      </c>
      <c r="T898" s="8">
        <v>5.8</v>
      </c>
      <c r="U898" s="8">
        <v>0.5</v>
      </c>
      <c r="V898" s="17">
        <v>0.5</v>
      </c>
      <c r="AD898" s="1"/>
      <c r="AE898" s="3"/>
      <c r="AF898" s="3"/>
      <c r="AG898" s="3"/>
      <c r="AH898" s="3"/>
      <c r="AI898" s="3"/>
      <c r="AJ898" s="1"/>
      <c r="AK898" s="1"/>
    </row>
    <row r="899" spans="1:37" x14ac:dyDescent="0.3">
      <c r="A899" s="14">
        <v>928</v>
      </c>
      <c r="B899" s="14">
        <v>2</v>
      </c>
      <c r="C899" s="9" t="s">
        <v>1659</v>
      </c>
      <c r="D899" s="9" t="s">
        <v>1457</v>
      </c>
      <c r="E899" s="9" t="s">
        <v>3031</v>
      </c>
      <c r="F899" s="9" t="s">
        <v>3032</v>
      </c>
      <c r="G899" s="9">
        <v>3</v>
      </c>
      <c r="H899" s="9"/>
      <c r="I899" s="9"/>
      <c r="J899" s="9"/>
      <c r="K899" s="9" t="b">
        <v>0</v>
      </c>
      <c r="L899" s="9" t="s">
        <v>1482</v>
      </c>
      <c r="M899" s="9" t="b">
        <v>0</v>
      </c>
      <c r="N899" s="9" t="s">
        <v>3033</v>
      </c>
      <c r="O899" s="9" t="s">
        <v>4100</v>
      </c>
      <c r="P899" s="7">
        <v>1297</v>
      </c>
      <c r="Q899" s="7">
        <v>499</v>
      </c>
      <c r="R899" s="7">
        <v>236</v>
      </c>
      <c r="S899" s="7">
        <v>48</v>
      </c>
      <c r="T899" s="8">
        <v>5.7</v>
      </c>
      <c r="U899" s="8">
        <v>0.5</v>
      </c>
      <c r="V899" s="17">
        <v>0.5</v>
      </c>
      <c r="AD899" s="1"/>
      <c r="AE899" s="3"/>
      <c r="AF899" s="3"/>
      <c r="AG899" s="3"/>
      <c r="AH899" s="3"/>
      <c r="AI899" s="3"/>
      <c r="AJ899" s="1"/>
      <c r="AK899" s="1"/>
    </row>
    <row r="900" spans="1:37" x14ac:dyDescent="0.3">
      <c r="A900" s="14">
        <v>504</v>
      </c>
      <c r="B900" s="14">
        <v>1</v>
      </c>
      <c r="C900" s="9" t="s">
        <v>1659</v>
      </c>
      <c r="D900" s="9" t="s">
        <v>1</v>
      </c>
      <c r="E900" s="9" t="s">
        <v>1732</v>
      </c>
      <c r="F900" s="9" t="s">
        <v>1733</v>
      </c>
      <c r="G900" s="9">
        <v>3</v>
      </c>
      <c r="H900" s="9"/>
      <c r="I900" s="9"/>
      <c r="J900" s="9"/>
      <c r="K900" s="9" t="b">
        <v>0</v>
      </c>
      <c r="L900" s="9" t="s">
        <v>7</v>
      </c>
      <c r="M900" s="9" t="b">
        <v>0</v>
      </c>
      <c r="N900" s="9" t="s">
        <v>1734</v>
      </c>
      <c r="O900" s="9" t="s">
        <v>3679</v>
      </c>
      <c r="P900" s="7">
        <v>1281</v>
      </c>
      <c r="Q900" s="7">
        <v>545</v>
      </c>
      <c r="R900" s="7">
        <v>291</v>
      </c>
      <c r="S900" s="7">
        <v>47</v>
      </c>
      <c r="T900" s="8">
        <v>5.5</v>
      </c>
      <c r="U900" s="8">
        <v>0.5</v>
      </c>
      <c r="V900" s="17">
        <v>0.5</v>
      </c>
      <c r="AD900" s="1"/>
      <c r="AE900" s="3"/>
      <c r="AF900" s="2"/>
      <c r="AG900" s="3"/>
      <c r="AH900" s="3"/>
      <c r="AI900" s="3"/>
      <c r="AJ900" s="1"/>
      <c r="AK900" s="1"/>
    </row>
    <row r="901" spans="1:37" x14ac:dyDescent="0.3">
      <c r="A901" s="14">
        <v>845</v>
      </c>
      <c r="B901" s="14">
        <v>1</v>
      </c>
      <c r="C901" s="9" t="s">
        <v>1659</v>
      </c>
      <c r="D901" s="9" t="s">
        <v>1208</v>
      </c>
      <c r="E901" s="9" t="s">
        <v>2779</v>
      </c>
      <c r="F901" s="9" t="s">
        <v>2780</v>
      </c>
      <c r="G901" s="9">
        <v>1</v>
      </c>
      <c r="H901" s="9"/>
      <c r="I901" s="9"/>
      <c r="J901" s="9"/>
      <c r="K901" s="9" t="b">
        <v>0</v>
      </c>
      <c r="L901" s="9" t="s">
        <v>7</v>
      </c>
      <c r="M901" s="9" t="b">
        <v>0</v>
      </c>
      <c r="N901" s="9" t="s">
        <v>2781</v>
      </c>
      <c r="O901" s="9" t="s">
        <v>4020</v>
      </c>
      <c r="P901" s="7">
        <v>1014</v>
      </c>
      <c r="Q901" s="7">
        <v>419</v>
      </c>
      <c r="R901" s="7">
        <v>161</v>
      </c>
      <c r="S901" s="7">
        <v>38</v>
      </c>
      <c r="T901" s="8">
        <v>5.8</v>
      </c>
      <c r="U901" s="8">
        <v>0.5</v>
      </c>
      <c r="V901" s="17">
        <v>0.5</v>
      </c>
      <c r="AD901" s="1"/>
      <c r="AE901" s="3"/>
      <c r="AF901" s="2"/>
      <c r="AG901" s="3"/>
      <c r="AH901" s="3"/>
      <c r="AI901" s="3"/>
      <c r="AJ901" s="1"/>
      <c r="AK901" s="1"/>
    </row>
    <row r="902" spans="1:37" x14ac:dyDescent="0.3">
      <c r="A902" s="14">
        <v>810</v>
      </c>
      <c r="B902" s="14">
        <v>1</v>
      </c>
      <c r="C902" s="9" t="s">
        <v>1659</v>
      </c>
      <c r="D902" s="9" t="s">
        <v>1077</v>
      </c>
      <c r="E902" s="9" t="s">
        <v>2674</v>
      </c>
      <c r="F902" s="9" t="s">
        <v>2675</v>
      </c>
      <c r="G902" s="9">
        <v>4</v>
      </c>
      <c r="H902" s="9"/>
      <c r="I902" s="9"/>
      <c r="J902" s="9"/>
      <c r="K902" s="9" t="b">
        <v>0</v>
      </c>
      <c r="L902" s="9" t="s">
        <v>7</v>
      </c>
      <c r="M902" s="9" t="b">
        <v>0</v>
      </c>
      <c r="N902" s="9" t="s">
        <v>2676</v>
      </c>
      <c r="O902" s="9" t="s">
        <v>3985</v>
      </c>
      <c r="P902" s="7">
        <v>1180</v>
      </c>
      <c r="Q902" s="7">
        <v>451</v>
      </c>
      <c r="R902" s="7">
        <v>243</v>
      </c>
      <c r="S902" s="7">
        <v>42</v>
      </c>
      <c r="T902" s="8">
        <v>5.5</v>
      </c>
      <c r="U902" s="8">
        <v>0.5</v>
      </c>
      <c r="V902" s="17">
        <v>0.5</v>
      </c>
      <c r="AD902" s="1"/>
      <c r="AE902" s="3"/>
      <c r="AF902" s="2"/>
      <c r="AG902" s="3"/>
      <c r="AH902" s="3"/>
      <c r="AI902" s="3"/>
      <c r="AJ902" s="1"/>
      <c r="AK902" s="1"/>
    </row>
    <row r="903" spans="1:37" x14ac:dyDescent="0.3">
      <c r="A903" s="14">
        <v>694</v>
      </c>
      <c r="B903" s="14">
        <v>3</v>
      </c>
      <c r="C903" s="9" t="s">
        <v>1659</v>
      </c>
      <c r="D903" s="9" t="s">
        <v>411</v>
      </c>
      <c r="E903" s="9" t="s">
        <v>2321</v>
      </c>
      <c r="F903" s="9" t="s">
        <v>2322</v>
      </c>
      <c r="G903" s="9">
        <v>1</v>
      </c>
      <c r="H903" s="9"/>
      <c r="I903" s="9"/>
      <c r="J903" s="9"/>
      <c r="K903" s="9" t="b">
        <v>0</v>
      </c>
      <c r="L903" s="9" t="s">
        <v>425</v>
      </c>
      <c r="M903" s="9" t="b">
        <v>0</v>
      </c>
      <c r="N903" s="9" t="s">
        <v>2323</v>
      </c>
      <c r="O903" s="9" t="s">
        <v>3869</v>
      </c>
      <c r="P903" s="7">
        <v>875</v>
      </c>
      <c r="Q903" s="7">
        <v>320</v>
      </c>
      <c r="R903" s="7">
        <v>142</v>
      </c>
      <c r="S903" s="7">
        <v>30</v>
      </c>
      <c r="T903" s="8">
        <v>6</v>
      </c>
      <c r="U903" s="8">
        <v>0.5</v>
      </c>
      <c r="V903" s="17">
        <v>0.5</v>
      </c>
      <c r="AD903" s="1"/>
      <c r="AE903" s="3"/>
      <c r="AF903" s="3"/>
      <c r="AG903" s="3"/>
      <c r="AH903" s="3"/>
      <c r="AI903" s="3"/>
      <c r="AJ903" s="1"/>
      <c r="AK903" s="1"/>
    </row>
    <row r="904" spans="1:37" x14ac:dyDescent="0.3">
      <c r="A904" s="14">
        <v>514</v>
      </c>
      <c r="B904" s="14">
        <v>1</v>
      </c>
      <c r="C904" s="9" t="s">
        <v>1659</v>
      </c>
      <c r="D904" s="9" t="s">
        <v>1</v>
      </c>
      <c r="E904" s="9" t="s">
        <v>1762</v>
      </c>
      <c r="F904" s="9" t="s">
        <v>1763</v>
      </c>
      <c r="G904" s="9">
        <v>1</v>
      </c>
      <c r="H904" s="9"/>
      <c r="I904" s="9"/>
      <c r="J904" s="9"/>
      <c r="K904" s="9" t="b">
        <v>0</v>
      </c>
      <c r="L904" s="9" t="s">
        <v>7</v>
      </c>
      <c r="M904" s="9" t="b">
        <v>0</v>
      </c>
      <c r="N904" s="9" t="s">
        <v>1764</v>
      </c>
      <c r="O904" s="9" t="s">
        <v>3689</v>
      </c>
      <c r="P904" s="7">
        <v>1234</v>
      </c>
      <c r="Q904" s="7">
        <v>510</v>
      </c>
      <c r="R904" s="7">
        <v>208</v>
      </c>
      <c r="S904" s="7">
        <v>44</v>
      </c>
      <c r="T904" s="8">
        <v>6</v>
      </c>
      <c r="U904" s="8">
        <v>0.5</v>
      </c>
      <c r="V904" s="17">
        <v>0.5</v>
      </c>
      <c r="AD904" s="1"/>
      <c r="AE904" s="3"/>
      <c r="AF904" s="2"/>
      <c r="AG904" s="3"/>
      <c r="AH904" s="3"/>
      <c r="AI904" s="3"/>
      <c r="AJ904" s="1"/>
      <c r="AK904" s="1"/>
    </row>
    <row r="905" spans="1:37" x14ac:dyDescent="0.3">
      <c r="A905" s="14">
        <v>517</v>
      </c>
      <c r="B905" s="14">
        <v>1</v>
      </c>
      <c r="C905" s="9" t="s">
        <v>1659</v>
      </c>
      <c r="D905" s="9" t="s">
        <v>1</v>
      </c>
      <c r="E905" s="9" t="s">
        <v>1771</v>
      </c>
      <c r="F905" s="9" t="s">
        <v>1772</v>
      </c>
      <c r="G905" s="9">
        <v>1</v>
      </c>
      <c r="H905" s="9"/>
      <c r="I905" s="9"/>
      <c r="J905" s="9"/>
      <c r="K905" s="9" t="b">
        <v>0</v>
      </c>
      <c r="L905" s="9" t="s">
        <v>7</v>
      </c>
      <c r="M905" s="9" t="b">
        <v>0</v>
      </c>
      <c r="N905" s="9" t="s">
        <v>1773</v>
      </c>
      <c r="O905" s="9" t="s">
        <v>3692</v>
      </c>
      <c r="P905" s="7">
        <v>1160</v>
      </c>
      <c r="Q905" s="7">
        <v>397</v>
      </c>
      <c r="R905" s="7">
        <v>135</v>
      </c>
      <c r="S905" s="7">
        <v>37</v>
      </c>
      <c r="T905" s="8">
        <v>6.1</v>
      </c>
      <c r="U905" s="8">
        <v>0.5</v>
      </c>
      <c r="V905" s="17">
        <v>0.5</v>
      </c>
      <c r="AD905" s="1"/>
      <c r="AE905" s="3"/>
      <c r="AF905" s="2"/>
      <c r="AG905" s="3"/>
      <c r="AH905" s="3"/>
      <c r="AI905" s="3"/>
      <c r="AJ905" s="1"/>
      <c r="AK905" s="1"/>
    </row>
    <row r="906" spans="1:37" x14ac:dyDescent="0.3">
      <c r="A906" s="14">
        <v>519</v>
      </c>
      <c r="B906" s="14">
        <v>1</v>
      </c>
      <c r="C906" s="9" t="s">
        <v>1659</v>
      </c>
      <c r="D906" s="9" t="s">
        <v>1</v>
      </c>
      <c r="E906" s="9" t="s">
        <v>1777</v>
      </c>
      <c r="F906" s="9" t="s">
        <v>1778</v>
      </c>
      <c r="G906" s="9">
        <v>4</v>
      </c>
      <c r="H906" s="9"/>
      <c r="I906" s="9"/>
      <c r="J906" s="9"/>
      <c r="K906" s="9" t="b">
        <v>0</v>
      </c>
      <c r="L906" s="9" t="s">
        <v>7</v>
      </c>
      <c r="M906" s="9" t="b">
        <v>0</v>
      </c>
      <c r="N906" s="9" t="s">
        <v>1779</v>
      </c>
      <c r="O906" s="9" t="s">
        <v>3694</v>
      </c>
      <c r="P906" s="7">
        <v>1175</v>
      </c>
      <c r="Q906" s="7">
        <v>325</v>
      </c>
      <c r="R906" s="7">
        <v>168</v>
      </c>
      <c r="S906" s="7">
        <v>40</v>
      </c>
      <c r="T906" s="8">
        <v>5.9</v>
      </c>
      <c r="U906" s="8">
        <v>0.5</v>
      </c>
      <c r="V906" s="17">
        <v>0.5</v>
      </c>
      <c r="AD906" s="1"/>
      <c r="AE906" s="3"/>
      <c r="AF906" s="2"/>
      <c r="AG906" s="2"/>
      <c r="AH906" s="2"/>
      <c r="AI906" s="3"/>
      <c r="AJ906" s="1"/>
      <c r="AK906" s="1"/>
    </row>
    <row r="907" spans="1:37" x14ac:dyDescent="0.3">
      <c r="A907" s="14">
        <v>950</v>
      </c>
      <c r="B907" s="14">
        <v>2</v>
      </c>
      <c r="C907" s="9" t="s">
        <v>1659</v>
      </c>
      <c r="D907" s="9" t="s">
        <v>1457</v>
      </c>
      <c r="E907" s="9" t="s">
        <v>3098</v>
      </c>
      <c r="F907" s="9" t="s">
        <v>3099</v>
      </c>
      <c r="G907" s="9">
        <v>1</v>
      </c>
      <c r="H907" s="9"/>
      <c r="I907" s="9"/>
      <c r="J907" s="9"/>
      <c r="K907" s="9" t="b">
        <v>0</v>
      </c>
      <c r="L907" s="9" t="s">
        <v>3101</v>
      </c>
      <c r="M907" s="9" t="b">
        <v>0</v>
      </c>
      <c r="N907" s="9" t="s">
        <v>3100</v>
      </c>
      <c r="O907" s="9" t="s">
        <v>4122</v>
      </c>
      <c r="P907" s="7">
        <v>1241</v>
      </c>
      <c r="Q907" s="7">
        <v>565</v>
      </c>
      <c r="R907" s="7">
        <v>242</v>
      </c>
      <c r="S907" s="7">
        <v>44</v>
      </c>
      <c r="T907" s="8">
        <v>5.5</v>
      </c>
      <c r="U907" s="8">
        <v>0.5</v>
      </c>
      <c r="V907" s="17">
        <v>0.5</v>
      </c>
      <c r="AD907" s="1"/>
      <c r="AE907" s="3"/>
      <c r="AF907" s="2"/>
      <c r="AG907" s="2"/>
      <c r="AH907" s="3"/>
      <c r="AI907" s="3"/>
      <c r="AJ907" s="1"/>
      <c r="AK907" s="1"/>
    </row>
    <row r="908" spans="1:37" x14ac:dyDescent="0.3">
      <c r="A908" s="14">
        <v>853</v>
      </c>
      <c r="B908" s="14">
        <v>1</v>
      </c>
      <c r="C908" s="9" t="s">
        <v>1659</v>
      </c>
      <c r="D908" s="9" t="s">
        <v>1208</v>
      </c>
      <c r="E908" s="9" t="s">
        <v>2803</v>
      </c>
      <c r="F908" s="9" t="s">
        <v>2804</v>
      </c>
      <c r="G908" s="9">
        <v>4</v>
      </c>
      <c r="H908" s="9"/>
      <c r="I908" s="9"/>
      <c r="J908" s="9"/>
      <c r="K908" s="9" t="b">
        <v>0</v>
      </c>
      <c r="L908" s="9" t="s">
        <v>7</v>
      </c>
      <c r="M908" s="9" t="b">
        <v>0</v>
      </c>
      <c r="N908" s="9" t="s">
        <v>2805</v>
      </c>
      <c r="O908" s="9" t="s">
        <v>4028</v>
      </c>
      <c r="P908" s="7">
        <v>1300</v>
      </c>
      <c r="Q908" s="7">
        <v>330</v>
      </c>
      <c r="R908" s="7">
        <v>171</v>
      </c>
      <c r="S908" s="7">
        <v>44</v>
      </c>
      <c r="T908" s="8">
        <v>5.9</v>
      </c>
      <c r="U908" s="8">
        <v>0.5</v>
      </c>
      <c r="V908" s="17">
        <v>0.5</v>
      </c>
      <c r="AD908" s="1"/>
      <c r="AE908" s="3"/>
      <c r="AF908" s="3"/>
      <c r="AG908" s="3"/>
      <c r="AH908" s="3"/>
      <c r="AI908" s="3"/>
      <c r="AJ908" s="1"/>
      <c r="AK908" s="1"/>
    </row>
    <row r="909" spans="1:37" x14ac:dyDescent="0.3">
      <c r="A909" s="14">
        <v>530</v>
      </c>
      <c r="B909" s="14">
        <v>1</v>
      </c>
      <c r="C909" s="9" t="s">
        <v>1659</v>
      </c>
      <c r="D909" s="9" t="s">
        <v>1</v>
      </c>
      <c r="E909" s="9" t="s">
        <v>1810</v>
      </c>
      <c r="F909" s="9" t="s">
        <v>1811</v>
      </c>
      <c r="G909" s="9">
        <v>3</v>
      </c>
      <c r="H909" s="9"/>
      <c r="I909" s="9"/>
      <c r="J909" s="9"/>
      <c r="K909" s="9" t="b">
        <v>0</v>
      </c>
      <c r="L909" s="9" t="s">
        <v>7</v>
      </c>
      <c r="M909" s="9" t="b">
        <v>0</v>
      </c>
      <c r="N909" s="9" t="s">
        <v>1812</v>
      </c>
      <c r="O909" s="9" t="s">
        <v>3705</v>
      </c>
      <c r="P909" s="7">
        <v>1283</v>
      </c>
      <c r="Q909" s="7">
        <v>449</v>
      </c>
      <c r="R909" s="7">
        <v>207</v>
      </c>
      <c r="S909" s="7">
        <v>47</v>
      </c>
      <c r="T909" s="8">
        <v>6.1</v>
      </c>
      <c r="U909" s="8">
        <v>0.5</v>
      </c>
      <c r="V909" s="17">
        <v>0.5</v>
      </c>
      <c r="AD909" s="1"/>
      <c r="AE909" s="3"/>
      <c r="AF909" s="2"/>
      <c r="AG909" s="3"/>
      <c r="AH909" s="3"/>
      <c r="AI909" s="3"/>
      <c r="AJ909" s="1"/>
      <c r="AK909" s="1"/>
    </row>
    <row r="910" spans="1:37" x14ac:dyDescent="0.3">
      <c r="A910" s="14">
        <v>541</v>
      </c>
      <c r="B910" s="14">
        <v>1</v>
      </c>
      <c r="C910" s="9" t="s">
        <v>1659</v>
      </c>
      <c r="D910" s="9" t="s">
        <v>1</v>
      </c>
      <c r="E910" s="9" t="s">
        <v>1842</v>
      </c>
      <c r="F910" s="10" t="s">
        <v>1843</v>
      </c>
      <c r="G910" s="9">
        <v>4</v>
      </c>
      <c r="H910" s="9"/>
      <c r="I910" s="9"/>
      <c r="J910" s="9"/>
      <c r="K910" s="9" t="b">
        <v>0</v>
      </c>
      <c r="L910" s="9" t="s">
        <v>7</v>
      </c>
      <c r="M910" s="9" t="b">
        <v>0</v>
      </c>
      <c r="N910" s="9" t="s">
        <v>1844</v>
      </c>
      <c r="O910" s="9" t="s">
        <v>3716</v>
      </c>
      <c r="P910" s="7">
        <v>1289</v>
      </c>
      <c r="Q910" s="7">
        <v>449</v>
      </c>
      <c r="R910" s="7">
        <v>164</v>
      </c>
      <c r="S910" s="7">
        <v>47</v>
      </c>
      <c r="T910" s="8">
        <v>6</v>
      </c>
      <c r="U910" s="8">
        <v>0.5</v>
      </c>
      <c r="V910" s="17">
        <v>0.5</v>
      </c>
      <c r="AD910" s="1"/>
      <c r="AE910" s="3"/>
      <c r="AF910" s="2"/>
      <c r="AG910" s="2"/>
      <c r="AH910" s="2"/>
      <c r="AI910" s="3"/>
      <c r="AJ910" s="1"/>
      <c r="AK910" s="1"/>
    </row>
    <row r="911" spans="1:37" x14ac:dyDescent="0.3">
      <c r="A911" s="14">
        <v>421</v>
      </c>
      <c r="B911" s="14">
        <v>2</v>
      </c>
      <c r="C911" s="9" t="s">
        <v>0</v>
      </c>
      <c r="D911" s="9" t="s">
        <v>1457</v>
      </c>
      <c r="E911" s="9" t="s">
        <v>1462</v>
      </c>
      <c r="F911" s="9" t="s">
        <v>1463</v>
      </c>
      <c r="G911" s="9">
        <v>1</v>
      </c>
      <c r="H911" s="9"/>
      <c r="I911" s="9" t="s">
        <v>5</v>
      </c>
      <c r="J911" s="9">
        <v>1</v>
      </c>
      <c r="K911" s="9" t="b">
        <v>0</v>
      </c>
      <c r="L911" s="9" t="s">
        <v>1465</v>
      </c>
      <c r="M911" s="9" t="b">
        <v>0</v>
      </c>
      <c r="N911" s="9" t="s">
        <v>1464</v>
      </c>
      <c r="O911" s="9" t="s">
        <v>3596</v>
      </c>
      <c r="P911" s="7">
        <v>1144</v>
      </c>
      <c r="Q911" s="7">
        <v>403</v>
      </c>
      <c r="R911" s="7">
        <v>151</v>
      </c>
      <c r="S911" s="7">
        <v>44</v>
      </c>
      <c r="T911" s="8">
        <v>6</v>
      </c>
      <c r="U911" s="8">
        <v>0.5</v>
      </c>
      <c r="V911" s="17">
        <v>0.5</v>
      </c>
      <c r="AD911" s="1"/>
      <c r="AE911" s="3"/>
      <c r="AF911" s="2"/>
      <c r="AG911" s="3"/>
      <c r="AH911" s="3"/>
      <c r="AI911" s="3"/>
      <c r="AJ911" s="1"/>
      <c r="AK911" s="1"/>
    </row>
    <row r="912" spans="1:37" x14ac:dyDescent="0.3">
      <c r="A912" s="14">
        <v>232</v>
      </c>
      <c r="B912" s="14">
        <v>3</v>
      </c>
      <c r="C912" s="9" t="s">
        <v>0</v>
      </c>
      <c r="D912" s="9" t="s">
        <v>411</v>
      </c>
      <c r="E912" s="9" t="s">
        <v>849</v>
      </c>
      <c r="F912" s="9" t="s">
        <v>850</v>
      </c>
      <c r="G912" s="9">
        <v>1</v>
      </c>
      <c r="H912" s="9"/>
      <c r="I912" s="9"/>
      <c r="J912" s="9"/>
      <c r="K912" s="9" t="b">
        <v>0</v>
      </c>
      <c r="L912" s="9" t="s">
        <v>340</v>
      </c>
      <c r="M912" s="9" t="b">
        <v>1</v>
      </c>
      <c r="N912" s="9" t="s">
        <v>851</v>
      </c>
      <c r="O912" s="9" t="s">
        <v>3408</v>
      </c>
      <c r="P912" s="7">
        <v>1073</v>
      </c>
      <c r="Q912" s="7">
        <v>148</v>
      </c>
      <c r="R912" s="7">
        <v>102</v>
      </c>
      <c r="S912" s="7">
        <v>36</v>
      </c>
      <c r="T912" s="8">
        <v>6.1</v>
      </c>
      <c r="U912" s="8">
        <v>0.5</v>
      </c>
      <c r="V912" s="17">
        <v>0.5</v>
      </c>
      <c r="AD912" s="1"/>
      <c r="AE912" s="3"/>
      <c r="AF912" s="3"/>
      <c r="AG912" s="3"/>
      <c r="AH912" s="3"/>
      <c r="AI912" s="3"/>
      <c r="AJ912" s="1"/>
      <c r="AK912" s="1"/>
    </row>
    <row r="913" spans="1:37" x14ac:dyDescent="0.3">
      <c r="A913" s="14">
        <v>234</v>
      </c>
      <c r="B913" s="14">
        <v>3</v>
      </c>
      <c r="C913" s="9" t="s">
        <v>0</v>
      </c>
      <c r="D913" s="9" t="s">
        <v>411</v>
      </c>
      <c r="E913" s="9" t="s">
        <v>855</v>
      </c>
      <c r="F913" s="9" t="s">
        <v>856</v>
      </c>
      <c r="G913" s="9">
        <v>1</v>
      </c>
      <c r="H913" s="9" t="s">
        <v>607</v>
      </c>
      <c r="I913" s="9"/>
      <c r="J913" s="9"/>
      <c r="K913" s="9" t="b">
        <v>0</v>
      </c>
      <c r="L913" s="9" t="s">
        <v>275</v>
      </c>
      <c r="M913" s="9" t="b">
        <v>0</v>
      </c>
      <c r="N913" s="9" t="s">
        <v>857</v>
      </c>
      <c r="O913" s="9" t="s">
        <v>3410</v>
      </c>
      <c r="P913" s="7">
        <v>1199</v>
      </c>
      <c r="Q913" s="7">
        <v>245</v>
      </c>
      <c r="R913" s="7">
        <v>130</v>
      </c>
      <c r="S913" s="7">
        <v>43</v>
      </c>
      <c r="T913" s="8">
        <v>6.1</v>
      </c>
      <c r="U913" s="8">
        <v>0.5</v>
      </c>
      <c r="V913" s="17">
        <v>0.5</v>
      </c>
      <c r="AD913" s="1"/>
      <c r="AE913" s="3"/>
      <c r="AF913" s="3"/>
      <c r="AG913" s="3"/>
      <c r="AH913" s="3"/>
      <c r="AI913" s="3"/>
      <c r="AJ913" s="1"/>
      <c r="AK913" s="1"/>
    </row>
    <row r="914" spans="1:37" x14ac:dyDescent="0.3">
      <c r="A914" s="14">
        <v>44</v>
      </c>
      <c r="B914" s="14">
        <v>1</v>
      </c>
      <c r="C914" s="9" t="s">
        <v>0</v>
      </c>
      <c r="D914" s="9" t="s">
        <v>1</v>
      </c>
      <c r="E914" s="9" t="s">
        <v>156</v>
      </c>
      <c r="F914" s="9" t="s">
        <v>157</v>
      </c>
      <c r="G914" s="9">
        <v>1</v>
      </c>
      <c r="H914" s="9"/>
      <c r="I914" s="9" t="s">
        <v>22</v>
      </c>
      <c r="J914" s="9"/>
      <c r="K914" s="9" t="b">
        <v>0</v>
      </c>
      <c r="L914" s="9" t="s">
        <v>7</v>
      </c>
      <c r="M914" s="9" t="b">
        <v>0</v>
      </c>
      <c r="N914" s="9" t="s">
        <v>158</v>
      </c>
      <c r="O914" s="9" t="s">
        <v>3220</v>
      </c>
      <c r="P914" s="7">
        <v>1160</v>
      </c>
      <c r="Q914" s="7">
        <v>360</v>
      </c>
      <c r="R914" s="7">
        <v>195</v>
      </c>
      <c r="S914" s="7">
        <v>42</v>
      </c>
      <c r="T914" s="8">
        <v>5.9</v>
      </c>
      <c r="U914" s="8">
        <v>0.5</v>
      </c>
      <c r="V914" s="17">
        <v>0.5</v>
      </c>
      <c r="AD914" s="1"/>
      <c r="AE914" s="3"/>
      <c r="AF914" s="2"/>
      <c r="AG914" s="2"/>
      <c r="AH914" s="2"/>
      <c r="AI914" s="3"/>
      <c r="AJ914" s="1"/>
      <c r="AK914" s="1"/>
    </row>
    <row r="915" spans="1:37" x14ac:dyDescent="0.3">
      <c r="A915" s="14">
        <v>108</v>
      </c>
      <c r="B915" s="14">
        <v>2</v>
      </c>
      <c r="C915" s="9" t="s">
        <v>0</v>
      </c>
      <c r="D915" s="9" t="s">
        <v>180</v>
      </c>
      <c r="E915" s="9" t="s">
        <v>408</v>
      </c>
      <c r="F915" s="9" t="s">
        <v>409</v>
      </c>
      <c r="G915" s="9">
        <v>1</v>
      </c>
      <c r="H915" s="9"/>
      <c r="I915" s="9" t="s">
        <v>22</v>
      </c>
      <c r="J915" s="9"/>
      <c r="K915" s="9" t="b">
        <v>0</v>
      </c>
      <c r="L915" s="9"/>
      <c r="M915" s="9" t="b">
        <v>0</v>
      </c>
      <c r="N915" s="9" t="s">
        <v>410</v>
      </c>
      <c r="O915" s="9" t="s">
        <v>3284</v>
      </c>
      <c r="P915" s="7">
        <v>1330</v>
      </c>
      <c r="Q915" s="7">
        <v>580</v>
      </c>
      <c r="R915" s="7">
        <v>198</v>
      </c>
      <c r="S915" s="7">
        <v>47</v>
      </c>
      <c r="T915" s="8">
        <v>5.6</v>
      </c>
      <c r="U915" s="8">
        <v>0.5</v>
      </c>
      <c r="V915" s="17">
        <v>0.5</v>
      </c>
      <c r="AD915" s="1"/>
      <c r="AE915" s="3"/>
      <c r="AF915" s="2"/>
      <c r="AG915" s="2"/>
      <c r="AH915" s="3"/>
      <c r="AI915" s="3"/>
      <c r="AJ915" s="1"/>
      <c r="AK915" s="1"/>
    </row>
    <row r="916" spans="1:37" x14ac:dyDescent="0.3">
      <c r="A916" s="14">
        <v>339</v>
      </c>
      <c r="B916" s="14">
        <v>1</v>
      </c>
      <c r="C916" s="9" t="s">
        <v>0</v>
      </c>
      <c r="D916" s="9" t="s">
        <v>1077</v>
      </c>
      <c r="E916" s="9" t="s">
        <v>1202</v>
      </c>
      <c r="F916" s="9" t="s">
        <v>1203</v>
      </c>
      <c r="G916" s="9">
        <v>1</v>
      </c>
      <c r="H916" s="9"/>
      <c r="I916" s="9" t="s">
        <v>171</v>
      </c>
      <c r="J916" s="9">
        <v>1</v>
      </c>
      <c r="K916" s="9" t="b">
        <v>0</v>
      </c>
      <c r="L916" s="9" t="s">
        <v>7</v>
      </c>
      <c r="M916" s="9" t="b">
        <v>0</v>
      </c>
      <c r="N916" s="9" t="s">
        <v>1204</v>
      </c>
      <c r="O916" s="9" t="s">
        <v>3515</v>
      </c>
      <c r="P916" s="7">
        <v>1209</v>
      </c>
      <c r="Q916" s="7">
        <v>464</v>
      </c>
      <c r="R916" s="7">
        <v>175</v>
      </c>
      <c r="S916" s="7">
        <v>41</v>
      </c>
      <c r="T916" s="8">
        <v>5.6</v>
      </c>
      <c r="U916" s="8">
        <v>0.5</v>
      </c>
      <c r="V916" s="17">
        <v>0.5</v>
      </c>
      <c r="AD916" s="1"/>
      <c r="AE916" s="3"/>
      <c r="AF916" s="2"/>
      <c r="AG916" s="2"/>
      <c r="AH916" s="3"/>
      <c r="AI916" s="3"/>
      <c r="AJ916" s="1"/>
      <c r="AK916" s="1"/>
    </row>
    <row r="917" spans="1:37" x14ac:dyDescent="0.3">
      <c r="A917" s="14">
        <v>480</v>
      </c>
      <c r="B917" s="14">
        <v>1</v>
      </c>
      <c r="C917" s="9" t="s">
        <v>1659</v>
      </c>
      <c r="D917" s="9" t="s">
        <v>1</v>
      </c>
      <c r="E917" s="9" t="s">
        <v>1660</v>
      </c>
      <c r="F917" s="9" t="s">
        <v>1661</v>
      </c>
      <c r="G917" s="9">
        <v>3</v>
      </c>
      <c r="H917" s="9"/>
      <c r="I917" s="9"/>
      <c r="J917" s="9"/>
      <c r="K917" s="9" t="b">
        <v>0</v>
      </c>
      <c r="L917" s="9" t="s">
        <v>7</v>
      </c>
      <c r="M917" s="9" t="b">
        <v>0</v>
      </c>
      <c r="N917" s="9" t="s">
        <v>1662</v>
      </c>
      <c r="O917" s="9" t="s">
        <v>3655</v>
      </c>
      <c r="P917" s="7">
        <v>1075</v>
      </c>
      <c r="Q917" s="7">
        <v>369</v>
      </c>
      <c r="R917" s="7">
        <v>99</v>
      </c>
      <c r="S917" s="7">
        <v>29</v>
      </c>
      <c r="T917" s="8">
        <v>6</v>
      </c>
      <c r="U917" s="8">
        <v>0.4</v>
      </c>
      <c r="V917" s="17">
        <v>0.4</v>
      </c>
      <c r="AD917" s="1"/>
      <c r="AE917" s="3"/>
      <c r="AF917" s="2"/>
      <c r="AG917" s="2"/>
      <c r="AH917" s="3"/>
      <c r="AI917" s="3"/>
      <c r="AJ917" s="1"/>
      <c r="AK917" s="1"/>
    </row>
    <row r="918" spans="1:37" x14ac:dyDescent="0.3">
      <c r="A918" s="14">
        <v>832</v>
      </c>
      <c r="B918" s="14">
        <v>1</v>
      </c>
      <c r="C918" s="9" t="s">
        <v>1659</v>
      </c>
      <c r="D918" s="9" t="s">
        <v>1208</v>
      </c>
      <c r="E918" s="9" t="s">
        <v>2740</v>
      </c>
      <c r="F918" s="9" t="s">
        <v>2741</v>
      </c>
      <c r="G918" s="9">
        <v>4</v>
      </c>
      <c r="H918" s="9"/>
      <c r="I918" s="9"/>
      <c r="J918" s="9"/>
      <c r="K918" s="9" t="b">
        <v>0</v>
      </c>
      <c r="L918" s="9" t="s">
        <v>7</v>
      </c>
      <c r="M918" s="9" t="b">
        <v>0</v>
      </c>
      <c r="N918" s="9" t="s">
        <v>2742</v>
      </c>
      <c r="O918" s="9" t="s">
        <v>4007</v>
      </c>
      <c r="P918" s="7">
        <v>1181</v>
      </c>
      <c r="Q918" s="7">
        <v>409</v>
      </c>
      <c r="R918" s="7">
        <v>149</v>
      </c>
      <c r="S918" s="7">
        <v>36</v>
      </c>
      <c r="T918" s="8">
        <v>6.2</v>
      </c>
      <c r="U918" s="8">
        <v>0.4</v>
      </c>
      <c r="V918" s="17">
        <v>0.4</v>
      </c>
      <c r="AD918" s="1"/>
      <c r="AE918" s="3"/>
      <c r="AF918" s="2"/>
      <c r="AG918" s="3"/>
      <c r="AH918" s="3"/>
      <c r="AI918" s="3"/>
      <c r="AJ918" s="1"/>
      <c r="AK918" s="1"/>
    </row>
    <row r="919" spans="1:37" x14ac:dyDescent="0.3">
      <c r="A919" s="14">
        <v>835</v>
      </c>
      <c r="B919" s="14">
        <v>1</v>
      </c>
      <c r="C919" s="9" t="s">
        <v>1659</v>
      </c>
      <c r="D919" s="9" t="s">
        <v>1208</v>
      </c>
      <c r="E919" s="9" t="s">
        <v>2749</v>
      </c>
      <c r="F919" s="9" t="s">
        <v>2750</v>
      </c>
      <c r="G919" s="9">
        <v>4</v>
      </c>
      <c r="H919" s="9"/>
      <c r="I919" s="9"/>
      <c r="J919" s="9"/>
      <c r="K919" s="9" t="b">
        <v>0</v>
      </c>
      <c r="L919" s="9" t="s">
        <v>7</v>
      </c>
      <c r="M919" s="9" t="b">
        <v>1</v>
      </c>
      <c r="N919" s="9" t="s">
        <v>2751</v>
      </c>
      <c r="O919" s="9" t="s">
        <v>4010</v>
      </c>
      <c r="P919" s="7">
        <v>1190</v>
      </c>
      <c r="Q919" s="7">
        <v>368</v>
      </c>
      <c r="R919" s="7">
        <v>106</v>
      </c>
      <c r="S919" s="7">
        <v>32</v>
      </c>
      <c r="T919" s="8">
        <v>6</v>
      </c>
      <c r="U919" s="8">
        <v>0.4</v>
      </c>
      <c r="V919" s="17">
        <v>0.4</v>
      </c>
      <c r="AD919" s="1"/>
      <c r="AE919" s="3"/>
      <c r="AF919" s="2"/>
      <c r="AG919" s="2"/>
      <c r="AH919" s="2"/>
      <c r="AI919" s="3"/>
      <c r="AJ919" s="1"/>
      <c r="AK919" s="1"/>
    </row>
    <row r="920" spans="1:37" x14ac:dyDescent="0.3">
      <c r="A920" s="14">
        <v>919</v>
      </c>
      <c r="B920" s="14">
        <v>2</v>
      </c>
      <c r="C920" s="9" t="s">
        <v>1659</v>
      </c>
      <c r="D920" s="9" t="s">
        <v>1457</v>
      </c>
      <c r="E920" s="9" t="s">
        <v>3001</v>
      </c>
      <c r="F920" s="9" t="s">
        <v>3002</v>
      </c>
      <c r="G920" s="9">
        <v>3</v>
      </c>
      <c r="H920" s="9"/>
      <c r="I920" s="9"/>
      <c r="J920" s="9"/>
      <c r="K920" s="9" t="b">
        <v>0</v>
      </c>
      <c r="L920" s="9" t="s">
        <v>286</v>
      </c>
      <c r="M920" s="9" t="b">
        <v>0</v>
      </c>
      <c r="N920" s="9" t="s">
        <v>3003</v>
      </c>
      <c r="O920" s="9" t="s">
        <v>4091</v>
      </c>
      <c r="P920" s="7">
        <v>1253</v>
      </c>
      <c r="Q920" s="7">
        <v>363</v>
      </c>
      <c r="R920" s="7">
        <v>153</v>
      </c>
      <c r="S920" s="7">
        <v>33</v>
      </c>
      <c r="T920" s="8">
        <v>6</v>
      </c>
      <c r="U920" s="8">
        <v>0.4</v>
      </c>
      <c r="V920" s="17">
        <v>0.4</v>
      </c>
      <c r="AD920" s="1"/>
      <c r="AE920" s="3"/>
      <c r="AF920" s="2"/>
      <c r="AG920" s="3"/>
      <c r="AH920" s="3"/>
      <c r="AI920" s="3"/>
      <c r="AJ920" s="1"/>
      <c r="AK920" s="1"/>
    </row>
    <row r="921" spans="1:37" x14ac:dyDescent="0.3">
      <c r="A921" s="14">
        <v>493</v>
      </c>
      <c r="B921" s="14">
        <v>1</v>
      </c>
      <c r="C921" s="9" t="s">
        <v>1659</v>
      </c>
      <c r="D921" s="9" t="s">
        <v>1</v>
      </c>
      <c r="E921" s="9" t="s">
        <v>1699</v>
      </c>
      <c r="F921" s="9" t="s">
        <v>1700</v>
      </c>
      <c r="G921" s="9">
        <v>4</v>
      </c>
      <c r="H921" s="9"/>
      <c r="I921" s="9"/>
      <c r="J921" s="9"/>
      <c r="K921" s="9" t="b">
        <v>0</v>
      </c>
      <c r="L921" s="9" t="s">
        <v>7</v>
      </c>
      <c r="M921" s="9" t="b">
        <v>0</v>
      </c>
      <c r="N921" s="9" t="s">
        <v>1701</v>
      </c>
      <c r="O921" s="9" t="s">
        <v>3668</v>
      </c>
      <c r="P921" s="7">
        <v>1054</v>
      </c>
      <c r="Q921" s="7">
        <v>388</v>
      </c>
      <c r="R921" s="7">
        <v>103</v>
      </c>
      <c r="S921" s="7">
        <v>28</v>
      </c>
      <c r="T921" s="8">
        <v>6.1</v>
      </c>
      <c r="U921" s="8">
        <v>0.4</v>
      </c>
      <c r="V921" s="17">
        <v>0.4</v>
      </c>
      <c r="AD921" s="1"/>
      <c r="AE921" s="3"/>
      <c r="AF921" s="2"/>
      <c r="AG921" s="3"/>
      <c r="AH921" s="3"/>
      <c r="AI921" s="3"/>
      <c r="AJ921" s="1"/>
      <c r="AK921" s="1"/>
    </row>
    <row r="922" spans="1:37" x14ac:dyDescent="0.3">
      <c r="A922" s="14">
        <v>501</v>
      </c>
      <c r="B922" s="14">
        <v>1</v>
      </c>
      <c r="C922" s="9" t="s">
        <v>1659</v>
      </c>
      <c r="D922" s="9" t="s">
        <v>1</v>
      </c>
      <c r="E922" s="9" t="s">
        <v>1723</v>
      </c>
      <c r="F922" s="9" t="s">
        <v>1724</v>
      </c>
      <c r="G922" s="9">
        <v>3</v>
      </c>
      <c r="H922" s="9"/>
      <c r="I922" s="9"/>
      <c r="J922" s="9"/>
      <c r="K922" s="9" t="b">
        <v>0</v>
      </c>
      <c r="L922" s="9" t="s">
        <v>7</v>
      </c>
      <c r="M922" s="9" t="b">
        <v>1</v>
      </c>
      <c r="N922" s="9" t="s">
        <v>1725</v>
      </c>
      <c r="O922" s="9" t="s">
        <v>3676</v>
      </c>
      <c r="P922" s="7">
        <v>1285</v>
      </c>
      <c r="Q922" s="7">
        <v>486</v>
      </c>
      <c r="R922" s="7">
        <v>119</v>
      </c>
      <c r="S922" s="7">
        <v>36</v>
      </c>
      <c r="T922" s="8">
        <v>6.1</v>
      </c>
      <c r="U922" s="8">
        <v>0.4</v>
      </c>
      <c r="V922" s="17">
        <v>0.4</v>
      </c>
      <c r="AD922" s="1"/>
      <c r="AE922" s="3"/>
      <c r="AF922" s="2"/>
      <c r="AG922" s="3"/>
      <c r="AH922" s="3"/>
      <c r="AI922" s="3"/>
      <c r="AJ922" s="1"/>
      <c r="AK922" s="1"/>
    </row>
    <row r="923" spans="1:37" x14ac:dyDescent="0.3">
      <c r="A923" s="14">
        <v>934</v>
      </c>
      <c r="B923" s="14">
        <v>2</v>
      </c>
      <c r="C923" s="9" t="s">
        <v>1659</v>
      </c>
      <c r="D923" s="9" t="s">
        <v>1457</v>
      </c>
      <c r="E923" s="9" t="s">
        <v>3049</v>
      </c>
      <c r="F923" s="9" t="s">
        <v>3050</v>
      </c>
      <c r="G923" s="9">
        <v>1</v>
      </c>
      <c r="H923" s="9"/>
      <c r="I923" s="9"/>
      <c r="J923" s="9"/>
      <c r="K923" s="9" t="b">
        <v>0</v>
      </c>
      <c r="L923" s="9" t="s">
        <v>238</v>
      </c>
      <c r="M923" s="9" t="b">
        <v>0</v>
      </c>
      <c r="N923" s="9" t="s">
        <v>3051</v>
      </c>
      <c r="O923" s="9" t="s">
        <v>4106</v>
      </c>
      <c r="P923" s="7">
        <v>1141</v>
      </c>
      <c r="Q923" s="7">
        <v>434</v>
      </c>
      <c r="R923" s="7">
        <v>166</v>
      </c>
      <c r="S923" s="7">
        <v>28</v>
      </c>
      <c r="T923" s="8">
        <v>5.8</v>
      </c>
      <c r="U923" s="8">
        <v>0.4</v>
      </c>
      <c r="V923" s="17">
        <v>0.4</v>
      </c>
      <c r="AD923" s="1"/>
      <c r="AE923" s="3"/>
      <c r="AF923" s="2"/>
      <c r="AG923" s="2"/>
      <c r="AH923" s="3"/>
      <c r="AI923" s="3"/>
      <c r="AJ923" s="1"/>
      <c r="AK923" s="1"/>
    </row>
    <row r="924" spans="1:37" x14ac:dyDescent="0.3">
      <c r="A924" s="14">
        <v>750</v>
      </c>
      <c r="B924" s="14">
        <v>3</v>
      </c>
      <c r="C924" s="9" t="s">
        <v>1659</v>
      </c>
      <c r="D924" s="9" t="s">
        <v>411</v>
      </c>
      <c r="E924" s="9" t="s">
        <v>2492</v>
      </c>
      <c r="F924" s="9" t="s">
        <v>2493</v>
      </c>
      <c r="G924" s="9">
        <v>4</v>
      </c>
      <c r="H924" s="9"/>
      <c r="I924" s="9"/>
      <c r="J924" s="9"/>
      <c r="K924" s="9" t="b">
        <v>0</v>
      </c>
      <c r="L924" s="9" t="s">
        <v>453</v>
      </c>
      <c r="M924" s="9" t="b">
        <v>1</v>
      </c>
      <c r="N924" s="9" t="s">
        <v>2494</v>
      </c>
      <c r="O924" s="9" t="s">
        <v>3925</v>
      </c>
      <c r="P924" s="7">
        <v>771</v>
      </c>
      <c r="Q924" s="7">
        <v>382</v>
      </c>
      <c r="R924" s="7">
        <v>153</v>
      </c>
      <c r="S924" s="7">
        <v>23</v>
      </c>
      <c r="T924" s="8">
        <v>5.3</v>
      </c>
      <c r="U924" s="8">
        <v>0.4</v>
      </c>
      <c r="V924" s="17">
        <v>0.4</v>
      </c>
      <c r="AD924" s="1"/>
      <c r="AE924" s="3"/>
      <c r="AF924" s="2"/>
      <c r="AG924" s="3"/>
      <c r="AH924" s="3"/>
      <c r="AI924" s="3"/>
      <c r="AJ924" s="1"/>
      <c r="AK924" s="1"/>
    </row>
    <row r="925" spans="1:37" x14ac:dyDescent="0.3">
      <c r="A925" s="14">
        <v>821</v>
      </c>
      <c r="B925" s="14">
        <v>1</v>
      </c>
      <c r="C925" s="9" t="s">
        <v>1659</v>
      </c>
      <c r="D925" s="9" t="s">
        <v>1077</v>
      </c>
      <c r="E925" s="9" t="s">
        <v>2707</v>
      </c>
      <c r="F925" s="9" t="s">
        <v>2708</v>
      </c>
      <c r="G925" s="9">
        <v>4</v>
      </c>
      <c r="H925" s="9"/>
      <c r="I925" s="9"/>
      <c r="J925" s="9"/>
      <c r="K925" s="9" t="b">
        <v>0</v>
      </c>
      <c r="L925" s="9" t="s">
        <v>7</v>
      </c>
      <c r="M925" s="9" t="b">
        <v>0</v>
      </c>
      <c r="N925" s="9" t="s">
        <v>2709</v>
      </c>
      <c r="O925" s="9" t="s">
        <v>3996</v>
      </c>
      <c r="P925" s="7">
        <v>1012</v>
      </c>
      <c r="Q925" s="7">
        <v>217</v>
      </c>
      <c r="R925" s="7">
        <v>97</v>
      </c>
      <c r="S925" s="7">
        <v>25</v>
      </c>
      <c r="T925" s="8">
        <v>6</v>
      </c>
      <c r="U925" s="8">
        <v>0.4</v>
      </c>
      <c r="V925" s="17">
        <v>0.4</v>
      </c>
      <c r="AD925" s="1"/>
      <c r="AE925" s="3"/>
      <c r="AF925" s="2"/>
      <c r="AG925" s="3"/>
      <c r="AH925" s="3"/>
      <c r="AI925" s="3"/>
      <c r="AJ925" s="1"/>
      <c r="AK925" s="1"/>
    </row>
    <row r="926" spans="1:37" x14ac:dyDescent="0.3">
      <c r="A926" s="14">
        <v>535</v>
      </c>
      <c r="B926" s="14">
        <v>1</v>
      </c>
      <c r="C926" s="9" t="s">
        <v>1659</v>
      </c>
      <c r="D926" s="9" t="s">
        <v>1</v>
      </c>
      <c r="E926" s="9" t="s">
        <v>1825</v>
      </c>
      <c r="F926" s="9" t="s">
        <v>1826</v>
      </c>
      <c r="G926" s="9">
        <v>4</v>
      </c>
      <c r="H926" s="9"/>
      <c r="I926" s="9"/>
      <c r="J926" s="9"/>
      <c r="K926" s="9" t="b">
        <v>0</v>
      </c>
      <c r="L926" s="9" t="s">
        <v>7</v>
      </c>
      <c r="M926" s="9" t="b">
        <v>0</v>
      </c>
      <c r="N926" s="9" t="s">
        <v>1827</v>
      </c>
      <c r="O926" s="9" t="s">
        <v>3710</v>
      </c>
      <c r="P926" s="7">
        <v>1107</v>
      </c>
      <c r="Q926" s="7">
        <v>338</v>
      </c>
      <c r="R926" s="7">
        <v>114</v>
      </c>
      <c r="S926" s="7">
        <v>33</v>
      </c>
      <c r="T926" s="8">
        <v>6.2</v>
      </c>
      <c r="U926" s="8">
        <v>0.4</v>
      </c>
      <c r="V926" s="17">
        <v>0.4</v>
      </c>
      <c r="AD926" s="1"/>
      <c r="AE926" s="3"/>
      <c r="AF926" s="2"/>
      <c r="AG926" s="3"/>
      <c r="AH926" s="3"/>
      <c r="AI926" s="3"/>
      <c r="AJ926" s="1"/>
      <c r="AK926" s="1"/>
    </row>
    <row r="927" spans="1:37" x14ac:dyDescent="0.3">
      <c r="A927" s="14">
        <v>538</v>
      </c>
      <c r="B927" s="14">
        <v>1</v>
      </c>
      <c r="C927" s="9" t="s">
        <v>1659</v>
      </c>
      <c r="D927" s="9" t="s">
        <v>1</v>
      </c>
      <c r="E927" s="9" t="s">
        <v>1833</v>
      </c>
      <c r="F927" s="9" t="s">
        <v>1834</v>
      </c>
      <c r="G927" s="9">
        <v>1</v>
      </c>
      <c r="H927" s="9"/>
      <c r="I927" s="9"/>
      <c r="J927" s="9"/>
      <c r="K927" s="9" t="b">
        <v>0</v>
      </c>
      <c r="L927" s="9" t="s">
        <v>7</v>
      </c>
      <c r="M927" s="9" t="b">
        <v>0</v>
      </c>
      <c r="N927" s="9" t="s">
        <v>1835</v>
      </c>
      <c r="O927" s="9" t="s">
        <v>3713</v>
      </c>
      <c r="P927" s="7">
        <v>1086</v>
      </c>
      <c r="Q927" s="7">
        <v>420</v>
      </c>
      <c r="R927" s="7">
        <v>142</v>
      </c>
      <c r="S927" s="7">
        <v>29</v>
      </c>
      <c r="T927" s="8">
        <v>6.1</v>
      </c>
      <c r="U927" s="8">
        <v>0.4</v>
      </c>
      <c r="V927" s="17">
        <v>0.4</v>
      </c>
      <c r="AD927" s="1"/>
      <c r="AE927" s="3"/>
      <c r="AF927" s="3"/>
      <c r="AG927" s="3"/>
      <c r="AH927" s="3"/>
      <c r="AI927" s="3"/>
      <c r="AJ927" s="1"/>
      <c r="AK927" s="1"/>
    </row>
    <row r="928" spans="1:37" x14ac:dyDescent="0.3">
      <c r="A928" s="14">
        <v>870</v>
      </c>
      <c r="B928" s="14">
        <v>1</v>
      </c>
      <c r="C928" s="9" t="s">
        <v>1659</v>
      </c>
      <c r="D928" s="9" t="s">
        <v>1208</v>
      </c>
      <c r="E928" s="9" t="s">
        <v>2854</v>
      </c>
      <c r="F928" s="9" t="s">
        <v>2855</v>
      </c>
      <c r="G928" s="9">
        <v>4</v>
      </c>
      <c r="H928" s="9"/>
      <c r="I928" s="9"/>
      <c r="J928" s="9"/>
      <c r="K928" s="9" t="b">
        <v>0</v>
      </c>
      <c r="L928" s="9" t="s">
        <v>7</v>
      </c>
      <c r="M928" s="9" t="b">
        <v>0</v>
      </c>
      <c r="N928" s="9" t="s">
        <v>2856</v>
      </c>
      <c r="O928" s="9" t="s">
        <v>4045</v>
      </c>
      <c r="P928" s="7">
        <v>1099</v>
      </c>
      <c r="Q928" s="7">
        <v>343</v>
      </c>
      <c r="R928" s="7">
        <v>112</v>
      </c>
      <c r="S928" s="7">
        <v>28</v>
      </c>
      <c r="T928" s="8">
        <v>6.2</v>
      </c>
      <c r="U928" s="8">
        <v>0.4</v>
      </c>
      <c r="V928" s="17">
        <v>0.4</v>
      </c>
      <c r="AD928" s="1"/>
      <c r="AE928" s="3"/>
      <c r="AF928" s="2"/>
      <c r="AG928" s="3"/>
      <c r="AH928" s="3"/>
      <c r="AI928" s="3"/>
      <c r="AJ928" s="1"/>
      <c r="AK928" s="1"/>
    </row>
    <row r="929" spans="1:37" x14ac:dyDescent="0.3">
      <c r="A929" s="14">
        <v>62</v>
      </c>
      <c r="B929" s="14">
        <v>2</v>
      </c>
      <c r="C929" s="9" t="s">
        <v>0</v>
      </c>
      <c r="D929" s="9" t="s">
        <v>180</v>
      </c>
      <c r="E929" s="9" t="s">
        <v>227</v>
      </c>
      <c r="F929" s="9" t="s">
        <v>228</v>
      </c>
      <c r="G929" s="9">
        <v>1</v>
      </c>
      <c r="H929" s="9"/>
      <c r="I929" s="9" t="s">
        <v>46</v>
      </c>
      <c r="J929" s="9"/>
      <c r="K929" s="9" t="b">
        <v>0</v>
      </c>
      <c r="L929" s="9" t="s">
        <v>215</v>
      </c>
      <c r="M929" s="9" t="b">
        <v>0</v>
      </c>
      <c r="N929" s="9" t="s">
        <v>229</v>
      </c>
      <c r="O929" s="9" t="s">
        <v>3238</v>
      </c>
      <c r="P929" s="7">
        <v>1132</v>
      </c>
      <c r="Q929" s="7">
        <v>328</v>
      </c>
      <c r="R929" s="7">
        <v>143</v>
      </c>
      <c r="S929" s="7">
        <v>28</v>
      </c>
      <c r="T929" s="8">
        <v>6.1</v>
      </c>
      <c r="U929" s="8">
        <v>0.4</v>
      </c>
      <c r="V929" s="17">
        <v>0.4</v>
      </c>
      <c r="AD929" s="1"/>
      <c r="AE929" s="3"/>
      <c r="AF929" s="2"/>
      <c r="AG929" s="2"/>
      <c r="AH929" s="3"/>
      <c r="AI929" s="3"/>
      <c r="AJ929" s="1"/>
      <c r="AK929" s="1"/>
    </row>
    <row r="930" spans="1:37" x14ac:dyDescent="0.3">
      <c r="A930" s="14">
        <v>187</v>
      </c>
      <c r="B930" s="14">
        <v>3</v>
      </c>
      <c r="C930" s="9" t="s">
        <v>0</v>
      </c>
      <c r="D930" s="9" t="s">
        <v>411</v>
      </c>
      <c r="E930" s="9" t="s">
        <v>696</v>
      </c>
      <c r="F930" s="9" t="s">
        <v>697</v>
      </c>
      <c r="G930" s="9">
        <v>1</v>
      </c>
      <c r="H930" s="9" t="s">
        <v>10</v>
      </c>
      <c r="I930" s="9" t="s">
        <v>5</v>
      </c>
      <c r="J930" s="9"/>
      <c r="K930" s="9" t="b">
        <v>0</v>
      </c>
      <c r="L930" s="9" t="s">
        <v>699</v>
      </c>
      <c r="M930" s="9" t="b">
        <v>0</v>
      </c>
      <c r="N930" s="9" t="s">
        <v>698</v>
      </c>
      <c r="O930" s="9" t="s">
        <v>3363</v>
      </c>
      <c r="P930" s="7">
        <v>855</v>
      </c>
      <c r="Q930" s="7">
        <v>193</v>
      </c>
      <c r="R930" s="7">
        <v>94</v>
      </c>
      <c r="S930" s="7">
        <v>21</v>
      </c>
      <c r="T930" s="8">
        <v>5.6</v>
      </c>
      <c r="U930" s="8">
        <v>0.4</v>
      </c>
      <c r="V930" s="17">
        <v>0.4</v>
      </c>
      <c r="AD930" s="1"/>
      <c r="AE930" s="3"/>
      <c r="AF930" s="2"/>
      <c r="AG930" s="3"/>
      <c r="AH930" s="3"/>
      <c r="AI930" s="3"/>
      <c r="AJ930" s="1"/>
      <c r="AK930" s="1"/>
    </row>
    <row r="931" spans="1:37" x14ac:dyDescent="0.3">
      <c r="A931" s="14">
        <v>448</v>
      </c>
      <c r="B931" s="14">
        <v>2</v>
      </c>
      <c r="C931" s="9" t="s">
        <v>0</v>
      </c>
      <c r="D931" s="9" t="s">
        <v>1457</v>
      </c>
      <c r="E931" s="9" t="s">
        <v>1553</v>
      </c>
      <c r="F931" s="9" t="s">
        <v>1554</v>
      </c>
      <c r="G931" s="9">
        <v>1</v>
      </c>
      <c r="H931" s="9"/>
      <c r="I931" s="9" t="s">
        <v>5</v>
      </c>
      <c r="J931" s="9">
        <v>1</v>
      </c>
      <c r="K931" s="9" t="b">
        <v>0</v>
      </c>
      <c r="L931" s="9" t="s">
        <v>1556</v>
      </c>
      <c r="M931" s="9" t="b">
        <v>0</v>
      </c>
      <c r="N931" s="9" t="s">
        <v>1555</v>
      </c>
      <c r="O931" s="9" t="s">
        <v>3623</v>
      </c>
      <c r="P931" s="7">
        <v>1169</v>
      </c>
      <c r="Q931" s="7">
        <v>411</v>
      </c>
      <c r="R931" s="7">
        <v>144</v>
      </c>
      <c r="S931" s="7">
        <v>33</v>
      </c>
      <c r="T931" s="8">
        <v>6</v>
      </c>
      <c r="U931" s="8">
        <v>0.4</v>
      </c>
      <c r="V931" s="17">
        <v>0.4</v>
      </c>
      <c r="AD931" s="1"/>
      <c r="AE931" s="3"/>
      <c r="AF931" s="2"/>
      <c r="AG931" s="3"/>
      <c r="AH931" s="3"/>
      <c r="AI931" s="3"/>
      <c r="AJ931" s="1"/>
      <c r="AK931" s="1"/>
    </row>
    <row r="932" spans="1:37" x14ac:dyDescent="0.3">
      <c r="A932" s="14">
        <v>202</v>
      </c>
      <c r="B932" s="14">
        <v>3</v>
      </c>
      <c r="C932" s="9" t="s">
        <v>0</v>
      </c>
      <c r="D932" s="9" t="s">
        <v>411</v>
      </c>
      <c r="E932" s="9" t="s">
        <v>748</v>
      </c>
      <c r="F932" s="9" t="s">
        <v>749</v>
      </c>
      <c r="G932" s="9">
        <v>1</v>
      </c>
      <c r="H932" s="9"/>
      <c r="I932" s="9" t="s">
        <v>22</v>
      </c>
      <c r="J932" s="9"/>
      <c r="K932" s="9" t="b">
        <v>0</v>
      </c>
      <c r="L932" s="9" t="s">
        <v>751</v>
      </c>
      <c r="M932" s="9" t="b">
        <v>1</v>
      </c>
      <c r="N932" s="9" t="s">
        <v>750</v>
      </c>
      <c r="O932" s="9" t="s">
        <v>3378</v>
      </c>
      <c r="P932" s="7">
        <v>1193</v>
      </c>
      <c r="Q932" s="7">
        <v>354</v>
      </c>
      <c r="R932" s="7">
        <v>164</v>
      </c>
      <c r="S932" s="7">
        <v>36</v>
      </c>
      <c r="T932" s="8">
        <v>5.8</v>
      </c>
      <c r="U932" s="8">
        <v>0.4</v>
      </c>
      <c r="V932" s="17">
        <v>0.4</v>
      </c>
      <c r="AD932" s="1"/>
      <c r="AE932" s="3"/>
      <c r="AF932" s="2"/>
      <c r="AG932" s="2"/>
      <c r="AH932" s="2"/>
      <c r="AI932" s="3"/>
      <c r="AJ932" s="1"/>
      <c r="AK932" s="1"/>
    </row>
    <row r="933" spans="1:37" x14ac:dyDescent="0.3">
      <c r="A933" s="14">
        <v>911</v>
      </c>
      <c r="B933" s="14">
        <v>2</v>
      </c>
      <c r="C933" s="9" t="s">
        <v>1659</v>
      </c>
      <c r="D933" s="9" t="s">
        <v>1457</v>
      </c>
      <c r="E933" s="9" t="s">
        <v>2973</v>
      </c>
      <c r="F933" s="9" t="s">
        <v>2974</v>
      </c>
      <c r="G933" s="9">
        <v>3</v>
      </c>
      <c r="H933" s="9"/>
      <c r="I933" s="9"/>
      <c r="J933" s="9"/>
      <c r="K933" s="9" t="b">
        <v>0</v>
      </c>
      <c r="L933" s="9" t="s">
        <v>1496</v>
      </c>
      <c r="M933" s="9" t="b">
        <v>0</v>
      </c>
      <c r="N933" s="9" t="s">
        <v>2975</v>
      </c>
      <c r="O933" s="9" t="s">
        <v>4083</v>
      </c>
      <c r="P933" s="7">
        <v>1274</v>
      </c>
      <c r="Q933" s="7">
        <v>285</v>
      </c>
      <c r="R933" s="7">
        <v>90</v>
      </c>
      <c r="S933" s="7">
        <v>25</v>
      </c>
      <c r="T933" s="8">
        <v>6.2</v>
      </c>
      <c r="U933" s="8">
        <v>0.3</v>
      </c>
      <c r="V933" s="17">
        <v>0.3</v>
      </c>
      <c r="AD933" s="1"/>
      <c r="AE933" s="3"/>
      <c r="AF933" s="2"/>
      <c r="AG933" s="2"/>
      <c r="AH933" s="3"/>
      <c r="AI933" s="3"/>
      <c r="AJ933" s="1"/>
      <c r="AK933" s="1"/>
    </row>
    <row r="934" spans="1:37" x14ac:dyDescent="0.3">
      <c r="A934" s="14">
        <v>552</v>
      </c>
      <c r="B934" s="14">
        <v>2</v>
      </c>
      <c r="C934" s="9" t="s">
        <v>1659</v>
      </c>
      <c r="D934" s="9" t="s">
        <v>180</v>
      </c>
      <c r="E934" s="9" t="s">
        <v>1875</v>
      </c>
      <c r="F934" s="9" t="s">
        <v>1876</v>
      </c>
      <c r="G934" s="9">
        <v>1</v>
      </c>
      <c r="H934" s="9"/>
      <c r="I934" s="9"/>
      <c r="J934" s="9"/>
      <c r="K934" s="9" t="b">
        <v>0</v>
      </c>
      <c r="L934" s="9" t="s">
        <v>1878</v>
      </c>
      <c r="M934" s="9" t="b">
        <v>1</v>
      </c>
      <c r="N934" s="9" t="s">
        <v>1877</v>
      </c>
      <c r="O934" s="9" t="s">
        <v>3727</v>
      </c>
      <c r="P934" s="7">
        <v>1113</v>
      </c>
      <c r="Q934" s="7">
        <v>366</v>
      </c>
      <c r="R934" s="7">
        <v>99</v>
      </c>
      <c r="S934" s="7">
        <v>25</v>
      </c>
      <c r="T934" s="8">
        <v>6</v>
      </c>
      <c r="U934" s="8">
        <v>0.3</v>
      </c>
      <c r="V934" s="17">
        <v>0.3</v>
      </c>
      <c r="AD934" s="1"/>
      <c r="AE934" s="3"/>
      <c r="AF934" s="2"/>
      <c r="AG934" s="2"/>
      <c r="AH934" s="2"/>
      <c r="AI934" s="3"/>
      <c r="AJ934" s="1"/>
      <c r="AK934" s="1"/>
    </row>
    <row r="935" spans="1:37" x14ac:dyDescent="0.3">
      <c r="A935" s="14">
        <v>648</v>
      </c>
      <c r="B935" s="14">
        <v>3</v>
      </c>
      <c r="C935" s="9" t="s">
        <v>1659</v>
      </c>
      <c r="D935" s="9" t="s">
        <v>411</v>
      </c>
      <c r="E935" s="9" t="s">
        <v>2177</v>
      </c>
      <c r="F935" s="9" t="s">
        <v>2178</v>
      </c>
      <c r="G935" s="9">
        <v>4</v>
      </c>
      <c r="H935" s="9"/>
      <c r="I935" s="9"/>
      <c r="J935" s="9"/>
      <c r="K935" s="9" t="b">
        <v>0</v>
      </c>
      <c r="L935" s="9" t="s">
        <v>296</v>
      </c>
      <c r="M935" s="9" t="b">
        <v>0</v>
      </c>
      <c r="N935" s="9" t="s">
        <v>2179</v>
      </c>
      <c r="O935" s="9" t="s">
        <v>3823</v>
      </c>
      <c r="P935" s="7">
        <v>726</v>
      </c>
      <c r="Q935" s="7">
        <v>129</v>
      </c>
      <c r="R935" s="7">
        <v>50</v>
      </c>
      <c r="S935" s="7">
        <v>14</v>
      </c>
      <c r="T935" s="8">
        <v>6.2</v>
      </c>
      <c r="U935" s="8">
        <v>0.3</v>
      </c>
      <c r="V935" s="17">
        <v>0.3</v>
      </c>
      <c r="AD935" s="1"/>
      <c r="AE935" s="3"/>
      <c r="AF935" s="2"/>
      <c r="AG935" s="2"/>
      <c r="AH935" s="3"/>
      <c r="AI935" s="3"/>
      <c r="AJ935" s="1"/>
      <c r="AK935" s="1"/>
    </row>
    <row r="936" spans="1:37" x14ac:dyDescent="0.3">
      <c r="A936" s="14">
        <v>922</v>
      </c>
      <c r="B936" s="14">
        <v>2</v>
      </c>
      <c r="C936" s="9" t="s">
        <v>1659</v>
      </c>
      <c r="D936" s="9" t="s">
        <v>1457</v>
      </c>
      <c r="E936" s="9" t="s">
        <v>3012</v>
      </c>
      <c r="F936" s="10" t="s">
        <v>3013</v>
      </c>
      <c r="G936" s="9">
        <v>3</v>
      </c>
      <c r="H936" s="9"/>
      <c r="I936" s="9"/>
      <c r="J936" s="9"/>
      <c r="K936" s="9" t="b">
        <v>0</v>
      </c>
      <c r="L936" s="9" t="s">
        <v>1556</v>
      </c>
      <c r="M936" s="9" t="b">
        <v>0</v>
      </c>
      <c r="N936" s="9" t="s">
        <v>3014</v>
      </c>
      <c r="O936" s="9" t="s">
        <v>4094</v>
      </c>
      <c r="P936" s="7">
        <v>1078</v>
      </c>
      <c r="Q936" s="7">
        <v>276</v>
      </c>
      <c r="R936" s="7">
        <v>113</v>
      </c>
      <c r="S936" s="7">
        <v>24</v>
      </c>
      <c r="T936" s="8">
        <v>6.2</v>
      </c>
      <c r="U936" s="8">
        <v>0.3</v>
      </c>
      <c r="V936" s="17">
        <v>0.3</v>
      </c>
      <c r="AD936" s="1"/>
      <c r="AE936" s="3"/>
      <c r="AF936" s="2"/>
      <c r="AG936" s="2"/>
      <c r="AH936" s="2"/>
      <c r="AI936" s="3"/>
      <c r="AJ936" s="1"/>
      <c r="AK936" s="1"/>
    </row>
    <row r="937" spans="1:37" x14ac:dyDescent="0.3">
      <c r="A937" s="14">
        <v>699</v>
      </c>
      <c r="B937" s="14">
        <v>3</v>
      </c>
      <c r="C937" s="9" t="s">
        <v>1659</v>
      </c>
      <c r="D937" s="9" t="s">
        <v>411</v>
      </c>
      <c r="E937" s="9" t="s">
        <v>2336</v>
      </c>
      <c r="F937" s="9" t="s">
        <v>2337</v>
      </c>
      <c r="G937" s="9">
        <v>4</v>
      </c>
      <c r="H937" s="9"/>
      <c r="I937" s="9"/>
      <c r="J937" s="9"/>
      <c r="K937" s="9" t="b">
        <v>0</v>
      </c>
      <c r="L937" s="9" t="s">
        <v>777</v>
      </c>
      <c r="M937" s="9" t="b">
        <v>0</v>
      </c>
      <c r="N937" s="9" t="s">
        <v>2338</v>
      </c>
      <c r="O937" s="9" t="s">
        <v>3874</v>
      </c>
      <c r="P937" s="7">
        <v>702</v>
      </c>
      <c r="Q937" s="7">
        <v>129</v>
      </c>
      <c r="R937" s="7">
        <v>33</v>
      </c>
      <c r="S937" s="7">
        <v>13</v>
      </c>
      <c r="T937" s="8">
        <v>6.4</v>
      </c>
      <c r="U937" s="8">
        <v>0.3</v>
      </c>
      <c r="V937" s="17">
        <v>0.3</v>
      </c>
      <c r="AD937" s="1"/>
      <c r="AE937" s="3"/>
      <c r="AF937" s="3"/>
      <c r="AG937" s="3"/>
      <c r="AH937" s="3"/>
      <c r="AI937" s="3"/>
      <c r="AJ937" s="1"/>
      <c r="AK937" s="1"/>
    </row>
    <row r="938" spans="1:37" x14ac:dyDescent="0.3">
      <c r="A938" s="14">
        <v>521</v>
      </c>
      <c r="B938" s="14">
        <v>1</v>
      </c>
      <c r="C938" s="9" t="s">
        <v>1659</v>
      </c>
      <c r="D938" s="9" t="s">
        <v>1</v>
      </c>
      <c r="E938" s="9" t="s">
        <v>1783</v>
      </c>
      <c r="F938" s="9" t="s">
        <v>1784</v>
      </c>
      <c r="G938" s="9">
        <v>1</v>
      </c>
      <c r="H938" s="9"/>
      <c r="I938" s="9"/>
      <c r="J938" s="9"/>
      <c r="K938" s="9" t="b">
        <v>0</v>
      </c>
      <c r="L938" s="9" t="s">
        <v>7</v>
      </c>
      <c r="M938" s="9" t="b">
        <v>0</v>
      </c>
      <c r="N938" s="9" t="s">
        <v>1785</v>
      </c>
      <c r="O938" s="9" t="s">
        <v>3696</v>
      </c>
      <c r="P938" s="7">
        <v>1301</v>
      </c>
      <c r="Q938" s="7">
        <v>386</v>
      </c>
      <c r="R938" s="7">
        <v>117</v>
      </c>
      <c r="S938" s="7">
        <v>31</v>
      </c>
      <c r="T938" s="8">
        <v>6.2</v>
      </c>
      <c r="U938" s="8">
        <v>0.3</v>
      </c>
      <c r="V938" s="17">
        <v>0.3</v>
      </c>
      <c r="AD938" s="1"/>
      <c r="AE938" s="3"/>
      <c r="AF938" s="2"/>
      <c r="AG938" s="2"/>
      <c r="AH938" s="2"/>
      <c r="AI938" s="3"/>
      <c r="AJ938" s="1"/>
      <c r="AK938" s="1"/>
    </row>
    <row r="939" spans="1:37" x14ac:dyDescent="0.3">
      <c r="A939" s="14">
        <v>583</v>
      </c>
      <c r="B939" s="14">
        <v>2</v>
      </c>
      <c r="C939" s="9" t="s">
        <v>1659</v>
      </c>
      <c r="D939" s="9" t="s">
        <v>180</v>
      </c>
      <c r="E939" s="9" t="s">
        <v>1974</v>
      </c>
      <c r="F939" s="9" t="s">
        <v>1975</v>
      </c>
      <c r="G939" s="9">
        <v>4</v>
      </c>
      <c r="H939" s="9"/>
      <c r="I939" s="9"/>
      <c r="J939" s="9"/>
      <c r="K939" s="9" t="b">
        <v>0</v>
      </c>
      <c r="L939" s="9" t="s">
        <v>234</v>
      </c>
      <c r="M939" s="9" t="b">
        <v>0</v>
      </c>
      <c r="N939" s="9" t="s">
        <v>1976</v>
      </c>
      <c r="O939" s="9" t="s">
        <v>3758</v>
      </c>
      <c r="P939" s="7">
        <v>1012</v>
      </c>
      <c r="Q939" s="7">
        <v>272</v>
      </c>
      <c r="R939" s="7">
        <v>89</v>
      </c>
      <c r="S939" s="7">
        <v>22</v>
      </c>
      <c r="T939" s="8">
        <v>6.2</v>
      </c>
      <c r="U939" s="8">
        <v>0.3</v>
      </c>
      <c r="V939" s="17">
        <v>0.3</v>
      </c>
      <c r="AD939" s="1"/>
      <c r="AE939" s="3"/>
      <c r="AF939" s="2"/>
      <c r="AG939" s="3"/>
      <c r="AH939" s="3"/>
      <c r="AI939" s="3"/>
      <c r="AJ939" s="1"/>
      <c r="AK939" s="1"/>
    </row>
    <row r="940" spans="1:37" x14ac:dyDescent="0.3">
      <c r="A940" s="14">
        <v>815</v>
      </c>
      <c r="B940" s="14">
        <v>1</v>
      </c>
      <c r="C940" s="9" t="s">
        <v>1659</v>
      </c>
      <c r="D940" s="9" t="s">
        <v>1077</v>
      </c>
      <c r="E940" s="9" t="s">
        <v>2689</v>
      </c>
      <c r="F940" s="9" t="s">
        <v>2690</v>
      </c>
      <c r="G940" s="9">
        <v>1</v>
      </c>
      <c r="H940" s="9"/>
      <c r="I940" s="9"/>
      <c r="J940" s="9"/>
      <c r="K940" s="9" t="b">
        <v>0</v>
      </c>
      <c r="L940" s="9" t="s">
        <v>7</v>
      </c>
      <c r="M940" s="9" t="b">
        <v>0</v>
      </c>
      <c r="N940" s="9" t="s">
        <v>2691</v>
      </c>
      <c r="O940" s="9" t="s">
        <v>3990</v>
      </c>
      <c r="P940" s="7">
        <v>1066</v>
      </c>
      <c r="Q940" s="7">
        <v>323</v>
      </c>
      <c r="R940" s="7">
        <v>140</v>
      </c>
      <c r="S940" s="7">
        <v>25</v>
      </c>
      <c r="T940" s="8">
        <v>5.7</v>
      </c>
      <c r="U940" s="8">
        <v>0.3</v>
      </c>
      <c r="V940" s="17">
        <v>0.3</v>
      </c>
      <c r="AD940" s="1"/>
      <c r="AE940" s="3"/>
      <c r="AF940" s="2"/>
      <c r="AG940" s="2"/>
      <c r="AH940" s="3"/>
      <c r="AI940" s="3"/>
      <c r="AJ940" s="1"/>
      <c r="AK940" s="1"/>
    </row>
    <row r="941" spans="1:37" x14ac:dyDescent="0.3">
      <c r="A941" s="14">
        <v>111</v>
      </c>
      <c r="B941" s="14">
        <v>3</v>
      </c>
      <c r="C941" s="9" t="s">
        <v>0</v>
      </c>
      <c r="D941" s="9" t="s">
        <v>411</v>
      </c>
      <c r="E941" s="9" t="s">
        <v>421</v>
      </c>
      <c r="F941" s="9" t="s">
        <v>422</v>
      </c>
      <c r="G941" s="9">
        <v>1</v>
      </c>
      <c r="H941" s="9" t="s">
        <v>423</v>
      </c>
      <c r="I941" s="9"/>
      <c r="J941" s="9"/>
      <c r="K941" s="9" t="b">
        <v>0</v>
      </c>
      <c r="L941" s="9" t="s">
        <v>425</v>
      </c>
      <c r="M941" s="9" t="b">
        <v>0</v>
      </c>
      <c r="N941" s="9" t="s">
        <v>424</v>
      </c>
      <c r="O941" s="9" t="s">
        <v>3287</v>
      </c>
      <c r="P941" s="7">
        <v>926</v>
      </c>
      <c r="Q941" s="7">
        <v>199</v>
      </c>
      <c r="R941" s="7">
        <v>81</v>
      </c>
      <c r="S941" s="7">
        <v>18</v>
      </c>
      <c r="T941" s="8">
        <v>6.1</v>
      </c>
      <c r="U941" s="8">
        <v>0.3</v>
      </c>
      <c r="V941" s="17">
        <v>0.3</v>
      </c>
      <c r="AD941" s="1"/>
      <c r="AE941" s="3"/>
      <c r="AF941" s="2"/>
      <c r="AG941" s="2"/>
      <c r="AH941" s="3"/>
      <c r="AI941" s="3"/>
      <c r="AJ941" s="1"/>
      <c r="AK941" s="1"/>
    </row>
    <row r="942" spans="1:37" x14ac:dyDescent="0.3">
      <c r="A942" s="14">
        <v>400</v>
      </c>
      <c r="B942" s="14">
        <v>4</v>
      </c>
      <c r="C942" s="9" t="s">
        <v>0</v>
      </c>
      <c r="D942" s="9" t="s">
        <v>1394</v>
      </c>
      <c r="E942" s="9" t="s">
        <v>1395</v>
      </c>
      <c r="F942" s="9" t="s">
        <v>1396</v>
      </c>
      <c r="G942" s="9">
        <v>1</v>
      </c>
      <c r="H942" s="9"/>
      <c r="I942" s="9" t="s">
        <v>51</v>
      </c>
      <c r="J942" s="9">
        <v>1</v>
      </c>
      <c r="K942" s="9" t="b">
        <v>0</v>
      </c>
      <c r="L942" s="9"/>
      <c r="M942" s="9" t="b">
        <v>0</v>
      </c>
      <c r="N942" s="9" t="s">
        <v>1397</v>
      </c>
      <c r="O942" s="9" t="s">
        <v>3576</v>
      </c>
      <c r="P942" s="7">
        <v>982</v>
      </c>
      <c r="Q942" s="7">
        <v>166</v>
      </c>
      <c r="R942" s="7">
        <v>83</v>
      </c>
      <c r="S942" s="7">
        <v>22</v>
      </c>
      <c r="T942" s="8">
        <v>6.3</v>
      </c>
      <c r="U942" s="8">
        <v>0.3</v>
      </c>
      <c r="V942" s="17">
        <v>0.3</v>
      </c>
      <c r="AD942" s="1"/>
      <c r="AE942" s="3"/>
      <c r="AF942" s="3"/>
      <c r="AG942" s="3"/>
      <c r="AH942" s="3"/>
      <c r="AI942" s="3"/>
      <c r="AJ942" s="1"/>
      <c r="AK942" s="1"/>
    </row>
    <row r="943" spans="1:37" x14ac:dyDescent="0.3">
      <c r="A943" s="14">
        <v>350</v>
      </c>
      <c r="B943" s="14">
        <v>1</v>
      </c>
      <c r="C943" s="9" t="s">
        <v>0</v>
      </c>
      <c r="D943" s="9" t="s">
        <v>1208</v>
      </c>
      <c r="E943" s="9" t="s">
        <v>1238</v>
      </c>
      <c r="F943" s="9" t="s">
        <v>1239</v>
      </c>
      <c r="G943" s="9">
        <v>1</v>
      </c>
      <c r="H943" s="9"/>
      <c r="I943" s="9" t="s">
        <v>22</v>
      </c>
      <c r="J943" s="9"/>
      <c r="K943" s="9" t="b">
        <v>0</v>
      </c>
      <c r="L943" s="9" t="s">
        <v>7</v>
      </c>
      <c r="M943" s="9" t="b">
        <v>0</v>
      </c>
      <c r="N943" s="9" t="s">
        <v>1240</v>
      </c>
      <c r="O943" s="9" t="s">
        <v>3526</v>
      </c>
      <c r="P943" s="7">
        <v>953</v>
      </c>
      <c r="Q943" s="7">
        <v>191</v>
      </c>
      <c r="R943" s="7">
        <v>82</v>
      </c>
      <c r="S943" s="7">
        <v>19</v>
      </c>
      <c r="T943" s="8">
        <v>6.1</v>
      </c>
      <c r="U943" s="8">
        <v>0.3</v>
      </c>
      <c r="V943" s="17">
        <v>0.3</v>
      </c>
      <c r="AD943" s="1"/>
      <c r="AE943" s="3"/>
      <c r="AF943" s="2"/>
      <c r="AG943" s="3"/>
      <c r="AH943" s="3"/>
      <c r="AI943" s="3"/>
      <c r="AJ943" s="1"/>
      <c r="AK943" s="1"/>
    </row>
    <row r="944" spans="1:37" x14ac:dyDescent="0.3">
      <c r="A944" s="14">
        <v>447</v>
      </c>
      <c r="B944" s="14">
        <v>2</v>
      </c>
      <c r="C944" s="9" t="s">
        <v>0</v>
      </c>
      <c r="D944" s="9" t="s">
        <v>1457</v>
      </c>
      <c r="E944" s="9" t="s">
        <v>1548</v>
      </c>
      <c r="F944" s="9" t="s">
        <v>1549</v>
      </c>
      <c r="G944" s="9">
        <v>1</v>
      </c>
      <c r="H944" s="9" t="s">
        <v>1550</v>
      </c>
      <c r="I944" s="9" t="s">
        <v>1551</v>
      </c>
      <c r="J944" s="9"/>
      <c r="K944" s="9" t="b">
        <v>0</v>
      </c>
      <c r="L944" s="9" t="s">
        <v>286</v>
      </c>
      <c r="M944" s="9" t="b">
        <v>1</v>
      </c>
      <c r="N944" s="9" t="s">
        <v>1552</v>
      </c>
      <c r="O944" s="9" t="s">
        <v>3622</v>
      </c>
      <c r="P944" s="7">
        <v>1110</v>
      </c>
      <c r="Q944" s="7">
        <v>281</v>
      </c>
      <c r="R944" s="7">
        <v>84</v>
      </c>
      <c r="S944" s="7">
        <v>22</v>
      </c>
      <c r="T944" s="8">
        <v>6</v>
      </c>
      <c r="U944" s="8">
        <v>0.3</v>
      </c>
      <c r="V944" s="17">
        <v>0.3</v>
      </c>
      <c r="AD944" s="1"/>
      <c r="AE944" s="3"/>
      <c r="AF944" s="3"/>
      <c r="AG944" s="3"/>
      <c r="AH944" s="3"/>
      <c r="AI944" s="3"/>
      <c r="AJ944" s="1"/>
      <c r="AK944" s="1"/>
    </row>
    <row r="945" spans="1:37" x14ac:dyDescent="0.3">
      <c r="A945" s="14">
        <v>31</v>
      </c>
      <c r="B945" s="14">
        <v>1</v>
      </c>
      <c r="C945" s="9" t="s">
        <v>0</v>
      </c>
      <c r="D945" s="9" t="s">
        <v>1</v>
      </c>
      <c r="E945" s="9" t="s">
        <v>112</v>
      </c>
      <c r="F945" s="9" t="s">
        <v>113</v>
      </c>
      <c r="G945" s="9">
        <v>1</v>
      </c>
      <c r="H945" s="9"/>
      <c r="I945" s="9" t="s">
        <v>114</v>
      </c>
      <c r="J945" s="9"/>
      <c r="K945" s="9" t="b">
        <v>0</v>
      </c>
      <c r="L945" s="9" t="s">
        <v>7</v>
      </c>
      <c r="M945" s="9" t="b">
        <v>0</v>
      </c>
      <c r="N945" s="9" t="s">
        <v>115</v>
      </c>
      <c r="O945" s="9" t="s">
        <v>3207</v>
      </c>
      <c r="P945" s="7">
        <v>1170</v>
      </c>
      <c r="Q945" s="7">
        <v>314</v>
      </c>
      <c r="R945" s="7">
        <v>151</v>
      </c>
      <c r="S945" s="7">
        <v>26</v>
      </c>
      <c r="T945" s="8">
        <v>5.9</v>
      </c>
      <c r="U945" s="8">
        <v>0.3</v>
      </c>
      <c r="V945" s="17">
        <v>0.3</v>
      </c>
      <c r="AD945" s="1"/>
      <c r="AE945" s="3"/>
      <c r="AF945" s="3"/>
      <c r="AG945" s="3"/>
      <c r="AH945" s="3"/>
      <c r="AI945" s="3"/>
      <c r="AJ945" s="1"/>
      <c r="AK945" s="1"/>
    </row>
    <row r="946" spans="1:37" x14ac:dyDescent="0.3">
      <c r="A946" s="14">
        <v>34</v>
      </c>
      <c r="B946" s="14">
        <v>1</v>
      </c>
      <c r="C946" s="9" t="s">
        <v>0</v>
      </c>
      <c r="D946" s="9" t="s">
        <v>1</v>
      </c>
      <c r="E946" s="9" t="s">
        <v>125</v>
      </c>
      <c r="F946" s="9" t="s">
        <v>126</v>
      </c>
      <c r="G946" s="9">
        <v>1</v>
      </c>
      <c r="H946" s="9"/>
      <c r="I946" s="9" t="s">
        <v>22</v>
      </c>
      <c r="J946" s="9"/>
      <c r="K946" s="9" t="b">
        <v>0</v>
      </c>
      <c r="L946" s="9" t="s">
        <v>7</v>
      </c>
      <c r="M946" s="9" t="b">
        <v>0</v>
      </c>
      <c r="N946" s="9" t="s">
        <v>127</v>
      </c>
      <c r="O946" s="9" t="s">
        <v>3210</v>
      </c>
      <c r="P946" s="7">
        <v>1143</v>
      </c>
      <c r="Q946" s="7">
        <v>177</v>
      </c>
      <c r="R946" s="7">
        <v>89</v>
      </c>
      <c r="S946" s="7">
        <v>21</v>
      </c>
      <c r="T946" s="8">
        <v>5.9</v>
      </c>
      <c r="U946" s="8">
        <v>0.3</v>
      </c>
      <c r="V946" s="17">
        <v>0.3</v>
      </c>
      <c r="AD946" s="1"/>
      <c r="AE946" s="3"/>
      <c r="AF946" s="2"/>
      <c r="AG946" s="2"/>
      <c r="AH946" s="2"/>
      <c r="AI946" s="3"/>
      <c r="AJ946" s="1"/>
      <c r="AK946" s="1"/>
    </row>
    <row r="947" spans="1:37" x14ac:dyDescent="0.3">
      <c r="A947" s="14">
        <v>334</v>
      </c>
      <c r="B947" s="14">
        <v>1</v>
      </c>
      <c r="C947" s="9" t="s">
        <v>0</v>
      </c>
      <c r="D947" s="9" t="s">
        <v>1077</v>
      </c>
      <c r="E947" s="9" t="s">
        <v>1185</v>
      </c>
      <c r="F947" s="9" t="s">
        <v>1186</v>
      </c>
      <c r="G947" s="9">
        <v>1</v>
      </c>
      <c r="H947" s="9" t="s">
        <v>26</v>
      </c>
      <c r="I947" s="9" t="s">
        <v>5</v>
      </c>
      <c r="J947" s="9">
        <v>1</v>
      </c>
      <c r="K947" s="9" t="b">
        <v>0</v>
      </c>
      <c r="L947" s="9" t="s">
        <v>7</v>
      </c>
      <c r="M947" s="9" t="b">
        <v>0</v>
      </c>
      <c r="N947" s="9" t="s">
        <v>1187</v>
      </c>
      <c r="O947" s="9" t="s">
        <v>3510</v>
      </c>
      <c r="P947" s="7">
        <v>960</v>
      </c>
      <c r="Q947" s="7">
        <v>280</v>
      </c>
      <c r="R947" s="7">
        <v>103</v>
      </c>
      <c r="S947" s="7">
        <v>23</v>
      </c>
      <c r="T947" s="8">
        <v>6</v>
      </c>
      <c r="U947" s="8">
        <v>0.3</v>
      </c>
      <c r="V947" s="17">
        <v>0.3</v>
      </c>
      <c r="AD947" s="1"/>
      <c r="AE947" s="3"/>
      <c r="AF947" s="2"/>
      <c r="AG947" s="3"/>
      <c r="AH947" s="3"/>
      <c r="AI947" s="3"/>
      <c r="AJ947" s="1"/>
      <c r="AK947" s="1"/>
    </row>
    <row r="948" spans="1:37" x14ac:dyDescent="0.3">
      <c r="A948" s="14">
        <v>481</v>
      </c>
      <c r="B948" s="14">
        <v>1</v>
      </c>
      <c r="C948" s="9" t="s">
        <v>1659</v>
      </c>
      <c r="D948" s="9" t="s">
        <v>1</v>
      </c>
      <c r="E948" s="9" t="s">
        <v>1663</v>
      </c>
      <c r="F948" s="10" t="s">
        <v>1664</v>
      </c>
      <c r="G948" s="9">
        <v>4</v>
      </c>
      <c r="H948" s="9"/>
      <c r="I948" s="9"/>
      <c r="J948" s="9"/>
      <c r="K948" s="9" t="b">
        <v>0</v>
      </c>
      <c r="L948" s="9" t="s">
        <v>7</v>
      </c>
      <c r="M948" s="9" t="b">
        <v>0</v>
      </c>
      <c r="N948" s="9" t="s">
        <v>1665</v>
      </c>
      <c r="O948" s="9" t="s">
        <v>3656</v>
      </c>
      <c r="P948" s="7">
        <v>991</v>
      </c>
      <c r="Q948" s="7">
        <v>282</v>
      </c>
      <c r="R948" s="7">
        <v>66</v>
      </c>
      <c r="S948" s="7">
        <v>14</v>
      </c>
      <c r="T948" s="8">
        <v>6.3</v>
      </c>
      <c r="U948" s="8">
        <v>0.2</v>
      </c>
      <c r="V948" s="17">
        <v>0.2</v>
      </c>
      <c r="AD948" s="1"/>
      <c r="AE948" s="3"/>
      <c r="AF948" s="2"/>
      <c r="AG948" s="2"/>
      <c r="AH948" s="2"/>
      <c r="AI948" s="3"/>
      <c r="AJ948" s="1"/>
      <c r="AK948" s="1"/>
    </row>
    <row r="949" spans="1:37" x14ac:dyDescent="0.3">
      <c r="A949" s="14">
        <v>797</v>
      </c>
      <c r="B949" s="14">
        <v>1</v>
      </c>
      <c r="C949" s="9" t="s">
        <v>1659</v>
      </c>
      <c r="D949" s="9" t="s">
        <v>1077</v>
      </c>
      <c r="E949" s="9" t="s">
        <v>2635</v>
      </c>
      <c r="F949" s="9" t="s">
        <v>2636</v>
      </c>
      <c r="G949" s="9">
        <v>4</v>
      </c>
      <c r="H949" s="9"/>
      <c r="I949" s="9"/>
      <c r="J949" s="9"/>
      <c r="K949" s="9" t="b">
        <v>0</v>
      </c>
      <c r="L949" s="9" t="s">
        <v>7</v>
      </c>
      <c r="M949" s="9" t="b">
        <v>0</v>
      </c>
      <c r="N949" s="9" t="s">
        <v>2637</v>
      </c>
      <c r="O949" s="9" t="s">
        <v>3972</v>
      </c>
      <c r="P949" s="7">
        <v>954</v>
      </c>
      <c r="Q949" s="7">
        <v>135</v>
      </c>
      <c r="R949" s="7">
        <v>41</v>
      </c>
      <c r="S949" s="7">
        <v>10</v>
      </c>
      <c r="T949" s="8">
        <v>6.3</v>
      </c>
      <c r="U949" s="8">
        <v>0.2</v>
      </c>
      <c r="V949" s="17">
        <v>0.2</v>
      </c>
      <c r="AD949" s="1"/>
      <c r="AE949" s="3"/>
      <c r="AF949" s="2"/>
      <c r="AG949" s="2"/>
      <c r="AH949" s="2"/>
      <c r="AI949" s="3"/>
      <c r="AJ949" s="1"/>
      <c r="AK949" s="1"/>
    </row>
    <row r="950" spans="1:37" x14ac:dyDescent="0.3">
      <c r="A950" s="14">
        <v>500</v>
      </c>
      <c r="B950" s="14">
        <v>1</v>
      </c>
      <c r="C950" s="9" t="s">
        <v>1659</v>
      </c>
      <c r="D950" s="9" t="s">
        <v>1</v>
      </c>
      <c r="E950" s="9" t="s">
        <v>1720</v>
      </c>
      <c r="F950" s="9" t="s">
        <v>1721</v>
      </c>
      <c r="G950" s="9">
        <v>1</v>
      </c>
      <c r="H950" s="9"/>
      <c r="I950" s="9"/>
      <c r="J950" s="9"/>
      <c r="K950" s="9" t="b">
        <v>0</v>
      </c>
      <c r="L950" s="9" t="s">
        <v>7</v>
      </c>
      <c r="M950" s="9" t="b">
        <v>0</v>
      </c>
      <c r="N950" s="9" t="s">
        <v>1722</v>
      </c>
      <c r="O950" s="9" t="s">
        <v>3675</v>
      </c>
      <c r="P950" s="7">
        <v>1196</v>
      </c>
      <c r="Q950" s="7">
        <v>229</v>
      </c>
      <c r="R950" s="7">
        <v>76</v>
      </c>
      <c r="S950" s="7">
        <v>20</v>
      </c>
      <c r="T950" s="8">
        <v>6.4</v>
      </c>
      <c r="U950" s="8">
        <v>0.2</v>
      </c>
      <c r="V950" s="17">
        <v>0.2</v>
      </c>
      <c r="AD950" s="1"/>
      <c r="AE950" s="3"/>
      <c r="AF950" s="2"/>
      <c r="AG950" s="3"/>
      <c r="AH950" s="3"/>
      <c r="AI950" s="3"/>
      <c r="AJ950" s="1"/>
      <c r="AK950" s="1"/>
    </row>
    <row r="951" spans="1:37" x14ac:dyDescent="0.3">
      <c r="A951" s="14">
        <v>929</v>
      </c>
      <c r="B951" s="14">
        <v>2</v>
      </c>
      <c r="C951" s="9" t="s">
        <v>1659</v>
      </c>
      <c r="D951" s="9" t="s">
        <v>1457</v>
      </c>
      <c r="E951" s="9" t="s">
        <v>3034</v>
      </c>
      <c r="F951" s="9" t="s">
        <v>3035</v>
      </c>
      <c r="G951" s="9">
        <v>1</v>
      </c>
      <c r="H951" s="9"/>
      <c r="I951" s="9"/>
      <c r="J951" s="9"/>
      <c r="K951" s="9" t="b">
        <v>0</v>
      </c>
      <c r="L951" s="9" t="s">
        <v>1465</v>
      </c>
      <c r="M951" s="9" t="b">
        <v>0</v>
      </c>
      <c r="N951" s="9" t="s">
        <v>3036</v>
      </c>
      <c r="O951" s="9" t="s">
        <v>4101</v>
      </c>
      <c r="P951" s="7">
        <v>1229</v>
      </c>
      <c r="Q951" s="7">
        <v>200</v>
      </c>
      <c r="R951" s="7">
        <v>90</v>
      </c>
      <c r="S951" s="7">
        <v>14</v>
      </c>
      <c r="T951" s="8">
        <v>5.6</v>
      </c>
      <c r="U951" s="8">
        <v>0.2</v>
      </c>
      <c r="V951" s="17">
        <v>0.2</v>
      </c>
      <c r="AD951" s="1"/>
      <c r="AE951" s="3"/>
      <c r="AF951" s="2"/>
      <c r="AG951" s="3"/>
      <c r="AH951" s="3"/>
      <c r="AI951" s="3"/>
      <c r="AJ951" s="1"/>
      <c r="AK951" s="1"/>
    </row>
    <row r="952" spans="1:37" x14ac:dyDescent="0.3">
      <c r="A952" s="14">
        <v>862</v>
      </c>
      <c r="B952" s="14">
        <v>1</v>
      </c>
      <c r="C952" s="9" t="s">
        <v>1659</v>
      </c>
      <c r="D952" s="9" t="s">
        <v>1208</v>
      </c>
      <c r="E952" s="9" t="s">
        <v>2830</v>
      </c>
      <c r="F952" s="9" t="s">
        <v>2831</v>
      </c>
      <c r="G952" s="9">
        <v>3</v>
      </c>
      <c r="H952" s="9"/>
      <c r="I952" s="9"/>
      <c r="J952" s="9"/>
      <c r="K952" s="9" t="b">
        <v>0</v>
      </c>
      <c r="L952" s="9" t="s">
        <v>7</v>
      </c>
      <c r="M952" s="9" t="b">
        <v>0</v>
      </c>
      <c r="N952" s="9" t="s">
        <v>2832</v>
      </c>
      <c r="O952" s="9" t="s">
        <v>4037</v>
      </c>
      <c r="P952" s="7">
        <v>934</v>
      </c>
      <c r="Q952" s="7">
        <v>167</v>
      </c>
      <c r="R952" s="7">
        <v>56</v>
      </c>
      <c r="S952" s="7">
        <v>15</v>
      </c>
      <c r="T952" s="8">
        <v>6.3</v>
      </c>
      <c r="U952" s="8">
        <v>0.2</v>
      </c>
      <c r="V952" s="17">
        <v>0.2</v>
      </c>
      <c r="AD952" s="1"/>
      <c r="AE952" s="3"/>
      <c r="AF952" s="2"/>
      <c r="AG952" s="2"/>
      <c r="AH952" s="3"/>
      <c r="AI952" s="3"/>
      <c r="AJ952" s="1"/>
      <c r="AK952" s="1"/>
    </row>
    <row r="953" spans="1:37" x14ac:dyDescent="0.3">
      <c r="A953" s="14">
        <v>908</v>
      </c>
      <c r="B953" s="14">
        <v>4</v>
      </c>
      <c r="C953" s="9" t="s">
        <v>1659</v>
      </c>
      <c r="D953" s="9" t="s">
        <v>1394</v>
      </c>
      <c r="E953" s="9" t="s">
        <v>2964</v>
      </c>
      <c r="F953" s="9" t="s">
        <v>2965</v>
      </c>
      <c r="G953" s="9">
        <v>1</v>
      </c>
      <c r="H953" s="9"/>
      <c r="I953" s="9"/>
      <c r="J953" s="9"/>
      <c r="K953" s="9" t="b">
        <v>0</v>
      </c>
      <c r="L953" s="9"/>
      <c r="M953" s="9" t="b">
        <v>0</v>
      </c>
      <c r="N953" s="9" t="s">
        <v>2966</v>
      </c>
      <c r="O953" s="9" t="s">
        <v>4080</v>
      </c>
      <c r="P953" s="7">
        <v>995</v>
      </c>
      <c r="Q953" s="7">
        <v>150</v>
      </c>
      <c r="R953" s="7">
        <v>36</v>
      </c>
      <c r="S953" s="7">
        <v>13</v>
      </c>
      <c r="T953" s="8">
        <v>6.3</v>
      </c>
      <c r="U953" s="8">
        <v>0.2</v>
      </c>
      <c r="V953" s="17">
        <v>0.2</v>
      </c>
      <c r="AD953" s="1"/>
      <c r="AE953" s="3"/>
      <c r="AF953" s="3"/>
      <c r="AG953" s="3"/>
      <c r="AH953" s="3"/>
      <c r="AI953" s="3"/>
      <c r="AJ953" s="1"/>
      <c r="AK953" s="1"/>
    </row>
    <row r="954" spans="1:37" x14ac:dyDescent="0.3">
      <c r="A954" s="14">
        <v>9</v>
      </c>
      <c r="B954" s="14">
        <v>1</v>
      </c>
      <c r="C954" s="9" t="s">
        <v>0</v>
      </c>
      <c r="D954" s="9" t="s">
        <v>1</v>
      </c>
      <c r="E954" s="9" t="s">
        <v>34</v>
      </c>
      <c r="F954" s="9" t="s">
        <v>35</v>
      </c>
      <c r="G954" s="9">
        <v>1</v>
      </c>
      <c r="H954" s="9"/>
      <c r="I954" s="9" t="s">
        <v>5</v>
      </c>
      <c r="J954" s="9"/>
      <c r="K954" s="9" t="b">
        <v>0</v>
      </c>
      <c r="L954" s="9" t="s">
        <v>7</v>
      </c>
      <c r="M954" s="9" t="b">
        <v>0</v>
      </c>
      <c r="N954" s="9" t="s">
        <v>36</v>
      </c>
      <c r="O954" s="9" t="s">
        <v>3185</v>
      </c>
      <c r="P954" s="7">
        <v>974</v>
      </c>
      <c r="Q954" s="7">
        <v>210</v>
      </c>
      <c r="R954" s="7">
        <v>78</v>
      </c>
      <c r="S954" s="7">
        <v>11</v>
      </c>
      <c r="T954" s="8">
        <v>5.8</v>
      </c>
      <c r="U954" s="8">
        <v>0.2</v>
      </c>
      <c r="V954" s="17">
        <v>0.2</v>
      </c>
      <c r="AD954" s="1"/>
      <c r="AE954" s="3"/>
      <c r="AF954" s="2"/>
      <c r="AG954" s="2"/>
      <c r="AH954" s="3"/>
      <c r="AI954" s="3"/>
      <c r="AJ954" s="1"/>
      <c r="AK954" s="1"/>
    </row>
    <row r="955" spans="1:37" x14ac:dyDescent="0.3">
      <c r="A955" s="14">
        <v>315</v>
      </c>
      <c r="B955" s="14">
        <v>1</v>
      </c>
      <c r="C955" s="9" t="s">
        <v>0</v>
      </c>
      <c r="D955" s="9" t="s">
        <v>1077</v>
      </c>
      <c r="E955" s="9" t="s">
        <v>1119</v>
      </c>
      <c r="F955" s="9" t="s">
        <v>1120</v>
      </c>
      <c r="G955" s="9">
        <v>1</v>
      </c>
      <c r="H955" s="9"/>
      <c r="I955" s="9" t="s">
        <v>114</v>
      </c>
      <c r="J955" s="9"/>
      <c r="K955" s="9" t="b">
        <v>0</v>
      </c>
      <c r="L955" s="9" t="s">
        <v>7</v>
      </c>
      <c r="M955" s="9" t="b">
        <v>0</v>
      </c>
      <c r="N955" s="9" t="s">
        <v>1121</v>
      </c>
      <c r="O955" s="9" t="s">
        <v>3491</v>
      </c>
      <c r="P955" s="7">
        <v>976</v>
      </c>
      <c r="Q955" s="7">
        <v>176</v>
      </c>
      <c r="R955" s="7">
        <v>72</v>
      </c>
      <c r="S955" s="7">
        <v>16</v>
      </c>
      <c r="T955" s="8">
        <v>6.1</v>
      </c>
      <c r="U955" s="8">
        <v>0.2</v>
      </c>
      <c r="V955" s="17">
        <v>0.2</v>
      </c>
      <c r="AD955" s="1"/>
      <c r="AE955" s="3"/>
      <c r="AF955" s="2"/>
      <c r="AG955" s="2"/>
      <c r="AH955" s="2"/>
      <c r="AI955" s="3"/>
      <c r="AJ955" s="1"/>
      <c r="AK955" s="1"/>
    </row>
    <row r="956" spans="1:37" x14ac:dyDescent="0.3">
      <c r="A956" s="14">
        <v>317</v>
      </c>
      <c r="B956" s="14">
        <v>1</v>
      </c>
      <c r="C956" s="9" t="s">
        <v>0</v>
      </c>
      <c r="D956" s="9" t="s">
        <v>1077</v>
      </c>
      <c r="E956" s="9" t="s">
        <v>1125</v>
      </c>
      <c r="F956" s="9" t="s">
        <v>1126</v>
      </c>
      <c r="G956" s="9">
        <v>1</v>
      </c>
      <c r="H956" s="9" t="s">
        <v>1127</v>
      </c>
      <c r="I956" s="9" t="s">
        <v>1128</v>
      </c>
      <c r="J956" s="9">
        <v>8</v>
      </c>
      <c r="K956" s="9" t="b">
        <v>0</v>
      </c>
      <c r="L956" s="9" t="s">
        <v>7</v>
      </c>
      <c r="M956" s="9" t="b">
        <v>0</v>
      </c>
      <c r="N956" s="9" t="s">
        <v>1129</v>
      </c>
      <c r="O956" s="9" t="s">
        <v>3493</v>
      </c>
      <c r="P956" s="7">
        <v>1116</v>
      </c>
      <c r="Q956" s="7">
        <v>190</v>
      </c>
      <c r="R956" s="7">
        <v>65</v>
      </c>
      <c r="S956" s="7">
        <v>19</v>
      </c>
      <c r="T956" s="8">
        <v>5.7</v>
      </c>
      <c r="U956" s="8">
        <v>0.2</v>
      </c>
      <c r="V956" s="17">
        <v>0.2</v>
      </c>
      <c r="AD956" s="1"/>
      <c r="AE956" s="3"/>
      <c r="AF956" s="3"/>
      <c r="AG956" s="3"/>
      <c r="AH956" s="3"/>
      <c r="AI956" s="3"/>
      <c r="AJ956" s="1"/>
      <c r="AK956" s="1"/>
    </row>
    <row r="957" spans="1:37" x14ac:dyDescent="0.3">
      <c r="A957" s="14">
        <v>321</v>
      </c>
      <c r="B957" s="14">
        <v>1</v>
      </c>
      <c r="C957" s="9" t="s">
        <v>0</v>
      </c>
      <c r="D957" s="9" t="s">
        <v>1077</v>
      </c>
      <c r="E957" s="9" t="s">
        <v>1140</v>
      </c>
      <c r="F957" s="9" t="s">
        <v>1141</v>
      </c>
      <c r="G957" s="9">
        <v>1</v>
      </c>
      <c r="H957" s="9"/>
      <c r="I957" s="9" t="s">
        <v>1142</v>
      </c>
      <c r="J957" s="9">
        <v>2</v>
      </c>
      <c r="K957" s="9" t="b">
        <v>0</v>
      </c>
      <c r="L957" s="9" t="s">
        <v>7</v>
      </c>
      <c r="M957" s="9" t="b">
        <v>0</v>
      </c>
      <c r="N957" s="9" t="s">
        <v>1143</v>
      </c>
      <c r="O957" s="9" t="s">
        <v>3497</v>
      </c>
      <c r="P957" s="7">
        <v>1150</v>
      </c>
      <c r="Q957" s="7">
        <v>309</v>
      </c>
      <c r="R957" s="7">
        <v>104</v>
      </c>
      <c r="S957" s="7">
        <v>20</v>
      </c>
      <c r="T957" s="8">
        <v>6.2</v>
      </c>
      <c r="U957" s="8">
        <v>0.2</v>
      </c>
      <c r="V957" s="17">
        <v>0.2</v>
      </c>
      <c r="AD957" s="1"/>
      <c r="AE957" s="3"/>
      <c r="AF957" s="2"/>
      <c r="AG957" s="3"/>
      <c r="AH957" s="3"/>
      <c r="AI957" s="3"/>
      <c r="AJ957" s="1"/>
      <c r="AK957" s="1"/>
    </row>
    <row r="958" spans="1:37" x14ac:dyDescent="0.3">
      <c r="A958" s="14">
        <v>374</v>
      </c>
      <c r="B958" s="14">
        <v>1</v>
      </c>
      <c r="C958" s="9" t="s">
        <v>0</v>
      </c>
      <c r="D958" s="9" t="s">
        <v>1208</v>
      </c>
      <c r="E958" s="9" t="s">
        <v>1314</v>
      </c>
      <c r="F958" s="9" t="s">
        <v>1315</v>
      </c>
      <c r="G958" s="9">
        <v>1</v>
      </c>
      <c r="H958" s="9"/>
      <c r="I958" s="9" t="s">
        <v>22</v>
      </c>
      <c r="J958" s="9"/>
      <c r="K958" s="9" t="b">
        <v>0</v>
      </c>
      <c r="L958" s="9" t="s">
        <v>7</v>
      </c>
      <c r="M958" s="9" t="b">
        <v>0</v>
      </c>
      <c r="N958" s="9" t="s">
        <v>1316</v>
      </c>
      <c r="O958" s="9" t="s">
        <v>3550</v>
      </c>
      <c r="P958" s="7">
        <v>1184</v>
      </c>
      <c r="Q958" s="7">
        <v>245</v>
      </c>
      <c r="R958" s="7">
        <v>106</v>
      </c>
      <c r="S958" s="7">
        <v>15</v>
      </c>
      <c r="T958" s="8">
        <v>6</v>
      </c>
      <c r="U958" s="8">
        <v>0.2</v>
      </c>
      <c r="V958" s="17">
        <v>0.2</v>
      </c>
      <c r="AD958" s="1"/>
      <c r="AE958" s="3"/>
      <c r="AF958" s="2"/>
      <c r="AG958" s="3"/>
      <c r="AH958" s="3"/>
      <c r="AI958" s="3"/>
      <c r="AJ958" s="1"/>
      <c r="AK958" s="1"/>
    </row>
    <row r="959" spans="1:37" x14ac:dyDescent="0.3">
      <c r="A959" s="14">
        <v>549</v>
      </c>
      <c r="B959" s="14">
        <v>2</v>
      </c>
      <c r="C959" s="9" t="s">
        <v>1659</v>
      </c>
      <c r="D959" s="9" t="s">
        <v>180</v>
      </c>
      <c r="E959" s="9" t="s">
        <v>1866</v>
      </c>
      <c r="F959" s="9" t="s">
        <v>1867</v>
      </c>
      <c r="G959" s="9">
        <v>3</v>
      </c>
      <c r="H959" s="9"/>
      <c r="I959" s="9"/>
      <c r="J959" s="9"/>
      <c r="K959" s="9" t="b">
        <v>0</v>
      </c>
      <c r="L959" s="9" t="s">
        <v>296</v>
      </c>
      <c r="M959" s="9" t="b">
        <v>0</v>
      </c>
      <c r="N959" s="9" t="s">
        <v>1868</v>
      </c>
      <c r="O959" s="9" t="s">
        <v>3724</v>
      </c>
      <c r="P959" s="7">
        <v>1001</v>
      </c>
      <c r="Q959" s="7">
        <v>113</v>
      </c>
      <c r="R959" s="7">
        <v>36</v>
      </c>
      <c r="S959" s="7">
        <v>7</v>
      </c>
      <c r="T959" s="8">
        <v>6</v>
      </c>
      <c r="U959" s="8">
        <v>0.1</v>
      </c>
      <c r="V959" s="17">
        <v>0.1</v>
      </c>
      <c r="AD959" s="1"/>
      <c r="AE959" s="3"/>
      <c r="AF959" s="2"/>
      <c r="AG959" s="2"/>
      <c r="AH959" s="3"/>
      <c r="AI959" s="3"/>
      <c r="AJ959" s="1"/>
      <c r="AK959" s="1"/>
    </row>
    <row r="960" spans="1:37" x14ac:dyDescent="0.3">
      <c r="A960" s="14">
        <v>834</v>
      </c>
      <c r="B960" s="14">
        <v>1</v>
      </c>
      <c r="C960" s="9" t="s">
        <v>1659</v>
      </c>
      <c r="D960" s="9" t="s">
        <v>1208</v>
      </c>
      <c r="E960" s="9" t="s">
        <v>2746</v>
      </c>
      <c r="F960" s="10" t="s">
        <v>2747</v>
      </c>
      <c r="G960" s="9">
        <v>4</v>
      </c>
      <c r="H960" s="9"/>
      <c r="I960" s="9"/>
      <c r="J960" s="9"/>
      <c r="K960" s="9" t="b">
        <v>0</v>
      </c>
      <c r="L960" s="9" t="s">
        <v>7</v>
      </c>
      <c r="M960" s="9" t="b">
        <v>0</v>
      </c>
      <c r="N960" s="9" t="s">
        <v>2748</v>
      </c>
      <c r="O960" s="9" t="s">
        <v>4009</v>
      </c>
      <c r="P960" s="7">
        <v>1010</v>
      </c>
      <c r="Q960" s="7">
        <v>150</v>
      </c>
      <c r="R960" s="7">
        <v>43</v>
      </c>
      <c r="S960" s="7">
        <v>7</v>
      </c>
      <c r="T960" s="8">
        <v>5.9</v>
      </c>
      <c r="U960" s="8">
        <v>0.1</v>
      </c>
      <c r="V960" s="17">
        <v>0.1</v>
      </c>
      <c r="AD960" s="1"/>
      <c r="AE960" s="3"/>
      <c r="AF960" s="2"/>
      <c r="AG960" s="2"/>
      <c r="AH960" s="2"/>
      <c r="AI960" s="3"/>
      <c r="AJ960" s="1"/>
      <c r="AK960" s="1"/>
    </row>
    <row r="961" spans="1:37" x14ac:dyDescent="0.3">
      <c r="A961" s="14">
        <v>485</v>
      </c>
      <c r="B961" s="14">
        <v>1</v>
      </c>
      <c r="C961" s="9" t="s">
        <v>1659</v>
      </c>
      <c r="D961" s="9" t="s">
        <v>1</v>
      </c>
      <c r="E961" s="9" t="s">
        <v>1675</v>
      </c>
      <c r="F961" s="9" t="s">
        <v>1676</v>
      </c>
      <c r="G961" s="9">
        <v>3</v>
      </c>
      <c r="H961" s="9"/>
      <c r="I961" s="9"/>
      <c r="J961" s="9"/>
      <c r="K961" s="9" t="b">
        <v>0</v>
      </c>
      <c r="L961" s="9" t="s">
        <v>7</v>
      </c>
      <c r="M961" s="9" t="b">
        <v>0</v>
      </c>
      <c r="N961" s="9" t="s">
        <v>1677</v>
      </c>
      <c r="O961" s="9" t="s">
        <v>3660</v>
      </c>
      <c r="P961" s="7">
        <v>958</v>
      </c>
      <c r="Q961" s="7">
        <v>179</v>
      </c>
      <c r="R961" s="7">
        <v>36</v>
      </c>
      <c r="S961" s="7">
        <v>9</v>
      </c>
      <c r="T961" s="8">
        <v>6.2</v>
      </c>
      <c r="U961" s="8">
        <v>0.1</v>
      </c>
      <c r="V961" s="17">
        <v>0.1</v>
      </c>
      <c r="AD961" s="1"/>
      <c r="AE961" s="3"/>
      <c r="AF961" s="3"/>
      <c r="AG961" s="3"/>
      <c r="AH961" s="3"/>
      <c r="AI961" s="3"/>
      <c r="AJ961" s="1"/>
      <c r="AK961" s="1"/>
    </row>
    <row r="962" spans="1:37" x14ac:dyDescent="0.3">
      <c r="A962" s="14">
        <v>794</v>
      </c>
      <c r="B962" s="14">
        <v>1</v>
      </c>
      <c r="C962" s="9" t="s">
        <v>1659</v>
      </c>
      <c r="D962" s="9" t="s">
        <v>1077</v>
      </c>
      <c r="E962" s="9" t="s">
        <v>2626</v>
      </c>
      <c r="F962" s="9" t="s">
        <v>2627</v>
      </c>
      <c r="G962" s="9">
        <v>1</v>
      </c>
      <c r="H962" s="9"/>
      <c r="I962" s="9"/>
      <c r="J962" s="9"/>
      <c r="K962" s="9" t="b">
        <v>0</v>
      </c>
      <c r="L962" s="9" t="s">
        <v>7</v>
      </c>
      <c r="M962" s="9" t="b">
        <v>0</v>
      </c>
      <c r="N962" s="9" t="s">
        <v>2628</v>
      </c>
      <c r="O962" s="9" t="s">
        <v>3969</v>
      </c>
      <c r="P962" s="7">
        <v>932</v>
      </c>
      <c r="Q962" s="7">
        <v>103</v>
      </c>
      <c r="R962" s="7">
        <v>22</v>
      </c>
      <c r="S962" s="7">
        <v>7</v>
      </c>
      <c r="T962" s="8">
        <v>6.5</v>
      </c>
      <c r="U962" s="8">
        <v>0.1</v>
      </c>
      <c r="V962" s="17">
        <v>0.1</v>
      </c>
      <c r="AD962" s="1"/>
      <c r="AE962" s="3"/>
      <c r="AF962" s="3"/>
      <c r="AG962" s="3"/>
      <c r="AH962" s="3"/>
      <c r="AI962" s="3"/>
      <c r="AJ962" s="1"/>
      <c r="AK962" s="1"/>
    </row>
    <row r="963" spans="1:37" x14ac:dyDescent="0.3">
      <c r="A963" s="14">
        <v>516</v>
      </c>
      <c r="B963" s="14">
        <v>1</v>
      </c>
      <c r="C963" s="9" t="s">
        <v>1659</v>
      </c>
      <c r="D963" s="9" t="s">
        <v>1</v>
      </c>
      <c r="E963" s="9" t="s">
        <v>1768</v>
      </c>
      <c r="F963" s="9" t="s">
        <v>1769</v>
      </c>
      <c r="G963" s="9">
        <v>4</v>
      </c>
      <c r="H963" s="9"/>
      <c r="I963" s="9"/>
      <c r="J963" s="9"/>
      <c r="K963" s="9" t="b">
        <v>0</v>
      </c>
      <c r="L963" s="9" t="s">
        <v>7</v>
      </c>
      <c r="M963" s="9" t="b">
        <v>0</v>
      </c>
      <c r="N963" s="9" t="s">
        <v>1770</v>
      </c>
      <c r="O963" s="9" t="s">
        <v>3691</v>
      </c>
      <c r="P963" s="7">
        <v>1021</v>
      </c>
      <c r="Q963" s="7">
        <v>190</v>
      </c>
      <c r="R963" s="7">
        <v>35</v>
      </c>
      <c r="S963" s="7">
        <v>9</v>
      </c>
      <c r="T963" s="8">
        <v>6.2</v>
      </c>
      <c r="U963" s="8">
        <v>0.1</v>
      </c>
      <c r="V963" s="17">
        <v>0.1</v>
      </c>
      <c r="AD963" s="1"/>
      <c r="AE963" s="3"/>
      <c r="AF963" s="2"/>
      <c r="AG963" s="2"/>
      <c r="AH963" s="3"/>
      <c r="AI963" s="3"/>
      <c r="AJ963" s="1"/>
      <c r="AK963" s="1"/>
    </row>
    <row r="964" spans="1:37" x14ac:dyDescent="0.3">
      <c r="A964" s="14">
        <v>949</v>
      </c>
      <c r="B964" s="14">
        <v>2</v>
      </c>
      <c r="C964" s="9" t="s">
        <v>1659</v>
      </c>
      <c r="D964" s="9" t="s">
        <v>1457</v>
      </c>
      <c r="E964" s="9" t="s">
        <v>3095</v>
      </c>
      <c r="F964" s="9" t="s">
        <v>3096</v>
      </c>
      <c r="G964" s="9">
        <v>1</v>
      </c>
      <c r="H964" s="9"/>
      <c r="I964" s="9"/>
      <c r="J964" s="9"/>
      <c r="K964" s="9" t="b">
        <v>0</v>
      </c>
      <c r="L964" s="9" t="s">
        <v>309</v>
      </c>
      <c r="M964" s="9" t="b">
        <v>0</v>
      </c>
      <c r="N964" s="9" t="s">
        <v>3097</v>
      </c>
      <c r="O964" s="9" t="s">
        <v>4121</v>
      </c>
      <c r="P964" s="7">
        <v>931</v>
      </c>
      <c r="Q964" s="7">
        <v>85</v>
      </c>
      <c r="R964" s="7">
        <v>17</v>
      </c>
      <c r="S964" s="7">
        <v>6</v>
      </c>
      <c r="T964" s="8">
        <v>6.4</v>
      </c>
      <c r="U964" s="8">
        <v>0.1</v>
      </c>
      <c r="V964" s="17">
        <v>0.1</v>
      </c>
      <c r="AD964" s="1"/>
      <c r="AE964" s="3"/>
      <c r="AF964" s="2"/>
      <c r="AG964" s="2"/>
      <c r="AH964" s="3"/>
      <c r="AI964" s="3"/>
      <c r="AJ964" s="1"/>
      <c r="AK964" s="1"/>
    </row>
    <row r="965" spans="1:37" x14ac:dyDescent="0.3">
      <c r="A965" s="14">
        <v>818</v>
      </c>
      <c r="B965" s="14">
        <v>1</v>
      </c>
      <c r="C965" s="9" t="s">
        <v>1659</v>
      </c>
      <c r="D965" s="9" t="s">
        <v>1077</v>
      </c>
      <c r="E965" s="9" t="s">
        <v>2698</v>
      </c>
      <c r="F965" s="9" t="s">
        <v>2699</v>
      </c>
      <c r="G965" s="9">
        <v>4</v>
      </c>
      <c r="H965" s="9"/>
      <c r="I965" s="9"/>
      <c r="J965" s="9"/>
      <c r="K965" s="9" t="b">
        <v>0</v>
      </c>
      <c r="L965" s="9" t="s">
        <v>7</v>
      </c>
      <c r="M965" s="9" t="b">
        <v>0</v>
      </c>
      <c r="N965" s="9" t="s">
        <v>2700</v>
      </c>
      <c r="O965" s="9" t="s">
        <v>3993</v>
      </c>
      <c r="P965" s="7">
        <v>1076</v>
      </c>
      <c r="Q965" s="7">
        <v>180</v>
      </c>
      <c r="R965" s="7">
        <v>54</v>
      </c>
      <c r="S965" s="7">
        <v>11</v>
      </c>
      <c r="T965" s="8">
        <v>6.1</v>
      </c>
      <c r="U965" s="8">
        <v>0.1</v>
      </c>
      <c r="V965" s="17">
        <v>0.1</v>
      </c>
      <c r="AD965" s="1"/>
      <c r="AE965" s="3"/>
      <c r="AF965" s="2"/>
      <c r="AG965" s="2"/>
      <c r="AH965" s="2"/>
      <c r="AI965" s="3"/>
      <c r="AJ965" s="1"/>
      <c r="AK965" s="1"/>
    </row>
    <row r="966" spans="1:37" x14ac:dyDescent="0.3">
      <c r="A966" s="14">
        <v>869</v>
      </c>
      <c r="B966" s="14">
        <v>1</v>
      </c>
      <c r="C966" s="9" t="s">
        <v>1659</v>
      </c>
      <c r="D966" s="9" t="s">
        <v>1208</v>
      </c>
      <c r="E966" s="9" t="s">
        <v>2851</v>
      </c>
      <c r="F966" s="9" t="s">
        <v>2852</v>
      </c>
      <c r="G966" s="9">
        <v>4</v>
      </c>
      <c r="H966" s="9"/>
      <c r="I966" s="9"/>
      <c r="J966" s="9"/>
      <c r="K966" s="9" t="b">
        <v>0</v>
      </c>
      <c r="L966" s="9" t="s">
        <v>7</v>
      </c>
      <c r="M966" s="9" t="b">
        <v>0</v>
      </c>
      <c r="N966" s="9" t="s">
        <v>2853</v>
      </c>
      <c r="O966" s="9" t="s">
        <v>4044</v>
      </c>
      <c r="P966" s="7">
        <v>1026</v>
      </c>
      <c r="Q966" s="7">
        <v>153</v>
      </c>
      <c r="R966" s="7">
        <v>59</v>
      </c>
      <c r="S966" s="7">
        <v>8</v>
      </c>
      <c r="T966" s="8">
        <v>6.3</v>
      </c>
      <c r="U966" s="8">
        <v>0.1</v>
      </c>
      <c r="V966" s="17">
        <v>0.1</v>
      </c>
      <c r="AD966" s="1"/>
      <c r="AE966" s="3"/>
      <c r="AF966" s="2"/>
      <c r="AG966" s="3"/>
      <c r="AH966" s="3"/>
      <c r="AI966" s="3"/>
      <c r="AJ966" s="1"/>
      <c r="AK966" s="1"/>
    </row>
    <row r="967" spans="1:37" x14ac:dyDescent="0.3">
      <c r="AD967" s="1"/>
      <c r="AE967" s="3"/>
      <c r="AF967" s="2"/>
      <c r="AG967" s="2"/>
      <c r="AH967" s="3"/>
      <c r="AI967" s="3"/>
      <c r="AJ967" s="1"/>
      <c r="AK967" s="1"/>
    </row>
    <row r="968" spans="1:37" x14ac:dyDescent="0.3">
      <c r="AD968" s="1"/>
      <c r="AE968" s="3"/>
      <c r="AF968" s="2"/>
      <c r="AG968" s="2"/>
      <c r="AH968" s="2"/>
      <c r="AI968" s="3"/>
      <c r="AJ968" s="1"/>
      <c r="AK968" s="1"/>
    </row>
    <row r="969" spans="1:37" x14ac:dyDescent="0.3">
      <c r="AD969" s="1"/>
      <c r="AE969" s="3"/>
      <c r="AF969" s="2"/>
      <c r="AG969" s="3"/>
      <c r="AH969" s="3"/>
      <c r="AI969" s="3"/>
      <c r="AJ969" s="1"/>
      <c r="AK969" s="1"/>
    </row>
    <row r="970" spans="1:37" x14ac:dyDescent="0.3">
      <c r="AD970" s="1"/>
      <c r="AE970" s="3"/>
      <c r="AF970" s="2"/>
      <c r="AG970" s="2"/>
      <c r="AH970" s="2"/>
      <c r="AI970" s="3"/>
      <c r="AJ970" s="1"/>
      <c r="AK970" s="1"/>
    </row>
    <row r="971" spans="1:37" x14ac:dyDescent="0.3">
      <c r="AD971" s="1"/>
      <c r="AE971" s="3"/>
      <c r="AF971" s="2"/>
      <c r="AG971" s="2"/>
      <c r="AH971" s="3"/>
      <c r="AI971" s="3"/>
      <c r="AJ971" s="1"/>
      <c r="AK971" s="1"/>
    </row>
    <row r="972" spans="1:37" x14ac:dyDescent="0.3">
      <c r="AD972" s="1"/>
      <c r="AE972" s="3"/>
      <c r="AF972" s="2"/>
      <c r="AG972" s="3"/>
      <c r="AH972" s="3"/>
      <c r="AI972" s="3"/>
      <c r="AJ972" s="1"/>
      <c r="AK972" s="1"/>
    </row>
    <row r="973" spans="1:37" x14ac:dyDescent="0.3">
      <c r="AD973" s="1"/>
      <c r="AE973" s="3"/>
      <c r="AF973" s="2"/>
      <c r="AG973" s="3"/>
      <c r="AH973" s="3"/>
      <c r="AI973" s="3"/>
      <c r="AJ973" s="1"/>
      <c r="AK973" s="1"/>
    </row>
    <row r="974" spans="1:37" x14ac:dyDescent="0.3">
      <c r="AD974" s="1"/>
      <c r="AE974" s="3"/>
      <c r="AF974" s="2"/>
      <c r="AG974" s="3"/>
      <c r="AH974" s="3"/>
      <c r="AI974" s="3"/>
      <c r="AJ974" s="1"/>
      <c r="AK974" s="1"/>
    </row>
    <row r="975" spans="1:37" x14ac:dyDescent="0.3">
      <c r="AD975" s="1"/>
      <c r="AE975" s="3"/>
      <c r="AF975" s="2"/>
      <c r="AG975" s="2"/>
      <c r="AH975" s="2"/>
      <c r="AI975" s="3"/>
      <c r="AJ975" s="1"/>
      <c r="AK975" s="1"/>
    </row>
    <row r="976" spans="1:37" x14ac:dyDescent="0.3">
      <c r="AD976" s="1"/>
      <c r="AE976" s="3"/>
      <c r="AF976" s="2"/>
      <c r="AG976" s="2"/>
      <c r="AH976" s="3"/>
      <c r="AI976" s="3"/>
      <c r="AJ976" s="1"/>
      <c r="AK976" s="1"/>
    </row>
    <row r="977" spans="30:37" x14ac:dyDescent="0.3">
      <c r="AD977" s="1"/>
      <c r="AE977" s="3"/>
      <c r="AF977" s="2"/>
      <c r="AG977" s="3"/>
      <c r="AH977" s="3"/>
      <c r="AI977" s="3"/>
      <c r="AJ977" s="1"/>
      <c r="AK977" s="1"/>
    </row>
    <row r="978" spans="30:37" x14ac:dyDescent="0.3">
      <c r="AD978" s="1"/>
      <c r="AE978" s="3"/>
      <c r="AF978" s="2"/>
      <c r="AG978" s="2"/>
      <c r="AH978" s="3"/>
      <c r="AI978" s="3"/>
      <c r="AJ978" s="1"/>
      <c r="AK978" s="1"/>
    </row>
    <row r="979" spans="30:37" x14ac:dyDescent="0.3">
      <c r="AD979" s="1"/>
      <c r="AE979" s="3"/>
      <c r="AF979" s="2"/>
      <c r="AG979" s="2"/>
      <c r="AH979" s="2"/>
      <c r="AI979" s="3"/>
      <c r="AJ979" s="1"/>
      <c r="AK979" s="1"/>
    </row>
    <row r="980" spans="30:37" x14ac:dyDescent="0.3">
      <c r="AD980" s="1"/>
      <c r="AE980" s="3"/>
      <c r="AF980" s="2"/>
      <c r="AG980" s="2"/>
      <c r="AH980" s="3"/>
      <c r="AI980" s="3"/>
      <c r="AJ980" s="1"/>
      <c r="AK980" s="1"/>
    </row>
    <row r="981" spans="30:37" x14ac:dyDescent="0.3">
      <c r="AD981" s="1"/>
      <c r="AE981" s="3"/>
      <c r="AF981" s="3"/>
      <c r="AG981" s="3"/>
      <c r="AH981" s="3"/>
      <c r="AI981" s="3"/>
      <c r="AJ981" s="1"/>
      <c r="AK981" s="1"/>
    </row>
    <row r="982" spans="30:37" x14ac:dyDescent="0.3">
      <c r="AD982" s="1"/>
      <c r="AE982" s="3"/>
      <c r="AF982" s="3"/>
      <c r="AG982" s="3"/>
      <c r="AH982" s="3"/>
      <c r="AI982" s="3"/>
      <c r="AJ982" s="1"/>
      <c r="AK982" s="1"/>
    </row>
    <row r="983" spans="30:37" x14ac:dyDescent="0.3">
      <c r="AD983" s="1"/>
      <c r="AE983" s="3"/>
      <c r="AF983" s="2"/>
      <c r="AG983" s="3"/>
      <c r="AH983" s="3"/>
      <c r="AI983" s="3"/>
      <c r="AJ983" s="1"/>
      <c r="AK983" s="1"/>
    </row>
    <row r="984" spans="30:37" x14ac:dyDescent="0.3">
      <c r="AD984" s="1"/>
      <c r="AE984" s="3"/>
      <c r="AF984" s="3"/>
      <c r="AG984" s="3"/>
      <c r="AH984" s="3"/>
      <c r="AI984" s="3"/>
      <c r="AJ984" s="1"/>
      <c r="AK984" s="1"/>
    </row>
    <row r="985" spans="30:37" x14ac:dyDescent="0.3">
      <c r="AD985" s="1"/>
      <c r="AE985" s="3"/>
      <c r="AF985" s="2"/>
      <c r="AG985" s="3"/>
      <c r="AH985" s="3"/>
      <c r="AI985" s="3"/>
      <c r="AJ985" s="1"/>
      <c r="AK985" s="1"/>
    </row>
    <row r="986" spans="30:37" x14ac:dyDescent="0.3">
      <c r="AD986" s="1"/>
      <c r="AE986" s="3"/>
      <c r="AF986" s="2"/>
      <c r="AG986" s="2"/>
      <c r="AH986" s="2"/>
      <c r="AI986" s="3"/>
      <c r="AJ986" s="1"/>
      <c r="AK986" s="1"/>
    </row>
    <row r="987" spans="30:37" x14ac:dyDescent="0.3">
      <c r="AD987" s="1"/>
      <c r="AE987" s="3"/>
      <c r="AF987" s="2"/>
      <c r="AG987" s="3"/>
      <c r="AH987" s="3"/>
      <c r="AI987" s="3"/>
      <c r="AJ987" s="1"/>
      <c r="AK987" s="1"/>
    </row>
    <row r="988" spans="30:37" x14ac:dyDescent="0.3">
      <c r="AD988" s="1"/>
      <c r="AE988" s="3"/>
      <c r="AF988" s="2"/>
      <c r="AG988" s="3"/>
      <c r="AH988" s="3"/>
      <c r="AI988" s="3"/>
      <c r="AJ988" s="1"/>
      <c r="AK988" s="1"/>
    </row>
    <row r="989" spans="30:37" x14ac:dyDescent="0.3">
      <c r="AD989" s="1"/>
      <c r="AE989" s="3"/>
      <c r="AF989" s="2"/>
      <c r="AG989" s="3"/>
      <c r="AH989" s="3"/>
      <c r="AI989" s="3"/>
      <c r="AJ989" s="1"/>
      <c r="AK989" s="1"/>
    </row>
    <row r="990" spans="30:37" x14ac:dyDescent="0.3">
      <c r="AD990" s="1"/>
      <c r="AE990" s="3"/>
      <c r="AF990" s="3"/>
      <c r="AG990" s="3"/>
      <c r="AH990" s="3"/>
      <c r="AI990" s="3"/>
      <c r="AJ990" s="1"/>
      <c r="AK990" s="1"/>
    </row>
    <row r="991" spans="30:37" x14ac:dyDescent="0.3">
      <c r="AD991" s="1"/>
      <c r="AE991" s="3"/>
      <c r="AF991" s="2"/>
      <c r="AG991" s="3"/>
      <c r="AH991" s="3"/>
      <c r="AI991" s="3"/>
      <c r="AJ991" s="1"/>
      <c r="AK991" s="1"/>
    </row>
    <row r="992" spans="30:37" x14ac:dyDescent="0.3">
      <c r="AD992" s="1"/>
      <c r="AE992" s="3"/>
      <c r="AF992" s="2"/>
      <c r="AG992" s="3"/>
      <c r="AH992" s="3"/>
      <c r="AI992" s="3"/>
      <c r="AJ992" s="1"/>
      <c r="AK992" s="1"/>
    </row>
    <row r="993" spans="30:37" x14ac:dyDescent="0.3">
      <c r="AD993" s="1"/>
      <c r="AE993" s="3"/>
      <c r="AF993" s="2"/>
      <c r="AG993" s="3"/>
      <c r="AH993" s="3"/>
      <c r="AI993" s="3"/>
      <c r="AJ993" s="1"/>
      <c r="AK993" s="1"/>
    </row>
    <row r="994" spans="30:37" x14ac:dyDescent="0.3">
      <c r="AD994" s="1"/>
      <c r="AE994" s="3"/>
      <c r="AF994" s="2"/>
      <c r="AG994" s="2"/>
      <c r="AH994" s="3"/>
      <c r="AI994" s="3"/>
      <c r="AJ994" s="1"/>
      <c r="AK994" s="1"/>
    </row>
    <row r="995" spans="30:37" x14ac:dyDescent="0.3">
      <c r="AD995" s="1"/>
      <c r="AE995" s="3"/>
      <c r="AF995" s="3"/>
      <c r="AG995" s="3"/>
      <c r="AH995" s="3"/>
      <c r="AI995" s="3"/>
      <c r="AJ995" s="1"/>
      <c r="AK995" s="1"/>
    </row>
    <row r="996" spans="30:37" x14ac:dyDescent="0.3">
      <c r="AD996" s="1"/>
      <c r="AE996" s="3"/>
      <c r="AF996" s="3"/>
      <c r="AG996" s="3"/>
      <c r="AH996" s="3"/>
      <c r="AI996" s="3"/>
      <c r="AJ996" s="1"/>
      <c r="AK996" s="1"/>
    </row>
    <row r="997" spans="30:37" x14ac:dyDescent="0.3">
      <c r="AD997" s="1"/>
      <c r="AE997" s="3"/>
      <c r="AF997" s="2"/>
      <c r="AG997" s="3"/>
      <c r="AH997" s="3"/>
      <c r="AI997" s="3"/>
      <c r="AJ997" s="1"/>
      <c r="AK997" s="1"/>
    </row>
    <row r="998" spans="30:37" x14ac:dyDescent="0.3">
      <c r="AD998" s="1"/>
      <c r="AE998" s="3"/>
      <c r="AF998" s="2"/>
      <c r="AG998" s="2"/>
      <c r="AH998" s="3"/>
      <c r="AI998" s="3"/>
      <c r="AJ998" s="1"/>
      <c r="AK998" s="1"/>
    </row>
    <row r="999" spans="30:37" x14ac:dyDescent="0.3">
      <c r="AD999" s="1"/>
      <c r="AE999" s="3"/>
      <c r="AF999" s="3"/>
      <c r="AG999" s="3"/>
      <c r="AH999" s="3"/>
      <c r="AI999" s="3"/>
      <c r="AJ999" s="1"/>
      <c r="AK999" s="1"/>
    </row>
    <row r="1000" spans="30:37" x14ac:dyDescent="0.3">
      <c r="AD1000" s="1"/>
      <c r="AE1000" s="3"/>
      <c r="AF1000" s="2"/>
      <c r="AG1000" s="2"/>
      <c r="AH1000" s="3"/>
      <c r="AI1000" s="3"/>
      <c r="AJ1000" s="1"/>
      <c r="AK1000" s="1"/>
    </row>
    <row r="1001" spans="30:37" x14ac:dyDescent="0.3">
      <c r="AD1001" s="1"/>
      <c r="AE1001" s="3"/>
      <c r="AF1001" s="2"/>
      <c r="AG1001" s="2"/>
      <c r="AH1001" s="2"/>
      <c r="AI1001" s="3"/>
      <c r="AJ1001" s="1"/>
      <c r="AK1001" s="1"/>
    </row>
    <row r="1002" spans="30:37" x14ac:dyDescent="0.3">
      <c r="AD1002" s="1"/>
      <c r="AE1002" s="3"/>
      <c r="AF1002" s="3"/>
      <c r="AG1002" s="3"/>
      <c r="AH1002" s="3"/>
      <c r="AI1002" s="3"/>
      <c r="AJ1002" s="1"/>
      <c r="AK1002" s="1"/>
    </row>
    <row r="1003" spans="30:37" x14ac:dyDescent="0.3">
      <c r="AD1003" s="1"/>
      <c r="AE1003" s="3"/>
      <c r="AF1003" s="2"/>
      <c r="AG1003" s="2"/>
      <c r="AH1003" s="3"/>
      <c r="AI1003" s="3"/>
      <c r="AJ1003" s="1"/>
      <c r="AK1003" s="1"/>
    </row>
    <row r="1004" spans="30:37" x14ac:dyDescent="0.3">
      <c r="AD1004" s="1"/>
      <c r="AE1004" s="3"/>
      <c r="AF1004" s="2"/>
      <c r="AG1004" s="2"/>
      <c r="AH1004" s="2"/>
      <c r="AI1004" s="3"/>
      <c r="AJ1004" s="1"/>
      <c r="AK1004" s="1"/>
    </row>
    <row r="1005" spans="30:37" x14ac:dyDescent="0.3">
      <c r="AD1005" s="1"/>
      <c r="AE1005" s="3"/>
      <c r="AF1005" s="2"/>
      <c r="AG1005" s="2"/>
      <c r="AH1005" s="3"/>
      <c r="AI1005" s="3"/>
      <c r="AJ1005" s="1"/>
      <c r="AK1005" s="1"/>
    </row>
    <row r="1006" spans="30:37" x14ac:dyDescent="0.3">
      <c r="AD1006" s="1"/>
      <c r="AE1006" s="3"/>
      <c r="AF1006" s="2"/>
      <c r="AG1006" s="3"/>
      <c r="AH1006" s="3"/>
      <c r="AI1006" s="3"/>
      <c r="AJ1006" s="1"/>
      <c r="AK1006" s="1"/>
    </row>
    <row r="1007" spans="30:37" x14ac:dyDescent="0.3">
      <c r="AD1007" s="1"/>
      <c r="AE1007" s="3"/>
      <c r="AF1007" s="2"/>
      <c r="AG1007" s="3"/>
      <c r="AH1007" s="3"/>
      <c r="AI1007" s="3"/>
      <c r="AJ1007" s="1"/>
      <c r="AK1007" s="1"/>
    </row>
    <row r="1008" spans="30:37" x14ac:dyDescent="0.3">
      <c r="AD1008" s="1"/>
      <c r="AE1008" s="3"/>
      <c r="AF1008" s="2"/>
      <c r="AG1008" s="3"/>
      <c r="AH1008" s="3"/>
      <c r="AI1008" s="3"/>
      <c r="AJ1008" s="1"/>
      <c r="AK1008" s="1"/>
    </row>
    <row r="1009" spans="30:37" x14ac:dyDescent="0.3">
      <c r="AD1009" s="1"/>
      <c r="AE1009" s="3"/>
      <c r="AF1009" s="2"/>
      <c r="AG1009" s="2"/>
      <c r="AH1009" s="3"/>
      <c r="AI1009" s="3"/>
      <c r="AJ1009" s="1"/>
      <c r="AK1009" s="1"/>
    </row>
    <row r="1010" spans="30:37" x14ac:dyDescent="0.3">
      <c r="AD1010" s="1"/>
      <c r="AE1010" s="3"/>
      <c r="AF1010" s="2"/>
      <c r="AG1010" s="3"/>
      <c r="AH1010" s="3"/>
      <c r="AI1010" s="3"/>
      <c r="AJ1010" s="1"/>
      <c r="AK1010" s="1"/>
    </row>
    <row r="1011" spans="30:37" x14ac:dyDescent="0.3">
      <c r="AD1011" s="1"/>
      <c r="AE1011" s="3"/>
      <c r="AF1011" s="2"/>
      <c r="AG1011" s="2"/>
      <c r="AH1011" s="3"/>
      <c r="AI1011" s="3"/>
      <c r="AJ1011" s="1"/>
      <c r="AK1011" s="1"/>
    </row>
    <row r="1012" spans="30:37" x14ac:dyDescent="0.3">
      <c r="AD1012" s="1"/>
      <c r="AE1012" s="3"/>
      <c r="AF1012" s="2"/>
      <c r="AG1012" s="2"/>
      <c r="AH1012" s="2"/>
      <c r="AI1012" s="3"/>
      <c r="AJ1012" s="1"/>
      <c r="AK1012" s="1"/>
    </row>
    <row r="1013" spans="30:37" x14ac:dyDescent="0.3">
      <c r="AD1013" s="1"/>
      <c r="AE1013" s="3"/>
      <c r="AF1013" s="2"/>
      <c r="AG1013" s="3"/>
      <c r="AH1013" s="3"/>
      <c r="AI1013" s="3"/>
      <c r="AJ1013" s="1"/>
      <c r="AK1013" s="1"/>
    </row>
    <row r="1014" spans="30:37" x14ac:dyDescent="0.3">
      <c r="AD1014" s="1"/>
      <c r="AE1014" s="3"/>
      <c r="AF1014" s="3"/>
      <c r="AG1014" s="3"/>
      <c r="AH1014" s="3"/>
      <c r="AI1014" s="3"/>
      <c r="AJ1014" s="1"/>
      <c r="AK1014" s="1"/>
    </row>
    <row r="1015" spans="30:37" x14ac:dyDescent="0.3">
      <c r="AD1015" s="1"/>
      <c r="AE1015" s="3"/>
      <c r="AF1015" s="2"/>
      <c r="AG1015" s="2"/>
      <c r="AH1015" s="2"/>
      <c r="AI1015" s="3"/>
      <c r="AJ1015" s="1"/>
      <c r="AK1015" s="1"/>
    </row>
  </sheetData>
  <sortState xmlns:xlrd2="http://schemas.microsoft.com/office/spreadsheetml/2017/richdata2" ref="A2:W966">
    <sortCondition descending="1" ref="V2:V966"/>
  </sortState>
  <hyperlinks>
    <hyperlink ref="O758" r:id="rId1" xr:uid="{02638D6D-82B5-4C18-9ACD-A2AA94CE2851}"/>
    <hyperlink ref="O623" r:id="rId2" xr:uid="{33EE1C0A-17B7-43F3-8160-92A06010C749}"/>
    <hyperlink ref="O313" r:id="rId3" xr:uid="{FCEFC4BD-9371-44FF-A423-F9C2531945D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2331D-0F66-4FA9-A82D-0FC8620B9311}">
  <dimension ref="A1:K11"/>
  <sheetViews>
    <sheetView workbookViewId="0">
      <selection activeCell="G1" sqref="G1:K10"/>
    </sheetView>
  </sheetViews>
  <sheetFormatPr defaultRowHeight="14.4" x14ac:dyDescent="0.3"/>
  <cols>
    <col min="1" max="1" width="11.21875" customWidth="1"/>
  </cols>
  <sheetData>
    <row r="1" spans="1:11" ht="15" thickBot="1" x14ac:dyDescent="0.35">
      <c r="A1" s="30" t="s">
        <v>4193</v>
      </c>
      <c r="B1" s="29" t="s">
        <v>4194</v>
      </c>
      <c r="C1" s="29" t="s">
        <v>4195</v>
      </c>
      <c r="D1" s="29" t="s">
        <v>411</v>
      </c>
      <c r="E1" s="29" t="s">
        <v>4196</v>
      </c>
      <c r="G1" s="30" t="s">
        <v>4206</v>
      </c>
      <c r="H1" s="29" t="s">
        <v>4194</v>
      </c>
      <c r="I1" s="29" t="s">
        <v>4195</v>
      </c>
      <c r="J1" s="29" t="s">
        <v>411</v>
      </c>
      <c r="K1" s="29" t="s">
        <v>4196</v>
      </c>
    </row>
    <row r="2" spans="1:11" x14ac:dyDescent="0.3">
      <c r="A2" s="14" t="s">
        <v>4197</v>
      </c>
      <c r="B2" s="31">
        <v>30</v>
      </c>
      <c r="C2" s="32">
        <v>12</v>
      </c>
      <c r="D2" s="32">
        <v>10</v>
      </c>
      <c r="E2" s="33">
        <v>2</v>
      </c>
      <c r="G2" s="14" t="s">
        <v>4197</v>
      </c>
      <c r="H2" s="40">
        <f>100*B2/B$11</f>
        <v>10.638297872340425</v>
      </c>
      <c r="I2" s="41">
        <f t="shared" ref="I2:I10" si="0">100*C2/C$11</f>
        <v>5.1502145922746783</v>
      </c>
      <c r="J2" s="41">
        <f t="shared" ref="J2:J10" si="1">100*D2/D$11</f>
        <v>2.6666666666666665</v>
      </c>
      <c r="K2" s="42">
        <f t="shared" ref="K2:K10" si="2">100*E2/E$11</f>
        <v>3.125</v>
      </c>
    </row>
    <row r="3" spans="1:11" x14ac:dyDescent="0.3">
      <c r="A3" s="14" t="s">
        <v>4198</v>
      </c>
      <c r="B3" s="34">
        <v>37</v>
      </c>
      <c r="C3" s="35">
        <v>15</v>
      </c>
      <c r="D3" s="35">
        <v>18</v>
      </c>
      <c r="E3" s="36">
        <v>3</v>
      </c>
      <c r="G3" s="14" t="s">
        <v>4198</v>
      </c>
      <c r="H3" s="43">
        <f t="shared" ref="H3:H10" si="3">100*B3/B$11</f>
        <v>13.120567375886525</v>
      </c>
      <c r="I3" s="44">
        <f t="shared" si="0"/>
        <v>6.437768240343348</v>
      </c>
      <c r="J3" s="44">
        <f t="shared" si="1"/>
        <v>4.8</v>
      </c>
      <c r="K3" s="45">
        <f t="shared" si="2"/>
        <v>4.6875</v>
      </c>
    </row>
    <row r="4" spans="1:11" x14ac:dyDescent="0.3">
      <c r="A4" s="14" t="s">
        <v>4199</v>
      </c>
      <c r="B4" s="34">
        <v>39</v>
      </c>
      <c r="C4" s="35">
        <v>37</v>
      </c>
      <c r="D4" s="35">
        <v>44</v>
      </c>
      <c r="E4" s="36">
        <v>2</v>
      </c>
      <c r="G4" s="14" t="s">
        <v>4199</v>
      </c>
      <c r="H4" s="43">
        <f t="shared" si="3"/>
        <v>13.829787234042554</v>
      </c>
      <c r="I4" s="44">
        <f t="shared" si="0"/>
        <v>15.879828326180258</v>
      </c>
      <c r="J4" s="44">
        <f t="shared" si="1"/>
        <v>11.733333333333333</v>
      </c>
      <c r="K4" s="45">
        <f t="shared" si="2"/>
        <v>3.125</v>
      </c>
    </row>
    <row r="5" spans="1:11" x14ac:dyDescent="0.3">
      <c r="A5" s="14" t="s">
        <v>4200</v>
      </c>
      <c r="B5" s="34">
        <v>31</v>
      </c>
      <c r="C5" s="35">
        <v>33</v>
      </c>
      <c r="D5" s="35">
        <v>58</v>
      </c>
      <c r="E5" s="36">
        <v>20</v>
      </c>
      <c r="G5" s="14" t="s">
        <v>4200</v>
      </c>
      <c r="H5" s="43">
        <f t="shared" si="3"/>
        <v>10.99290780141844</v>
      </c>
      <c r="I5" s="44">
        <f t="shared" si="0"/>
        <v>14.163090128755364</v>
      </c>
      <c r="J5" s="44">
        <f t="shared" si="1"/>
        <v>15.466666666666667</v>
      </c>
      <c r="K5" s="45">
        <f t="shared" si="2"/>
        <v>31.25</v>
      </c>
    </row>
    <row r="6" spans="1:11" x14ac:dyDescent="0.3">
      <c r="A6" s="14" t="s">
        <v>4201</v>
      </c>
      <c r="B6" s="34">
        <v>28</v>
      </c>
      <c r="C6" s="35">
        <v>35</v>
      </c>
      <c r="D6" s="35">
        <v>64</v>
      </c>
      <c r="E6" s="36">
        <v>12</v>
      </c>
      <c r="G6" s="14" t="s">
        <v>4201</v>
      </c>
      <c r="H6" s="43">
        <f t="shared" si="3"/>
        <v>9.9290780141843964</v>
      </c>
      <c r="I6" s="44">
        <f t="shared" si="0"/>
        <v>15.021459227467812</v>
      </c>
      <c r="J6" s="44">
        <f t="shared" si="1"/>
        <v>17.066666666666666</v>
      </c>
      <c r="K6" s="45">
        <f t="shared" si="2"/>
        <v>18.75</v>
      </c>
    </row>
    <row r="7" spans="1:11" x14ac:dyDescent="0.3">
      <c r="A7" s="14" t="s">
        <v>4202</v>
      </c>
      <c r="B7" s="34">
        <v>35</v>
      </c>
      <c r="C7" s="35">
        <v>41</v>
      </c>
      <c r="D7" s="35">
        <v>61</v>
      </c>
      <c r="E7" s="36">
        <v>14</v>
      </c>
      <c r="G7" s="14" t="s">
        <v>4202</v>
      </c>
      <c r="H7" s="43">
        <f t="shared" si="3"/>
        <v>12.411347517730496</v>
      </c>
      <c r="I7" s="44">
        <f t="shared" si="0"/>
        <v>17.596566523605151</v>
      </c>
      <c r="J7" s="44">
        <f t="shared" si="1"/>
        <v>16.266666666666666</v>
      </c>
      <c r="K7" s="45">
        <f t="shared" si="2"/>
        <v>21.875</v>
      </c>
    </row>
    <row r="8" spans="1:11" x14ac:dyDescent="0.3">
      <c r="A8" s="14" t="s">
        <v>4203</v>
      </c>
      <c r="B8" s="34">
        <v>38</v>
      </c>
      <c r="C8" s="35">
        <v>35</v>
      </c>
      <c r="D8" s="35">
        <v>61</v>
      </c>
      <c r="E8" s="36">
        <v>6</v>
      </c>
      <c r="G8" s="14" t="s">
        <v>4203</v>
      </c>
      <c r="H8" s="43">
        <f t="shared" si="3"/>
        <v>13.475177304964539</v>
      </c>
      <c r="I8" s="44">
        <f t="shared" si="0"/>
        <v>15.021459227467812</v>
      </c>
      <c r="J8" s="44">
        <f t="shared" si="1"/>
        <v>16.266666666666666</v>
      </c>
      <c r="K8" s="45">
        <f t="shared" si="2"/>
        <v>9.375</v>
      </c>
    </row>
    <row r="9" spans="1:11" x14ac:dyDescent="0.3">
      <c r="A9" s="14" t="s">
        <v>4204</v>
      </c>
      <c r="B9" s="34">
        <v>24</v>
      </c>
      <c r="C9" s="35">
        <v>20</v>
      </c>
      <c r="D9" s="35">
        <v>42</v>
      </c>
      <c r="E9" s="36">
        <v>4</v>
      </c>
      <c r="G9" s="14" t="s">
        <v>4204</v>
      </c>
      <c r="H9" s="43">
        <f t="shared" si="3"/>
        <v>8.5106382978723403</v>
      </c>
      <c r="I9" s="44">
        <f t="shared" si="0"/>
        <v>8.5836909871244629</v>
      </c>
      <c r="J9" s="44">
        <f t="shared" si="1"/>
        <v>11.2</v>
      </c>
      <c r="K9" s="45">
        <f t="shared" si="2"/>
        <v>6.25</v>
      </c>
    </row>
    <row r="10" spans="1:11" ht="15" thickBot="1" x14ac:dyDescent="0.35">
      <c r="A10" s="14" t="s">
        <v>4205</v>
      </c>
      <c r="B10" s="37">
        <v>20</v>
      </c>
      <c r="C10" s="38">
        <v>5</v>
      </c>
      <c r="D10" s="38">
        <v>17</v>
      </c>
      <c r="E10" s="39">
        <v>1</v>
      </c>
      <c r="G10" s="14" t="s">
        <v>4205</v>
      </c>
      <c r="H10" s="46">
        <f t="shared" si="3"/>
        <v>7.0921985815602833</v>
      </c>
      <c r="I10" s="47">
        <f t="shared" si="0"/>
        <v>2.1459227467811157</v>
      </c>
      <c r="J10" s="47">
        <f t="shared" si="1"/>
        <v>4.5333333333333332</v>
      </c>
      <c r="K10" s="48">
        <f t="shared" si="2"/>
        <v>1.5625</v>
      </c>
    </row>
    <row r="11" spans="1:11" x14ac:dyDescent="0.3">
      <c r="B11" s="14">
        <f>SUM(B2:B10)</f>
        <v>282</v>
      </c>
      <c r="C11" s="14">
        <f t="shared" ref="C11:E11" si="4">SUM(C2:C10)</f>
        <v>233</v>
      </c>
      <c r="D11" s="14">
        <f t="shared" si="4"/>
        <v>375</v>
      </c>
      <c r="E11" s="14">
        <f t="shared" si="4"/>
        <v>64</v>
      </c>
    </row>
  </sheetData>
  <pageMargins left="0.7" right="0.7" top="0.75" bottom="0.75" header="0.3" footer="0.3"/>
</worksheet>
</file>

<file path=docMetadata/LabelInfo.xml><?xml version="1.0" encoding="utf-8"?>
<clbl:labelList xmlns:clbl="http://schemas.microsoft.com/office/2020/mipLabelMetadata">
  <clbl:label id="{463b6811-b0a4-4b2a-b932-72c4c970c5d2}" enabled="0" method="" siteId="{463b6811-b0a4-4b2a-b932-72c4c970c5d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cards</vt:lpstr>
      <vt:lpstr>PWRdistr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Oddbjørn Nødland</dc:creator>
  <cp:lastModifiedBy>Rune Halvorsen</cp:lastModifiedBy>
  <dcterms:created xsi:type="dcterms:W3CDTF">2026-02-23T20:37:16Z</dcterms:created>
  <dcterms:modified xsi:type="dcterms:W3CDTF">2026-03-18T07:27:56Z</dcterms:modified>
</cp:coreProperties>
</file>
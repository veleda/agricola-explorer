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psett" sheetId="1" state="visible" r:id="rId3"/>
    <sheet name="Printou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Agricola Explorer</author>
  </authors>
  <commentList>
    <comment ref="G60" authorId="0">
      <text>
        <r>
          <rPr>
            <sz val="10"/>
            <rFont val="Arial"/>
            <family val="2"/>
          </rPr>
          <t xml:space="preserve">Did not play this round – no score registered.</t>
        </r>
      </text>
    </comment>
    <comment ref="G61" authorId="0">
      <text>
        <r>
          <rPr>
            <sz val="10"/>
            <rFont val="Arial"/>
            <family val="2"/>
          </rPr>
          <t xml:space="preserve">Did not play this round – no score registered.</t>
        </r>
      </text>
    </comment>
    <comment ref="G62" authorId="0">
      <text>
        <r>
          <rPr>
            <sz val="10"/>
            <rFont val="Arial"/>
            <family val="2"/>
          </rPr>
          <t xml:space="preserve">Did not play this round – no score registered.</t>
        </r>
      </text>
    </comment>
    <comment ref="G63" authorId="0">
      <text>
        <r>
          <rPr>
            <sz val="10"/>
            <rFont val="Arial"/>
            <family val="2"/>
          </rPr>
          <t xml:space="preserve">Did not play this round – no score registered.</t>
        </r>
      </text>
    </comment>
    <comment ref="G64" authorId="0">
      <text>
        <r>
          <rPr>
            <sz val="10"/>
            <rFont val="Arial"/>
            <family val="2"/>
          </rPr>
          <t xml:space="preserve">Did not play this round – no score registered.</t>
        </r>
      </text>
    </comment>
    <comment ref="G65" authorId="0">
      <text>
        <r>
          <rPr>
            <sz val="10"/>
            <rFont val="Arial"/>
            <family val="2"/>
          </rPr>
          <t xml:space="preserve">Did not play this round – no score registered.</t>
        </r>
      </text>
    </comment>
    <comment ref="G66" authorId="0">
      <text>
        <r>
          <rPr>
            <sz val="10"/>
            <rFont val="Arial"/>
            <family val="2"/>
          </rPr>
          <t xml:space="preserve">Did not play this round – no score registered.</t>
        </r>
      </text>
    </comment>
    <comment ref="J25" authorId="0">
      <text>
        <r>
          <rPr>
            <sz val="10"/>
            <rFont val="Arial"/>
            <family val="2"/>
          </rPr>
          <t xml:space="preserve">Tie at this table – the template says to adjust manually for ties if your rules require it.</t>
        </r>
      </text>
    </comment>
    <comment ref="J27" authorId="0">
      <text>
        <r>
          <rPr>
            <sz val="10"/>
            <rFont val="Arial"/>
            <family val="2"/>
          </rPr>
          <t xml:space="preserve">Tie at this table – the template says to adjust manually for ties if your rules require it.</t>
        </r>
      </text>
    </comment>
    <comment ref="J46" authorId="0">
      <text>
        <r>
          <rPr>
            <sz val="10"/>
            <rFont val="Arial"/>
            <family val="2"/>
          </rPr>
          <t xml:space="preserve">Tie at this table – the template says to adjust manually for ties if your rules require it.</t>
        </r>
      </text>
    </comment>
    <comment ref="J47" authorId="0">
      <text>
        <r>
          <rPr>
            <sz val="10"/>
            <rFont val="Arial"/>
            <family val="2"/>
          </rPr>
          <t xml:space="preserve">Tie at this table – the template says to adjust manually for ties if your rules require it.</t>
        </r>
      </text>
    </comment>
    <comment ref="J48" authorId="0">
      <text>
        <r>
          <rPr>
            <sz val="10"/>
            <rFont val="Arial"/>
            <family val="2"/>
          </rPr>
          <t xml:space="preserve">Tie at this table – the template says to adjust manually for ties if your rules require it.</t>
        </r>
      </text>
    </comment>
    <comment ref="J49" authorId="0">
      <text>
        <r>
          <rPr>
            <sz val="10"/>
            <rFont val="Arial"/>
            <family val="2"/>
          </rPr>
          <t xml:space="preserve">Tie at this table – the template says to adjust manually for ties if your rules require it.</t>
        </r>
      </text>
    </comment>
  </commentList>
</comments>
</file>

<file path=xl/sharedStrings.xml><?xml version="1.0" encoding="utf-8"?>
<sst xmlns="http://schemas.openxmlformats.org/spreadsheetml/2006/main" count="256" uniqueCount="97">
  <si>
    <t xml:space="preserve">AGRICOLA tournament setup for LillehammerOpen, 8 pl, 3 rd + final </t>
  </si>
  <si>
    <t xml:space="preserve">2026-08-08</t>
  </si>
  <si>
    <t xml:space="preserve">Format: table allocations and scores as registered in Agricola Explorer</t>
  </si>
  <si>
    <t xml:space="preserve">Starting list (sorted by first names col. K) </t>
  </si>
  <si>
    <t xml:space="preserve">Copy a8:c15 to col E and paste values. </t>
  </si>
  <si>
    <t xml:space="preserve">Sort e8:g15 on col G (RandNo), Asc</t>
  </si>
  <si>
    <t xml:space="preserve">InitStNo1</t>
  </si>
  <si>
    <t xml:space="preserve">Name</t>
  </si>
  <si>
    <t xml:space="preserve">RandNo</t>
  </si>
  <si>
    <t xml:space="preserve">StartNo</t>
  </si>
  <si>
    <t xml:space="preserve">Players, full names</t>
  </si>
  <si>
    <t xml:space="preserve">Anne</t>
  </si>
  <si>
    <t xml:space="preserve">Lars</t>
  </si>
  <si>
    <t xml:space="preserve">B.A</t>
  </si>
  <si>
    <t xml:space="preserve">Erik</t>
  </si>
  <si>
    <t xml:space="preserve">Marius</t>
  </si>
  <si>
    <t xml:space="preserve">Håkon</t>
  </si>
  <si>
    <t xml:space="preserve">Øyvind K</t>
  </si>
  <si>
    <t xml:space="preserve">Rune</t>
  </si>
  <si>
    <t xml:space="preserve">ROUND 1</t>
  </si>
  <si>
    <t xml:space="preserve">Copy h20:i27, paste values and manually adjust for ties</t>
  </si>
  <si>
    <t xml:space="preserve">Copy r20:u27, paste values; sort on col. X</t>
  </si>
  <si>
    <t xml:space="preserve">Copy x20:z27, paste values; sort on col. AD and then AE</t>
  </si>
  <si>
    <t xml:space="preserve">Allocation to tables and scores</t>
  </si>
  <si>
    <t xml:space="preserve">Results after R1 for each table</t>
  </si>
  <si>
    <t xml:space="preserve">Scores after R1, alphabetically</t>
  </si>
  <si>
    <t xml:space="preserve">Scores after R1, ranked</t>
  </si>
  <si>
    <t xml:space="preserve">Table</t>
  </si>
  <si>
    <t xml:space="preserve">ScoreR1</t>
  </si>
  <si>
    <t xml:space="preserve">RelScR1</t>
  </si>
  <si>
    <t xml:space="preserve">TabRkR1</t>
  </si>
  <si>
    <t xml:space="preserve">TurnPR1</t>
  </si>
  <si>
    <t xml:space="preserve">TabRankR1</t>
  </si>
  <si>
    <t xml:space="preserve">ZTurnPR1</t>
  </si>
  <si>
    <t xml:space="preserve">ZRelScR1</t>
  </si>
  <si>
    <t xml:space="preserve">RankR1</t>
  </si>
  <si>
    <t xml:space="preserve">ROUND 2</t>
  </si>
  <si>
    <t xml:space="preserve">Copy h33:i40, paste values and manually adjust for ties</t>
  </si>
  <si>
    <t xml:space="preserve">Copy o33:o40, paste values; resolve ties using ZRelScR2</t>
  </si>
  <si>
    <t xml:space="preserve">Copy r33:u40, paste values; sort on col. X</t>
  </si>
  <si>
    <t xml:space="preserve">Copy x33:z40, paste values; sort on col. AD and then AE</t>
  </si>
  <si>
    <t xml:space="preserve">Allocation to tables</t>
  </si>
  <si>
    <t xml:space="preserve">Raw standings after R2</t>
  </si>
  <si>
    <t xml:space="preserve">Rearranged results after R2</t>
  </si>
  <si>
    <t xml:space="preserve">Scores after R2, alphabetically</t>
  </si>
  <si>
    <t xml:space="preserve">Scores after R2, ranked</t>
  </si>
  <si>
    <t xml:space="preserve">ScoreR2</t>
  </si>
  <si>
    <t xml:space="preserve">RelScR2</t>
  </si>
  <si>
    <t xml:space="preserve">TabRkR2</t>
  </si>
  <si>
    <t xml:space="preserve">TurnPR2p</t>
  </si>
  <si>
    <t xml:space="preserve">TurnPR2</t>
  </si>
  <si>
    <t xml:space="preserve">ZTurnPR2</t>
  </si>
  <si>
    <t xml:space="preserve">ZRelScR2</t>
  </si>
  <si>
    <t xml:space="preserve">RankR2p</t>
  </si>
  <si>
    <t xml:space="preserve">RankR2</t>
  </si>
  <si>
    <t xml:space="preserve">ROUND 3</t>
  </si>
  <si>
    <t xml:space="preserve">Copy h46:i53, paste values and manually adjust for ties</t>
  </si>
  <si>
    <t xml:space="preserve">Copy o46:o53, paste values; resolve ties using ZRelScR3</t>
  </si>
  <si>
    <t xml:space="preserve">Copy r46:u53, paste values; sort on col. T and then on col. U, and adjust Rank</t>
  </si>
  <si>
    <t xml:space="preserve">Raw standings after R3</t>
  </si>
  <si>
    <t xml:space="preserve">Rearranged results after R3</t>
  </si>
  <si>
    <t xml:space="preserve">Scores after R3, by rank</t>
  </si>
  <si>
    <t xml:space="preserve">ScoreR3</t>
  </si>
  <si>
    <t xml:space="preserve">RelScR3</t>
  </si>
  <si>
    <t xml:space="preserve">TabRkR3</t>
  </si>
  <si>
    <t xml:space="preserve">TurnPR3p</t>
  </si>
  <si>
    <t xml:space="preserve">TurnPR3</t>
  </si>
  <si>
    <t xml:space="preserve">ZTurnPR3</t>
  </si>
  <si>
    <t xml:space="preserve">ZRelScR3</t>
  </si>
  <si>
    <t xml:space="preserve">RankR3p</t>
  </si>
  <si>
    <t xml:space="preserve">RankR3</t>
  </si>
  <si>
    <t xml:space="preserve">ROUND 4 (Final)</t>
  </si>
  <si>
    <t xml:space="preserve">Weight given to points in R4 =</t>
  </si>
  <si>
    <t xml:space="preserve">Copy h59:i66, paste values and manually adjust for ties</t>
  </si>
  <si>
    <t xml:space="preserve">Copy o59:o66, paste values and manually resolve ties using ZRelScR4</t>
  </si>
  <si>
    <t xml:space="preserve">Copy r59:u66, paste values; sort on col. W</t>
  </si>
  <si>
    <t xml:space="preserve">Raw standings after R4</t>
  </si>
  <si>
    <t xml:space="preserve">Rearranged results after R4</t>
  </si>
  <si>
    <t xml:space="preserve">Final standings</t>
  </si>
  <si>
    <t xml:space="preserve">ScoreR4</t>
  </si>
  <si>
    <t xml:space="preserve">RelScR4</t>
  </si>
  <si>
    <t xml:space="preserve">TabRkR4</t>
  </si>
  <si>
    <t xml:space="preserve">TurnPR4p</t>
  </si>
  <si>
    <t xml:space="preserve">TurnPR4</t>
  </si>
  <si>
    <t xml:space="preserve">ZTurnPR4</t>
  </si>
  <si>
    <t xml:space="preserve">ZRelScR4</t>
  </si>
  <si>
    <t xml:space="preserve">RankR4p</t>
  </si>
  <si>
    <t xml:space="preserve">RankR4</t>
  </si>
  <si>
    <t xml:space="preserve">FINAL STANDINGS</t>
  </si>
  <si>
    <t xml:space="preserve">Copy w59:z66, paste values</t>
  </si>
  <si>
    <t xml:space="preserve">Rank</t>
  </si>
  <si>
    <t xml:space="preserve">TurnP</t>
  </si>
  <si>
    <t xml:space="preserve">RelSc</t>
  </si>
  <si>
    <t xml:space="preserve">Bord</t>
  </si>
  <si>
    <t xml:space="preserve">Spill 1</t>
  </si>
  <si>
    <t xml:space="preserve">Spill 2</t>
  </si>
  <si>
    <t xml:space="preserve">Spill 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</si>
</sst>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"/>
    <numFmt numFmtId="167" formatCode="0.0"/>
    <numFmt numFmtId="168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3" tint="0.3999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9" tint="-0.25"/>
      <name val="Calibri"/>
      <family val="2"/>
      <charset val="1"/>
    </font>
    <font>
      <sz val="11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sz val="10"/>
      <name val="Arial"/>
      <family val="2"/>
    </font>
    <font>
      <b val="true"/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9" tint="0.3999"/>
        <bgColor rgb="FFD9D9D9"/>
      </patternFill>
    </fill>
    <fill>
      <patternFill patternType="solid">
        <fgColor theme="4" tint="0.7999"/>
        <bgColor rgb="FFD9D9D9"/>
      </patternFill>
    </fill>
    <fill>
      <patternFill patternType="solid">
        <fgColor theme="0" tint="-0.15"/>
        <bgColor rgb="FFD7E4BD"/>
      </patternFill>
    </fill>
    <fill>
      <patternFill patternType="solid">
        <fgColor theme="6" tint="0.5999"/>
        <bgColor rgb="FFD9D9D9"/>
      </patternFill>
    </fill>
    <fill>
      <patternFill patternType="solid">
        <fgColor rgb="FF66FF33"/>
        <bgColor rgb="FF00FF00"/>
      </patternFill>
    </fill>
    <fill>
      <patternFill patternType="solid">
        <fgColor rgb="FFFFCCFF"/>
        <bgColor rgb="FFD9D9D9"/>
      </patternFill>
    </fill>
    <fill>
      <patternFill patternType="solid">
        <fgColor theme="0" tint="-0.25"/>
        <bgColor rgb="FFD9D9D9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2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3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4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7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8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7" fillId="4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2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2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13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3" borderId="1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4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2" borderId="1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2" borderId="7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2" borderId="16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1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3" borderId="17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3" borderId="1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4" borderId="1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2" borderId="5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6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2" borderId="2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5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6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2" borderId="6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2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3" borderId="5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8" fontId="0" fillId="3" borderId="6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2" borderId="10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5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10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1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7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0" fillId="4" borderId="7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3" borderId="10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8" fontId="0" fillId="3" borderId="1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14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2" borderId="20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6" borderId="16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2" borderId="14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20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16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12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1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4" borderId="12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3" borderId="20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8" fontId="0" fillId="3" borderId="16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3" borderId="2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6" borderId="7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6" borderId="12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3" borderId="14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8" fontId="0" fillId="7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2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8" fontId="0" fillId="3" borderId="2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8" fontId="0" fillId="3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5" fontId="0" fillId="5" borderId="12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2" borderId="14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8" fontId="0" fillId="3" borderId="14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9" borderId="1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9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14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CC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AC090"/>
      <rgbColor rgb="FF3366FF"/>
      <rgbColor rgb="FF33CCCC"/>
      <rgbColor rgb="FF66FF33"/>
      <rgbColor rgb="FFFFCC00"/>
      <rgbColor rgb="FFFF9900"/>
      <rgbColor rgb="FFE46C0A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7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109375" defaultRowHeight="14.25" customHeight="false" zeroHeight="false" outlineLevelRow="0" outlineLevelCol="0"/>
  <cols>
    <col collapsed="false" customWidth="true" hidden="false" outlineLevel="0" max="1" min="1" style="0" width="10.66"/>
    <col collapsed="false" customWidth="true" hidden="false" outlineLevel="0" max="2" min="2" style="0" width="13.67"/>
    <col collapsed="false" customWidth="true" hidden="false" outlineLevel="0" max="3" min="3" style="0" width="15.56"/>
    <col collapsed="false" customWidth="true" hidden="false" outlineLevel="0" max="4" min="4" style="0" width="10.66"/>
    <col collapsed="false" customWidth="true" hidden="false" outlineLevel="0" max="7" min="7" style="0" width="15.66"/>
    <col collapsed="false" customWidth="true" hidden="false" outlineLevel="0" max="8" min="8" style="0" width="10.66"/>
    <col collapsed="false" customWidth="true" hidden="false" outlineLevel="0" max="11" min="11" style="0" width="14.11"/>
    <col collapsed="false" customWidth="true" hidden="false" outlineLevel="0" max="12" min="12" style="0" width="10.66"/>
    <col collapsed="false" customWidth="true" hidden="false" outlineLevel="0" max="15" min="15" style="0" width="11.11"/>
    <col collapsed="false" customWidth="true" hidden="false" outlineLevel="0" max="16" min="16" style="0" width="10.66"/>
    <col collapsed="false" customWidth="true" hidden="false" outlineLevel="0" max="17" min="17" style="0" width="14.33"/>
    <col collapsed="false" customWidth="true" hidden="false" outlineLevel="0" max="18" min="18" style="0" width="10.66"/>
    <col collapsed="false" customWidth="true" hidden="false" outlineLevel="0" max="19" min="19" style="0" width="15.56"/>
    <col collapsed="false" customWidth="true" hidden="false" outlineLevel="0" max="20" min="20" style="0" width="10.66"/>
    <col collapsed="false" customWidth="true" hidden="false" outlineLevel="0" max="24" min="24" style="0" width="14.88"/>
    <col collapsed="false" customWidth="true" hidden="false" outlineLevel="0" max="29" min="29" style="0" width="15.44"/>
  </cols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1" t="s">
        <v>1</v>
      </c>
    </row>
    <row r="3" customFormat="false" ht="14.25" hidden="false" customHeight="false" outlineLevel="0" collapsed="false">
      <c r="A3" s="1" t="s">
        <v>2</v>
      </c>
    </row>
    <row r="5" customFormat="false" ht="14.25" hidden="false" customHeight="false" outlineLevel="0" collapsed="false">
      <c r="A5" s="2" t="s">
        <v>3</v>
      </c>
      <c r="E5" s="3" t="s">
        <v>4</v>
      </c>
    </row>
    <row r="6" customFormat="false" ht="14.25" hidden="false" customHeight="false" outlineLevel="0" collapsed="false">
      <c r="E6" s="2" t="s">
        <v>5</v>
      </c>
    </row>
    <row r="7" customFormat="false" ht="14.25" hidden="false" customHeight="false" outlineLevel="0" collapsed="false">
      <c r="A7" s="4" t="s">
        <v>6</v>
      </c>
      <c r="B7" s="4" t="s">
        <v>7</v>
      </c>
      <c r="C7" s="4" t="s">
        <v>8</v>
      </c>
      <c r="E7" s="4" t="s">
        <v>6</v>
      </c>
      <c r="F7" s="4" t="s">
        <v>7</v>
      </c>
      <c r="G7" s="4" t="s">
        <v>8</v>
      </c>
      <c r="H7" s="5" t="s">
        <v>9</v>
      </c>
      <c r="K7" s="6" t="s">
        <v>10</v>
      </c>
    </row>
    <row r="8" customFormat="false" ht="14.25" hidden="false" customHeight="false" outlineLevel="0" collapsed="false">
      <c r="A8" s="7" t="n">
        <v>1</v>
      </c>
      <c r="B8" s="8" t="s">
        <v>11</v>
      </c>
      <c r="C8" s="9" t="n">
        <f aca="true">RAND()</f>
        <v>0.259817979329894</v>
      </c>
      <c r="E8" s="10" t="n">
        <v>5</v>
      </c>
      <c r="F8" s="11" t="s">
        <v>12</v>
      </c>
      <c r="G8" s="11" t="n">
        <v>0.061199749800989</v>
      </c>
      <c r="H8" s="12" t="n">
        <v>1</v>
      </c>
      <c r="K8" s="13" t="s">
        <v>11</v>
      </c>
      <c r="L8" s="14"/>
    </row>
    <row r="9" customFormat="false" ht="14.25" hidden="false" customHeight="false" outlineLevel="0" collapsed="false">
      <c r="A9" s="15" t="n">
        <v>2</v>
      </c>
      <c r="B9" s="16" t="s">
        <v>13</v>
      </c>
      <c r="C9" s="17" t="n">
        <f aca="true">RAND()</f>
        <v>0.29242021611149</v>
      </c>
      <c r="E9" s="18" t="n">
        <v>3</v>
      </c>
      <c r="F9" s="19" t="s">
        <v>14</v>
      </c>
      <c r="G9" s="19" t="n">
        <v>0.160583780436935</v>
      </c>
      <c r="H9" s="20" t="n">
        <v>2</v>
      </c>
      <c r="K9" s="21" t="s">
        <v>13</v>
      </c>
      <c r="L9" s="22"/>
    </row>
    <row r="10" customFormat="false" ht="14.25" hidden="false" customHeight="false" outlineLevel="0" collapsed="false">
      <c r="A10" s="15" t="n">
        <v>3</v>
      </c>
      <c r="B10" s="16" t="s">
        <v>14</v>
      </c>
      <c r="C10" s="17" t="n">
        <f aca="true">RAND()</f>
        <v>0.144243250853388</v>
      </c>
      <c r="E10" s="18" t="n">
        <v>6</v>
      </c>
      <c r="F10" s="19" t="s">
        <v>15</v>
      </c>
      <c r="G10" s="19" t="n">
        <v>0.178005720628627</v>
      </c>
      <c r="H10" s="20" t="n">
        <v>3</v>
      </c>
      <c r="K10" s="21" t="s">
        <v>14</v>
      </c>
      <c r="L10" s="22"/>
    </row>
    <row r="11" customFormat="false" ht="14.25" hidden="false" customHeight="false" outlineLevel="0" collapsed="false">
      <c r="A11" s="23" t="n">
        <v>4</v>
      </c>
      <c r="B11" s="24" t="s">
        <v>16</v>
      </c>
      <c r="C11" s="25" t="n">
        <f aca="true">RAND()</f>
        <v>0.819585599625838</v>
      </c>
      <c r="E11" s="26" t="n">
        <v>8</v>
      </c>
      <c r="F11" s="27" t="s">
        <v>17</v>
      </c>
      <c r="G11" s="27" t="n">
        <v>0.267036425244708</v>
      </c>
      <c r="H11" s="28" t="n">
        <v>4</v>
      </c>
      <c r="K11" s="21" t="s">
        <v>16</v>
      </c>
      <c r="L11" s="22"/>
    </row>
    <row r="12" customFormat="false" ht="14.25" hidden="false" customHeight="false" outlineLevel="0" collapsed="false">
      <c r="A12" s="29" t="n">
        <v>5</v>
      </c>
      <c r="B12" s="16" t="s">
        <v>12</v>
      </c>
      <c r="C12" s="30" t="n">
        <f aca="true">RAND()</f>
        <v>0.269088801800466</v>
      </c>
      <c r="E12" s="18" t="n">
        <v>7</v>
      </c>
      <c r="F12" s="19" t="s">
        <v>18</v>
      </c>
      <c r="G12" s="19" t="n">
        <v>0.478551546731662</v>
      </c>
      <c r="H12" s="20" t="n">
        <v>5</v>
      </c>
      <c r="K12" s="21" t="s">
        <v>12</v>
      </c>
      <c r="L12" s="22"/>
    </row>
    <row r="13" customFormat="false" ht="14.25" hidden="false" customHeight="false" outlineLevel="0" collapsed="false">
      <c r="A13" s="29" t="n">
        <v>6</v>
      </c>
      <c r="B13" s="16" t="s">
        <v>15</v>
      </c>
      <c r="C13" s="30" t="n">
        <f aca="true">RAND()</f>
        <v>0.790121138537328</v>
      </c>
      <c r="E13" s="18" t="n">
        <v>2</v>
      </c>
      <c r="F13" s="19" t="s">
        <v>13</v>
      </c>
      <c r="G13" s="19" t="n">
        <v>0.513179300617069</v>
      </c>
      <c r="H13" s="20" t="n">
        <v>6</v>
      </c>
      <c r="K13" s="21" t="s">
        <v>15</v>
      </c>
      <c r="L13" s="22"/>
    </row>
    <row r="14" customFormat="false" ht="14.25" hidden="false" customHeight="false" outlineLevel="0" collapsed="false">
      <c r="A14" s="29" t="n">
        <v>7</v>
      </c>
      <c r="B14" s="16" t="s">
        <v>18</v>
      </c>
      <c r="C14" s="30" t="n">
        <f aca="true">RAND()</f>
        <v>0.896101472679587</v>
      </c>
      <c r="E14" s="18" t="n">
        <v>4</v>
      </c>
      <c r="F14" s="19" t="s">
        <v>16</v>
      </c>
      <c r="G14" s="19" t="n">
        <v>0.821935617341826</v>
      </c>
      <c r="H14" s="20" t="n">
        <v>7</v>
      </c>
      <c r="K14" s="21" t="s">
        <v>18</v>
      </c>
      <c r="L14" s="22"/>
    </row>
    <row r="15" customFormat="false" ht="14.25" hidden="false" customHeight="false" outlineLevel="0" collapsed="false">
      <c r="A15" s="31" t="n">
        <v>8</v>
      </c>
      <c r="B15" s="32" t="s">
        <v>17</v>
      </c>
      <c r="C15" s="25" t="n">
        <f aca="true">RAND()</f>
        <v>0.762734410902146</v>
      </c>
      <c r="E15" s="33" t="n">
        <v>1</v>
      </c>
      <c r="F15" s="34" t="s">
        <v>11</v>
      </c>
      <c r="G15" s="34" t="n">
        <v>0.835096562757266</v>
      </c>
      <c r="H15" s="35" t="n">
        <v>8</v>
      </c>
      <c r="K15" s="36" t="s">
        <v>17</v>
      </c>
      <c r="L15" s="37"/>
    </row>
    <row r="17" customFormat="false" ht="14.25" hidden="false" customHeight="false" outlineLevel="0" collapsed="false">
      <c r="A17" s="2" t="s">
        <v>19</v>
      </c>
      <c r="J17" s="3" t="s">
        <v>20</v>
      </c>
      <c r="W17" s="3" t="s">
        <v>21</v>
      </c>
      <c r="AB17" s="3" t="s">
        <v>22</v>
      </c>
    </row>
    <row r="18" customFormat="false" ht="14.25" hidden="false" customHeight="false" outlineLevel="0" collapsed="false">
      <c r="A18" s="38" t="s">
        <v>23</v>
      </c>
      <c r="R18" s="38" t="s">
        <v>24</v>
      </c>
      <c r="W18" s="39" t="s">
        <v>25</v>
      </c>
      <c r="AB18" s="39" t="s">
        <v>26</v>
      </c>
    </row>
    <row r="19" customFormat="false" ht="14.25" hidden="false" customHeight="false" outlineLevel="0" collapsed="false">
      <c r="A19" s="39" t="s">
        <v>27</v>
      </c>
      <c r="B19" s="39" t="s">
        <v>9</v>
      </c>
      <c r="C19" s="39" t="s">
        <v>7</v>
      </c>
      <c r="F19" s="5" t="s">
        <v>28</v>
      </c>
      <c r="G19" s="5" t="s">
        <v>29</v>
      </c>
      <c r="H19" s="5" t="s">
        <v>30</v>
      </c>
      <c r="I19" s="39" t="s">
        <v>31</v>
      </c>
      <c r="J19" s="5" t="s">
        <v>30</v>
      </c>
      <c r="K19" s="5" t="s">
        <v>31</v>
      </c>
      <c r="R19" s="39" t="s">
        <v>30</v>
      </c>
      <c r="S19" s="39" t="s">
        <v>7</v>
      </c>
      <c r="T19" s="39" t="s">
        <v>31</v>
      </c>
      <c r="U19" s="39" t="s">
        <v>29</v>
      </c>
      <c r="W19" s="39" t="s">
        <v>32</v>
      </c>
      <c r="X19" s="39" t="s">
        <v>7</v>
      </c>
      <c r="Y19" s="39" t="s">
        <v>33</v>
      </c>
      <c r="Z19" s="39" t="s">
        <v>34</v>
      </c>
      <c r="AB19" s="39" t="s">
        <v>35</v>
      </c>
      <c r="AC19" s="39" t="s">
        <v>7</v>
      </c>
      <c r="AD19" s="39" t="s">
        <v>33</v>
      </c>
      <c r="AE19" s="39" t="s">
        <v>34</v>
      </c>
    </row>
    <row r="20" customFormat="false" ht="14.25" hidden="false" customHeight="false" outlineLevel="0" collapsed="false">
      <c r="A20" s="40" t="n">
        <v>1</v>
      </c>
      <c r="B20" s="40" t="n">
        <v>1</v>
      </c>
      <c r="C20" s="41" t="str">
        <f aca="false">LOOKUP(B20,H$8:H$15,F$8:F$15)</f>
        <v>Lars</v>
      </c>
      <c r="D20" s="42"/>
      <c r="E20" s="43"/>
      <c r="F20" s="44" t="n">
        <v>49</v>
      </c>
      <c r="G20" s="45" t="n">
        <f aca="false">F20-AVERAGE(F$20:F$23)</f>
        <v>4</v>
      </c>
      <c r="H20" s="41" t="n">
        <f aca="false">RANK(F20,F$20:F$23)</f>
        <v>1</v>
      </c>
      <c r="I20" s="46" t="n">
        <f aca="false">IF(H20=1,10,IF(H20=2,6,IF(H20=3,3,1)))</f>
        <v>10</v>
      </c>
      <c r="J20" s="47" t="n">
        <v>1</v>
      </c>
      <c r="K20" s="48" t="n">
        <v>10</v>
      </c>
      <c r="M20" s="4"/>
      <c r="R20" s="41" t="n">
        <f aca="false">J20</f>
        <v>1</v>
      </c>
      <c r="S20" s="46" t="str">
        <f aca="false">C20</f>
        <v>Lars</v>
      </c>
      <c r="T20" s="46" t="n">
        <f aca="false">K20</f>
        <v>10</v>
      </c>
      <c r="U20" s="49" t="n">
        <f aca="false">G20</f>
        <v>4</v>
      </c>
      <c r="W20" s="50" t="n">
        <v>4</v>
      </c>
      <c r="X20" s="51" t="s">
        <v>11</v>
      </c>
      <c r="Y20" s="51" t="n">
        <v>1</v>
      </c>
      <c r="Z20" s="48" t="n">
        <v>-5</v>
      </c>
      <c r="AB20" s="52" t="n">
        <v>1</v>
      </c>
      <c r="AC20" s="51" t="s">
        <v>13</v>
      </c>
      <c r="AD20" s="53" t="n">
        <v>10</v>
      </c>
      <c r="AE20" s="54" t="n">
        <v>12.75</v>
      </c>
    </row>
    <row r="21" customFormat="false" ht="14.25" hidden="false" customHeight="false" outlineLevel="0" collapsed="false">
      <c r="A21" s="4" t="n">
        <v>1</v>
      </c>
      <c r="B21" s="4" t="n">
        <v>2</v>
      </c>
      <c r="C21" s="55" t="str">
        <f aca="false">LOOKUP(B21,H$8:H$15,F$8:F$15)</f>
        <v>Erik</v>
      </c>
      <c r="D21" s="56"/>
      <c r="E21" s="57"/>
      <c r="F21" s="58" t="n">
        <v>46</v>
      </c>
      <c r="G21" s="15" t="n">
        <f aca="false">F21-AVERAGE(F$20:F$23)</f>
        <v>1</v>
      </c>
      <c r="H21" s="55" t="n">
        <f aca="false">RANK(F21,F$20:F$23)</f>
        <v>2</v>
      </c>
      <c r="I21" s="59" t="n">
        <f aca="false">IF(H21=1,10,IF(H21=2,6,IF(H21=3,3,1)))</f>
        <v>6</v>
      </c>
      <c r="J21" s="60" t="n">
        <v>2</v>
      </c>
      <c r="K21" s="61" t="n">
        <v>6</v>
      </c>
      <c r="M21" s="4"/>
      <c r="R21" s="55" t="n">
        <f aca="false">J21</f>
        <v>2</v>
      </c>
      <c r="S21" s="59" t="str">
        <f aca="false">C21</f>
        <v>Erik</v>
      </c>
      <c r="T21" s="59" t="n">
        <f aca="false">K21</f>
        <v>6</v>
      </c>
      <c r="U21" s="29" t="n">
        <f aca="false">G21</f>
        <v>1</v>
      </c>
      <c r="W21" s="62" t="n">
        <v>1</v>
      </c>
      <c r="X21" s="63" t="s">
        <v>13</v>
      </c>
      <c r="Y21" s="63" t="n">
        <v>10</v>
      </c>
      <c r="Z21" s="61" t="n">
        <v>12.75</v>
      </c>
      <c r="AB21" s="64" t="n">
        <v>2</v>
      </c>
      <c r="AC21" s="63" t="s">
        <v>12</v>
      </c>
      <c r="AD21" s="65" t="n">
        <v>10</v>
      </c>
      <c r="AE21" s="66" t="n">
        <v>4</v>
      </c>
    </row>
    <row r="22" customFormat="false" ht="14.25" hidden="false" customHeight="false" outlineLevel="0" collapsed="false">
      <c r="A22" s="4" t="n">
        <v>1</v>
      </c>
      <c r="B22" s="4" t="n">
        <v>4</v>
      </c>
      <c r="C22" s="55" t="str">
        <f aca="false">LOOKUP(B22,H$8:H$15,F$8:F$15)</f>
        <v>Øyvind K</v>
      </c>
      <c r="D22" s="56"/>
      <c r="E22" s="57"/>
      <c r="F22" s="58" t="n">
        <v>45</v>
      </c>
      <c r="G22" s="15" t="n">
        <f aca="false">F22-AVERAGE(F$20:F$23)</f>
        <v>0</v>
      </c>
      <c r="H22" s="55" t="n">
        <f aca="false">RANK(F22,F$20:F$23)</f>
        <v>3</v>
      </c>
      <c r="I22" s="59" t="n">
        <f aca="false">IF(H22=1,10,IF(H22=2,6,IF(H22=3,3,1)))</f>
        <v>3</v>
      </c>
      <c r="J22" s="60" t="n">
        <v>3</v>
      </c>
      <c r="K22" s="61" t="n">
        <v>3</v>
      </c>
      <c r="M22" s="4"/>
      <c r="R22" s="55" t="n">
        <f aca="false">J22</f>
        <v>3</v>
      </c>
      <c r="S22" s="59" t="str">
        <f aca="false">C22</f>
        <v>Øyvind K</v>
      </c>
      <c r="T22" s="59" t="n">
        <f aca="false">K22</f>
        <v>3</v>
      </c>
      <c r="U22" s="29" t="n">
        <f aca="false">G22</f>
        <v>0</v>
      </c>
      <c r="W22" s="62" t="n">
        <v>2</v>
      </c>
      <c r="X22" s="63" t="s">
        <v>14</v>
      </c>
      <c r="Y22" s="63" t="n">
        <v>6</v>
      </c>
      <c r="Z22" s="61" t="n">
        <v>1</v>
      </c>
      <c r="AB22" s="64" t="n">
        <v>3</v>
      </c>
      <c r="AC22" s="63" t="s">
        <v>15</v>
      </c>
      <c r="AD22" s="65" t="n">
        <v>6</v>
      </c>
      <c r="AE22" s="66" t="n">
        <v>1.75</v>
      </c>
    </row>
    <row r="23" customFormat="false" ht="14.25" hidden="false" customHeight="false" outlineLevel="0" collapsed="false">
      <c r="A23" s="67" t="n">
        <v>1</v>
      </c>
      <c r="B23" s="67" t="n">
        <v>8</v>
      </c>
      <c r="C23" s="68" t="str">
        <f aca="false">LOOKUP(B23,H$8:H$15,F$8:F$15)</f>
        <v>Anne</v>
      </c>
      <c r="D23" s="56"/>
      <c r="E23" s="57"/>
      <c r="F23" s="69" t="n">
        <v>40</v>
      </c>
      <c r="G23" s="23" t="n">
        <f aca="false">F23-AVERAGE(F$20:F$23)</f>
        <v>-5</v>
      </c>
      <c r="H23" s="68" t="n">
        <f aca="false">RANK(F23,F$20:F$23)</f>
        <v>4</v>
      </c>
      <c r="I23" s="70" t="n">
        <f aca="false">IF(H23=1,10,IF(H23=2,6,IF(H23=3,3,1)))</f>
        <v>1</v>
      </c>
      <c r="J23" s="71" t="n">
        <v>4</v>
      </c>
      <c r="K23" s="72" t="n">
        <v>1</v>
      </c>
      <c r="M23" s="4"/>
      <c r="R23" s="68" t="n">
        <f aca="false">J23</f>
        <v>4</v>
      </c>
      <c r="S23" s="70" t="str">
        <f aca="false">C23</f>
        <v>Anne</v>
      </c>
      <c r="T23" s="70" t="n">
        <f aca="false">K23</f>
        <v>1</v>
      </c>
      <c r="U23" s="31" t="n">
        <f aca="false">G23</f>
        <v>-5</v>
      </c>
      <c r="W23" s="73" t="n">
        <v>3</v>
      </c>
      <c r="X23" s="74" t="s">
        <v>16</v>
      </c>
      <c r="Y23" s="74" t="n">
        <v>3</v>
      </c>
      <c r="Z23" s="72" t="n">
        <v>-7.25</v>
      </c>
      <c r="AB23" s="75" t="n">
        <v>4</v>
      </c>
      <c r="AC23" s="74" t="s">
        <v>14</v>
      </c>
      <c r="AD23" s="76" t="n">
        <v>6</v>
      </c>
      <c r="AE23" s="77" t="n">
        <v>1</v>
      </c>
    </row>
    <row r="24" customFormat="false" ht="14.25" hidden="false" customHeight="false" outlineLevel="0" collapsed="false">
      <c r="A24" s="4" t="n">
        <v>2</v>
      </c>
      <c r="B24" s="4" t="n">
        <v>3</v>
      </c>
      <c r="C24" s="55" t="str">
        <f aca="false">LOOKUP(B24,H$8:H$15,F$8:F$15)</f>
        <v>Marius</v>
      </c>
      <c r="D24" s="56"/>
      <c r="E24" s="57"/>
      <c r="F24" s="58" t="n">
        <v>49</v>
      </c>
      <c r="G24" s="15" t="n">
        <f aca="false">F24-AVERAGE(F$24:F$27)</f>
        <v>1.75</v>
      </c>
      <c r="H24" s="55" t="n">
        <f aca="false">RANK(F24,F$24:F$27)</f>
        <v>2</v>
      </c>
      <c r="I24" s="59" t="n">
        <f aca="false">IF(H24=1,10,IF(H24=2,6,IF(H24=3,3,1)))</f>
        <v>6</v>
      </c>
      <c r="J24" s="60" t="n">
        <v>2</v>
      </c>
      <c r="K24" s="61" t="n">
        <v>6</v>
      </c>
      <c r="M24" s="4"/>
      <c r="R24" s="55" t="n">
        <f aca="false">J24</f>
        <v>2</v>
      </c>
      <c r="S24" s="59" t="str">
        <f aca="false">C24</f>
        <v>Marius</v>
      </c>
      <c r="T24" s="59" t="n">
        <f aca="false">K24</f>
        <v>6</v>
      </c>
      <c r="U24" s="29" t="n">
        <f aca="false">G24</f>
        <v>1.75</v>
      </c>
      <c r="W24" s="62" t="n">
        <v>1</v>
      </c>
      <c r="X24" s="63" t="s">
        <v>12</v>
      </c>
      <c r="Y24" s="63" t="n">
        <v>10</v>
      </c>
      <c r="Z24" s="61" t="n">
        <v>4</v>
      </c>
      <c r="AB24" s="64" t="n">
        <v>5</v>
      </c>
      <c r="AC24" s="63" t="s">
        <v>17</v>
      </c>
      <c r="AD24" s="65" t="n">
        <v>3</v>
      </c>
      <c r="AE24" s="66" t="n">
        <v>0</v>
      </c>
    </row>
    <row r="25" customFormat="false" ht="14.25" hidden="false" customHeight="false" outlineLevel="0" collapsed="false">
      <c r="A25" s="4" t="n">
        <v>2</v>
      </c>
      <c r="B25" s="4" t="n">
        <v>5</v>
      </c>
      <c r="C25" s="55" t="str">
        <f aca="false">LOOKUP(B25,H$8:H$15,F$8:F$15)</f>
        <v>Rune</v>
      </c>
      <c r="D25" s="56"/>
      <c r="E25" s="57"/>
      <c r="F25" s="58" t="n">
        <v>40</v>
      </c>
      <c r="G25" s="15" t="n">
        <f aca="false">F25-AVERAGE(F$24:F$27)</f>
        <v>-7.25</v>
      </c>
      <c r="H25" s="55" t="n">
        <f aca="false">RANK(F25,F$24:F$27)</f>
        <v>3</v>
      </c>
      <c r="I25" s="59" t="n">
        <f aca="false">IF(H25=1,10,IF(H25=2,6,IF(H25=3,3,1)))</f>
        <v>3</v>
      </c>
      <c r="J25" s="60" t="n">
        <v>3</v>
      </c>
      <c r="K25" s="61" t="n">
        <v>3</v>
      </c>
      <c r="M25" s="4"/>
      <c r="R25" s="55" t="n">
        <f aca="false">J25</f>
        <v>3</v>
      </c>
      <c r="S25" s="59" t="str">
        <f aca="false">C25</f>
        <v>Rune</v>
      </c>
      <c r="T25" s="59" t="n">
        <f aca="false">K25</f>
        <v>3</v>
      </c>
      <c r="U25" s="29" t="n">
        <f aca="false">G25</f>
        <v>-7.25</v>
      </c>
      <c r="W25" s="62" t="n">
        <v>2</v>
      </c>
      <c r="X25" s="63" t="s">
        <v>15</v>
      </c>
      <c r="Y25" s="63" t="n">
        <v>6</v>
      </c>
      <c r="Z25" s="61" t="n">
        <v>1.75</v>
      </c>
      <c r="AB25" s="64" t="n">
        <v>6</v>
      </c>
      <c r="AC25" s="63" t="s">
        <v>16</v>
      </c>
      <c r="AD25" s="65" t="n">
        <v>3</v>
      </c>
      <c r="AE25" s="66" t="n">
        <v>-7.25</v>
      </c>
    </row>
    <row r="26" customFormat="false" ht="14.25" hidden="false" customHeight="false" outlineLevel="0" collapsed="false">
      <c r="A26" s="4" t="n">
        <v>2</v>
      </c>
      <c r="B26" s="4" t="n">
        <v>6</v>
      </c>
      <c r="C26" s="55" t="str">
        <f aca="false">LOOKUP(B26,H$8:H$15,F$8:F$15)</f>
        <v>B.A</v>
      </c>
      <c r="D26" s="56"/>
      <c r="E26" s="57"/>
      <c r="F26" s="58" t="n">
        <v>60</v>
      </c>
      <c r="G26" s="15" t="n">
        <f aca="false">F26-AVERAGE(F$24:F$27)</f>
        <v>12.75</v>
      </c>
      <c r="H26" s="55" t="n">
        <f aca="false">RANK(F26,F$24:F$27)</f>
        <v>1</v>
      </c>
      <c r="I26" s="59" t="n">
        <f aca="false">IF(H26=1,10,IF(H26=2,6,IF(H26=3,3,1)))</f>
        <v>10</v>
      </c>
      <c r="J26" s="60" t="n">
        <v>1</v>
      </c>
      <c r="K26" s="61" t="n">
        <v>10</v>
      </c>
      <c r="M26" s="4"/>
      <c r="R26" s="55" t="n">
        <f aca="false">J26</f>
        <v>1</v>
      </c>
      <c r="S26" s="59" t="str">
        <f aca="false">C26</f>
        <v>B.A</v>
      </c>
      <c r="T26" s="59" t="n">
        <f aca="false">K26</f>
        <v>10</v>
      </c>
      <c r="U26" s="29" t="n">
        <f aca="false">G26</f>
        <v>12.75</v>
      </c>
      <c r="W26" s="62" t="n">
        <v>3</v>
      </c>
      <c r="X26" s="63" t="s">
        <v>18</v>
      </c>
      <c r="Y26" s="63" t="n">
        <v>3</v>
      </c>
      <c r="Z26" s="61" t="n">
        <v>-7.25</v>
      </c>
      <c r="AB26" s="64" t="n">
        <v>7</v>
      </c>
      <c r="AC26" s="63" t="s">
        <v>18</v>
      </c>
      <c r="AD26" s="65" t="n">
        <v>3</v>
      </c>
      <c r="AE26" s="66" t="n">
        <v>-7.25</v>
      </c>
    </row>
    <row r="27" customFormat="false" ht="14.25" hidden="false" customHeight="false" outlineLevel="0" collapsed="false">
      <c r="A27" s="67" t="n">
        <v>2</v>
      </c>
      <c r="B27" s="67" t="n">
        <v>7</v>
      </c>
      <c r="C27" s="68" t="str">
        <f aca="false">LOOKUP(B27,H$8:H$15,F$8:F$15)</f>
        <v>Håkon</v>
      </c>
      <c r="D27" s="56"/>
      <c r="E27" s="57"/>
      <c r="F27" s="69" t="n">
        <v>40</v>
      </c>
      <c r="G27" s="23" t="n">
        <f aca="false">F27-AVERAGE(F$24:F$27)</f>
        <v>-7.25</v>
      </c>
      <c r="H27" s="68" t="n">
        <f aca="false">RANK(F27,F$24:F$27)</f>
        <v>3</v>
      </c>
      <c r="I27" s="70" t="n">
        <f aca="false">IF(H27=1,10,IF(H27=2,6,IF(H27=3,3,1)))</f>
        <v>3</v>
      </c>
      <c r="J27" s="71" t="n">
        <v>3</v>
      </c>
      <c r="K27" s="72" t="n">
        <v>3</v>
      </c>
      <c r="M27" s="4"/>
      <c r="R27" s="68" t="n">
        <f aca="false">J27</f>
        <v>3</v>
      </c>
      <c r="S27" s="70" t="str">
        <f aca="false">C27</f>
        <v>Håkon</v>
      </c>
      <c r="T27" s="70" t="n">
        <f aca="false">K27</f>
        <v>3</v>
      </c>
      <c r="U27" s="31" t="n">
        <f aca="false">G27</f>
        <v>-7.25</v>
      </c>
      <c r="W27" s="73" t="n">
        <v>3</v>
      </c>
      <c r="X27" s="74" t="s">
        <v>17</v>
      </c>
      <c r="Y27" s="74" t="n">
        <v>3</v>
      </c>
      <c r="Z27" s="72" t="n">
        <v>0</v>
      </c>
      <c r="AB27" s="75" t="n">
        <v>8</v>
      </c>
      <c r="AC27" s="74" t="s">
        <v>11</v>
      </c>
      <c r="AD27" s="76" t="n">
        <v>1</v>
      </c>
      <c r="AE27" s="77" t="n">
        <v>-5</v>
      </c>
    </row>
    <row r="30" customFormat="false" ht="14.25" hidden="false" customHeight="false" outlineLevel="0" collapsed="false">
      <c r="A30" s="2" t="s">
        <v>36</v>
      </c>
      <c r="J30" s="3" t="s">
        <v>37</v>
      </c>
      <c r="P30" s="3" t="s">
        <v>38</v>
      </c>
      <c r="W30" s="3" t="s">
        <v>39</v>
      </c>
      <c r="AB30" s="3" t="s">
        <v>40</v>
      </c>
    </row>
    <row r="31" customFormat="false" ht="14.25" hidden="false" customHeight="false" outlineLevel="0" collapsed="false">
      <c r="A31" s="38" t="s">
        <v>41</v>
      </c>
      <c r="M31" s="38" t="s">
        <v>42</v>
      </c>
      <c r="P31" s="38"/>
      <c r="R31" s="38" t="s">
        <v>43</v>
      </c>
      <c r="W31" s="39" t="s">
        <v>44</v>
      </c>
      <c r="AB31" s="39" t="s">
        <v>45</v>
      </c>
    </row>
    <row r="32" customFormat="false" ht="14.25" hidden="false" customHeight="false" outlineLevel="0" collapsed="false">
      <c r="A32" s="4" t="s">
        <v>27</v>
      </c>
      <c r="B32" s="39" t="s">
        <v>9</v>
      </c>
      <c r="C32" s="4" t="s">
        <v>7</v>
      </c>
      <c r="D32" s="4" t="s">
        <v>31</v>
      </c>
      <c r="E32" s="4" t="s">
        <v>29</v>
      </c>
      <c r="F32" s="39" t="s">
        <v>46</v>
      </c>
      <c r="G32" s="39" t="s">
        <v>47</v>
      </c>
      <c r="H32" s="39" t="s">
        <v>48</v>
      </c>
      <c r="I32" s="39" t="s">
        <v>49</v>
      </c>
      <c r="J32" s="5" t="s">
        <v>48</v>
      </c>
      <c r="K32" s="5" t="s">
        <v>50</v>
      </c>
      <c r="M32" s="39" t="s">
        <v>51</v>
      </c>
      <c r="N32" s="39" t="s">
        <v>52</v>
      </c>
      <c r="O32" s="39" t="s">
        <v>53</v>
      </c>
      <c r="P32" s="39" t="s">
        <v>54</v>
      </c>
      <c r="R32" s="39" t="s">
        <v>54</v>
      </c>
      <c r="S32" s="39" t="s">
        <v>7</v>
      </c>
      <c r="T32" s="39" t="s">
        <v>51</v>
      </c>
      <c r="U32" s="39" t="s">
        <v>52</v>
      </c>
      <c r="W32" s="39" t="s">
        <v>54</v>
      </c>
      <c r="X32" s="39" t="s">
        <v>7</v>
      </c>
      <c r="Y32" s="39" t="s">
        <v>51</v>
      </c>
      <c r="Z32" s="39" t="s">
        <v>52</v>
      </c>
      <c r="AB32" s="39" t="s">
        <v>54</v>
      </c>
      <c r="AC32" s="39" t="s">
        <v>7</v>
      </c>
      <c r="AD32" s="39" t="s">
        <v>51</v>
      </c>
      <c r="AE32" s="39" t="s">
        <v>52</v>
      </c>
    </row>
    <row r="33" customFormat="false" ht="14.25" hidden="false" customHeight="false" outlineLevel="0" collapsed="false">
      <c r="A33" s="40" t="n">
        <v>1</v>
      </c>
      <c r="B33" s="78" t="n">
        <v>3</v>
      </c>
      <c r="C33" s="45" t="str">
        <f aca="false">LOOKUP(B33,H$8:H$15,F$8:F$15)</f>
        <v>Marius</v>
      </c>
      <c r="D33" s="46" t="n">
        <f aca="false">INDEX(Y$20:Y$27,MATCH(C33,X$20:X$27,0))</f>
        <v>6</v>
      </c>
      <c r="E33" s="46" t="n">
        <f aca="false">INDEX(Z$20:Z$27,MATCH(C33,X$20:X$27,0))</f>
        <v>1.75</v>
      </c>
      <c r="F33" s="79" t="n">
        <v>51</v>
      </c>
      <c r="G33" s="45" t="n">
        <f aca="false">F33-AVERAGE(F$33:F$36)</f>
        <v>4.5</v>
      </c>
      <c r="H33" s="41" t="n">
        <f aca="false">RANK(F33,F$33:F$36)</f>
        <v>2</v>
      </c>
      <c r="I33" s="49" t="n">
        <f aca="false">IF(H33=1,10,IF(H33=2,6,IF(H33=3,3,1)))</f>
        <v>6</v>
      </c>
      <c r="J33" s="47" t="n">
        <v>2</v>
      </c>
      <c r="K33" s="48" t="n">
        <v>6</v>
      </c>
      <c r="M33" s="41" t="n">
        <f aca="false">D33+K33</f>
        <v>12</v>
      </c>
      <c r="N33" s="49" t="n">
        <f aca="false">E33+G33</f>
        <v>6.25</v>
      </c>
      <c r="O33" s="45" t="n">
        <f aca="false">RANK(M33,M$33:M$40,0)</f>
        <v>4</v>
      </c>
      <c r="P33" s="48" t="n">
        <v>4</v>
      </c>
      <c r="Q33" s="4"/>
      <c r="R33" s="41" t="n">
        <f aca="false">P33</f>
        <v>4</v>
      </c>
      <c r="S33" s="46" t="str">
        <f aca="false">C33</f>
        <v>Marius</v>
      </c>
      <c r="T33" s="46" t="n">
        <f aca="false">M33</f>
        <v>12</v>
      </c>
      <c r="U33" s="49" t="n">
        <f aca="false">N33</f>
        <v>6.25</v>
      </c>
      <c r="W33" s="50" t="n">
        <v>8</v>
      </c>
      <c r="X33" s="51" t="s">
        <v>11</v>
      </c>
      <c r="Y33" s="51" t="n">
        <v>2</v>
      </c>
      <c r="Z33" s="48" t="n">
        <v>-10.5</v>
      </c>
      <c r="AB33" s="52" t="n">
        <v>1</v>
      </c>
      <c r="AC33" s="51" t="s">
        <v>13</v>
      </c>
      <c r="AD33" s="80" t="n">
        <v>20</v>
      </c>
      <c r="AE33" s="54" t="n">
        <v>27.25</v>
      </c>
    </row>
    <row r="34" customFormat="false" ht="14.25" hidden="false" customHeight="false" outlineLevel="0" collapsed="false">
      <c r="A34" s="4" t="n">
        <v>1</v>
      </c>
      <c r="B34" s="81" t="n">
        <v>4</v>
      </c>
      <c r="C34" s="15" t="str">
        <f aca="false">LOOKUP(B34,H$8:H$15,F$8:F$15)</f>
        <v>Øyvind K</v>
      </c>
      <c r="D34" s="59" t="n">
        <f aca="false">INDEX(Y$20:Y$27,MATCH(C34,X$20:X$27,0))</f>
        <v>3</v>
      </c>
      <c r="E34" s="29" t="n">
        <f aca="false">INDEX(Z$20:Z$27,MATCH(C34,X$20:X$27,0))</f>
        <v>0</v>
      </c>
      <c r="F34" s="82" t="n">
        <v>52</v>
      </c>
      <c r="G34" s="15" t="n">
        <f aca="false">F34-AVERAGE(F$33:F$36)</f>
        <v>5.5</v>
      </c>
      <c r="H34" s="55" t="n">
        <f aca="false">RANK(F34,F$33:F$36)</f>
        <v>1</v>
      </c>
      <c r="I34" s="29" t="n">
        <f aca="false">IF(H34=1,10,IF(H34=2,6,IF(H34=3,3,1)))</f>
        <v>10</v>
      </c>
      <c r="J34" s="60" t="n">
        <v>1</v>
      </c>
      <c r="K34" s="61" t="n">
        <v>10</v>
      </c>
      <c r="M34" s="55" t="n">
        <f aca="false">D34+K34</f>
        <v>13</v>
      </c>
      <c r="N34" s="29" t="n">
        <f aca="false">E34+G34</f>
        <v>5.5</v>
      </c>
      <c r="O34" s="15" t="n">
        <f aca="false">RANK(M34,M$33:M$40,0)</f>
        <v>3</v>
      </c>
      <c r="P34" s="61" t="n">
        <v>3</v>
      </c>
      <c r="Q34" s="4"/>
      <c r="R34" s="55" t="n">
        <f aca="false">P34</f>
        <v>3</v>
      </c>
      <c r="S34" s="59" t="str">
        <f aca="false">C34</f>
        <v>Øyvind K</v>
      </c>
      <c r="T34" s="59" t="n">
        <f aca="false">M34</f>
        <v>13</v>
      </c>
      <c r="U34" s="29" t="n">
        <f aca="false">N34</f>
        <v>5.5</v>
      </c>
      <c r="W34" s="62" t="n">
        <v>1</v>
      </c>
      <c r="X34" s="63" t="s">
        <v>13</v>
      </c>
      <c r="Y34" s="63" t="n">
        <v>20</v>
      </c>
      <c r="Z34" s="61" t="n">
        <v>27.25</v>
      </c>
      <c r="AB34" s="64" t="n">
        <v>2</v>
      </c>
      <c r="AC34" s="63" t="s">
        <v>12</v>
      </c>
      <c r="AD34" s="83" t="n">
        <v>16</v>
      </c>
      <c r="AE34" s="66" t="n">
        <v>2.5</v>
      </c>
    </row>
    <row r="35" customFormat="false" ht="14.25" hidden="false" customHeight="false" outlineLevel="0" collapsed="false">
      <c r="A35" s="4" t="n">
        <v>1</v>
      </c>
      <c r="B35" s="81" t="n">
        <v>5</v>
      </c>
      <c r="C35" s="15" t="str">
        <f aca="false">LOOKUP(B35,H$8:H$15,F$8:F$15)</f>
        <v>Rune</v>
      </c>
      <c r="D35" s="59" t="n">
        <f aca="false">INDEX(Y$20:Y$27,MATCH(C35,X$20:X$27,0))</f>
        <v>3</v>
      </c>
      <c r="E35" s="29" t="n">
        <f aca="false">INDEX(Z$20:Z$27,MATCH(C35,X$20:X$27,0))</f>
        <v>-7.25</v>
      </c>
      <c r="F35" s="82" t="n">
        <v>42</v>
      </c>
      <c r="G35" s="15" t="n">
        <f aca="false">F35-AVERAGE(F$33:F$36)</f>
        <v>-4.5</v>
      </c>
      <c r="H35" s="55" t="n">
        <f aca="false">RANK(F35,F$33:F$36)</f>
        <v>3</v>
      </c>
      <c r="I35" s="29" t="n">
        <f aca="false">IF(H35=1,10,IF(H35=2,6,IF(H35=3,3,1)))</f>
        <v>3</v>
      </c>
      <c r="J35" s="60" t="n">
        <v>3</v>
      </c>
      <c r="K35" s="61" t="n">
        <v>3</v>
      </c>
      <c r="M35" s="55" t="n">
        <f aca="false">D35+K35</f>
        <v>6</v>
      </c>
      <c r="N35" s="29" t="n">
        <f aca="false">E35+G35</f>
        <v>-11.75</v>
      </c>
      <c r="O35" s="15" t="n">
        <f aca="false">RANK(M35,M$33:M$40,0)</f>
        <v>6</v>
      </c>
      <c r="P35" s="61" t="n">
        <v>6</v>
      </c>
      <c r="Q35" s="4"/>
      <c r="R35" s="55" t="n">
        <f aca="false">P35</f>
        <v>6</v>
      </c>
      <c r="S35" s="59" t="str">
        <f aca="false">C35</f>
        <v>Rune</v>
      </c>
      <c r="T35" s="59" t="n">
        <f aca="false">M35</f>
        <v>6</v>
      </c>
      <c r="U35" s="29" t="n">
        <f aca="false">N35</f>
        <v>-11.75</v>
      </c>
      <c r="W35" s="62" t="n">
        <v>5</v>
      </c>
      <c r="X35" s="63" t="s">
        <v>14</v>
      </c>
      <c r="Y35" s="63" t="n">
        <v>9</v>
      </c>
      <c r="Z35" s="61" t="n">
        <v>-3.5</v>
      </c>
      <c r="AB35" s="64" t="n">
        <v>3</v>
      </c>
      <c r="AC35" s="63" t="s">
        <v>17</v>
      </c>
      <c r="AD35" s="83" t="n">
        <v>13</v>
      </c>
      <c r="AE35" s="66" t="n">
        <v>5.5</v>
      </c>
    </row>
    <row r="36" customFormat="false" ht="14.25" hidden="false" customHeight="false" outlineLevel="0" collapsed="false">
      <c r="A36" s="67" t="n">
        <v>1</v>
      </c>
      <c r="B36" s="84" t="n">
        <v>8</v>
      </c>
      <c r="C36" s="23" t="str">
        <f aca="false">LOOKUP(B36,H$8:H$15,F$8:F$15)</f>
        <v>Anne</v>
      </c>
      <c r="D36" s="70" t="n">
        <f aca="false">INDEX(Y$20:Y$27,MATCH(C36,X$20:X$27,0))</f>
        <v>1</v>
      </c>
      <c r="E36" s="31" t="n">
        <f aca="false">INDEX(Z$20:Z$27,MATCH(C36,X$20:X$27,0))</f>
        <v>-5</v>
      </c>
      <c r="F36" s="85" t="n">
        <v>41</v>
      </c>
      <c r="G36" s="23" t="n">
        <f aca="false">F36-AVERAGE(F$33:F$36)</f>
        <v>-5.5</v>
      </c>
      <c r="H36" s="68" t="n">
        <f aca="false">RANK(F36,F$33:F$36)</f>
        <v>4</v>
      </c>
      <c r="I36" s="31" t="n">
        <f aca="false">IF(H36=1,10,IF(H36=2,6,IF(H36=3,3,1)))</f>
        <v>1</v>
      </c>
      <c r="J36" s="71" t="n">
        <v>4</v>
      </c>
      <c r="K36" s="72" t="n">
        <v>1</v>
      </c>
      <c r="M36" s="68" t="n">
        <f aca="false">D36+K36</f>
        <v>2</v>
      </c>
      <c r="N36" s="31" t="n">
        <f aca="false">E36+G36</f>
        <v>-10.5</v>
      </c>
      <c r="O36" s="23" t="n">
        <f aca="false">RANK(M36,M$33:M$40,0)</f>
        <v>8</v>
      </c>
      <c r="P36" s="72" t="n">
        <v>8</v>
      </c>
      <c r="Q36" s="4"/>
      <c r="R36" s="68" t="n">
        <f aca="false">P36</f>
        <v>8</v>
      </c>
      <c r="S36" s="70" t="str">
        <f aca="false">C36</f>
        <v>Anne</v>
      </c>
      <c r="T36" s="70" t="n">
        <f aca="false">M36</f>
        <v>2</v>
      </c>
      <c r="U36" s="31" t="n">
        <f aca="false">N36</f>
        <v>-10.5</v>
      </c>
      <c r="W36" s="73" t="n">
        <v>7</v>
      </c>
      <c r="X36" s="74" t="s">
        <v>16</v>
      </c>
      <c r="Y36" s="74" t="n">
        <v>4</v>
      </c>
      <c r="Z36" s="72" t="n">
        <v>-15.75</v>
      </c>
      <c r="AB36" s="75" t="n">
        <v>4</v>
      </c>
      <c r="AC36" s="74" t="s">
        <v>15</v>
      </c>
      <c r="AD36" s="86" t="n">
        <v>12</v>
      </c>
      <c r="AE36" s="77" t="n">
        <v>6.25</v>
      </c>
    </row>
    <row r="37" customFormat="false" ht="14.25" hidden="false" customHeight="false" outlineLevel="0" collapsed="false">
      <c r="A37" s="4" t="n">
        <v>2</v>
      </c>
      <c r="B37" s="81" t="n">
        <v>1</v>
      </c>
      <c r="C37" s="15" t="str">
        <f aca="false">LOOKUP(B37,H$8:H$15,F$8:F$15)</f>
        <v>Lars</v>
      </c>
      <c r="D37" s="59" t="n">
        <f aca="false">INDEX(Y$20:Y$27,MATCH(C37,X$20:X$27,0))</f>
        <v>10</v>
      </c>
      <c r="E37" s="29" t="n">
        <f aca="false">INDEX(Z$20:Z$27,MATCH(C37,X$20:X$27,0))</f>
        <v>4</v>
      </c>
      <c r="F37" s="82" t="n">
        <v>46</v>
      </c>
      <c r="G37" s="15" t="n">
        <f aca="false">F37-AVERAGE(F$37:F$40)</f>
        <v>-1.5</v>
      </c>
      <c r="H37" s="55" t="n">
        <f aca="false">RANK(F37,F$37:F$40)</f>
        <v>2</v>
      </c>
      <c r="I37" s="29" t="n">
        <f aca="false">IF(H37=1,10,IF(H37=2,6,IF(H37=3,3,1)))</f>
        <v>6</v>
      </c>
      <c r="J37" s="60" t="n">
        <v>2</v>
      </c>
      <c r="K37" s="61" t="n">
        <v>6</v>
      </c>
      <c r="M37" s="55" t="n">
        <f aca="false">D37+K37</f>
        <v>16</v>
      </c>
      <c r="N37" s="29" t="n">
        <f aca="false">E37+G37</f>
        <v>2.5</v>
      </c>
      <c r="O37" s="15" t="n">
        <f aca="false">RANK(M37,M$33:M$40,0)</f>
        <v>2</v>
      </c>
      <c r="P37" s="61" t="n">
        <v>2</v>
      </c>
      <c r="Q37" s="4"/>
      <c r="R37" s="55" t="n">
        <f aca="false">P37</f>
        <v>2</v>
      </c>
      <c r="S37" s="59" t="str">
        <f aca="false">C37</f>
        <v>Lars</v>
      </c>
      <c r="T37" s="59" t="n">
        <f aca="false">M37</f>
        <v>16</v>
      </c>
      <c r="U37" s="29" t="n">
        <f aca="false">N37</f>
        <v>2.5</v>
      </c>
      <c r="W37" s="62" t="n">
        <v>2</v>
      </c>
      <c r="X37" s="63" t="s">
        <v>12</v>
      </c>
      <c r="Y37" s="63" t="n">
        <v>16</v>
      </c>
      <c r="Z37" s="61" t="n">
        <v>2.5</v>
      </c>
      <c r="AB37" s="64" t="n">
        <v>5</v>
      </c>
      <c r="AC37" s="63" t="s">
        <v>14</v>
      </c>
      <c r="AD37" s="83" t="n">
        <v>9</v>
      </c>
      <c r="AE37" s="66" t="n">
        <v>-3.5</v>
      </c>
    </row>
    <row r="38" customFormat="false" ht="14.25" hidden="false" customHeight="false" outlineLevel="0" collapsed="false">
      <c r="A38" s="4" t="n">
        <v>2</v>
      </c>
      <c r="B38" s="81" t="n">
        <v>2</v>
      </c>
      <c r="C38" s="15" t="str">
        <f aca="false">LOOKUP(B38,H$8:H$15,F$8:F$15)</f>
        <v>Erik</v>
      </c>
      <c r="D38" s="59" t="n">
        <f aca="false">INDEX(Y$20:Y$27,MATCH(C38,X$20:X$27,0))</f>
        <v>6</v>
      </c>
      <c r="E38" s="29" t="n">
        <f aca="false">INDEX(Z$20:Z$27,MATCH(C38,X$20:X$27,0))</f>
        <v>1</v>
      </c>
      <c r="F38" s="82" t="n">
        <v>43</v>
      </c>
      <c r="G38" s="15" t="n">
        <f aca="false">F38-AVERAGE(F$37:F$40)</f>
        <v>-4.5</v>
      </c>
      <c r="H38" s="55" t="n">
        <f aca="false">RANK(F38,F$37:F$40)</f>
        <v>3</v>
      </c>
      <c r="I38" s="29" t="n">
        <f aca="false">IF(H38=1,10,IF(H38=2,6,IF(H38=3,3,1)))</f>
        <v>3</v>
      </c>
      <c r="J38" s="60" t="n">
        <v>3</v>
      </c>
      <c r="K38" s="61" t="n">
        <v>3</v>
      </c>
      <c r="M38" s="55" t="n">
        <f aca="false">D38+K38</f>
        <v>9</v>
      </c>
      <c r="N38" s="29" t="n">
        <f aca="false">E38+G38</f>
        <v>-3.5</v>
      </c>
      <c r="O38" s="15" t="n">
        <f aca="false">RANK(M38,M$33:M$40,0)</f>
        <v>5</v>
      </c>
      <c r="P38" s="61" t="n">
        <v>5</v>
      </c>
      <c r="Q38" s="4"/>
      <c r="R38" s="55" t="n">
        <f aca="false">P38</f>
        <v>5</v>
      </c>
      <c r="S38" s="59" t="str">
        <f aca="false">C38</f>
        <v>Erik</v>
      </c>
      <c r="T38" s="59" t="n">
        <f aca="false">M38</f>
        <v>9</v>
      </c>
      <c r="U38" s="29" t="n">
        <f aca="false">N38</f>
        <v>-3.5</v>
      </c>
      <c r="W38" s="62" t="n">
        <v>4</v>
      </c>
      <c r="X38" s="63" t="s">
        <v>15</v>
      </c>
      <c r="Y38" s="63" t="n">
        <v>12</v>
      </c>
      <c r="Z38" s="61" t="n">
        <v>6.25</v>
      </c>
      <c r="AB38" s="64" t="n">
        <v>6</v>
      </c>
      <c r="AC38" s="63" t="s">
        <v>18</v>
      </c>
      <c r="AD38" s="83" t="n">
        <v>6</v>
      </c>
      <c r="AE38" s="66" t="n">
        <v>-11.75</v>
      </c>
    </row>
    <row r="39" customFormat="false" ht="14.25" hidden="false" customHeight="false" outlineLevel="0" collapsed="false">
      <c r="A39" s="4" t="n">
        <v>2</v>
      </c>
      <c r="B39" s="81" t="n">
        <v>6</v>
      </c>
      <c r="C39" s="15" t="str">
        <f aca="false">LOOKUP(B39,H$8:H$15,F$8:F$15)</f>
        <v>B.A</v>
      </c>
      <c r="D39" s="59" t="n">
        <f aca="false">INDEX(Y$20:Y$27,MATCH(C39,X$20:X$27,0))</f>
        <v>10</v>
      </c>
      <c r="E39" s="29" t="n">
        <f aca="false">INDEX(Z$20:Z$27,MATCH(C39,X$20:X$27,0))</f>
        <v>12.75</v>
      </c>
      <c r="F39" s="82" t="n">
        <v>62</v>
      </c>
      <c r="G39" s="15" t="n">
        <f aca="false">F39-AVERAGE(F$37:F$40)</f>
        <v>14.5</v>
      </c>
      <c r="H39" s="55" t="n">
        <f aca="false">RANK(F39,F$37:F$40)</f>
        <v>1</v>
      </c>
      <c r="I39" s="29" t="n">
        <f aca="false">IF(H39=1,10,IF(H39=2,6,IF(H39=3,3,1)))</f>
        <v>10</v>
      </c>
      <c r="J39" s="60" t="n">
        <v>1</v>
      </c>
      <c r="K39" s="61" t="n">
        <v>10</v>
      </c>
      <c r="M39" s="55" t="n">
        <f aca="false">D39+K39</f>
        <v>20</v>
      </c>
      <c r="N39" s="29" t="n">
        <f aca="false">E39+G39</f>
        <v>27.25</v>
      </c>
      <c r="O39" s="15" t="n">
        <f aca="false">RANK(M39,M$33:M$40,0)</f>
        <v>1</v>
      </c>
      <c r="P39" s="61" t="n">
        <v>1</v>
      </c>
      <c r="Q39" s="4"/>
      <c r="R39" s="55" t="n">
        <f aca="false">P39</f>
        <v>1</v>
      </c>
      <c r="S39" s="59" t="str">
        <f aca="false">C39</f>
        <v>B.A</v>
      </c>
      <c r="T39" s="59" t="n">
        <f aca="false">M39</f>
        <v>20</v>
      </c>
      <c r="U39" s="29" t="n">
        <f aca="false">N39</f>
        <v>27.25</v>
      </c>
      <c r="W39" s="62" t="n">
        <v>6</v>
      </c>
      <c r="X39" s="63" t="s">
        <v>18</v>
      </c>
      <c r="Y39" s="63" t="n">
        <v>6</v>
      </c>
      <c r="Z39" s="61" t="n">
        <v>-11.75</v>
      </c>
      <c r="AB39" s="64" t="n">
        <v>7</v>
      </c>
      <c r="AC39" s="63" t="s">
        <v>16</v>
      </c>
      <c r="AD39" s="83" t="n">
        <v>4</v>
      </c>
      <c r="AE39" s="66" t="n">
        <v>-15.75</v>
      </c>
    </row>
    <row r="40" customFormat="false" ht="14.25" hidden="false" customHeight="false" outlineLevel="0" collapsed="false">
      <c r="A40" s="67" t="n">
        <v>2</v>
      </c>
      <c r="B40" s="84" t="n">
        <v>7</v>
      </c>
      <c r="C40" s="23" t="str">
        <f aca="false">LOOKUP(B40,H$8:H$15,F$8:F$15)</f>
        <v>Håkon</v>
      </c>
      <c r="D40" s="70" t="n">
        <f aca="false">INDEX(Y$20:Y$27,MATCH(C40,X$20:X$27,0))</f>
        <v>3</v>
      </c>
      <c r="E40" s="31" t="n">
        <f aca="false">INDEX(Z$20:Z$27,MATCH(C40,X$20:X$27,0))</f>
        <v>-7.25</v>
      </c>
      <c r="F40" s="85" t="n">
        <v>39</v>
      </c>
      <c r="G40" s="23" t="n">
        <f aca="false">F40-AVERAGE(F$37:F$40)</f>
        <v>-8.5</v>
      </c>
      <c r="H40" s="68" t="n">
        <f aca="false">RANK(F40,F$37:F$40)</f>
        <v>4</v>
      </c>
      <c r="I40" s="31" t="n">
        <f aca="false">IF(H40=1,10,IF(H40=2,6,IF(H40=3,3,1)))</f>
        <v>1</v>
      </c>
      <c r="J40" s="71" t="n">
        <v>4</v>
      </c>
      <c r="K40" s="72" t="n">
        <v>1</v>
      </c>
      <c r="M40" s="68" t="n">
        <f aca="false">D40+K40</f>
        <v>4</v>
      </c>
      <c r="N40" s="31" t="n">
        <f aca="false">E40+G40</f>
        <v>-15.75</v>
      </c>
      <c r="O40" s="23" t="n">
        <f aca="false">RANK(M40,M$33:M$40,0)</f>
        <v>7</v>
      </c>
      <c r="P40" s="72" t="n">
        <v>7</v>
      </c>
      <c r="Q40" s="4"/>
      <c r="R40" s="68" t="n">
        <f aca="false">P40</f>
        <v>7</v>
      </c>
      <c r="S40" s="70" t="str">
        <f aca="false">C40</f>
        <v>Håkon</v>
      </c>
      <c r="T40" s="70" t="n">
        <f aca="false">M40</f>
        <v>4</v>
      </c>
      <c r="U40" s="31" t="n">
        <f aca="false">N40</f>
        <v>-15.75</v>
      </c>
      <c r="W40" s="73" t="n">
        <v>3</v>
      </c>
      <c r="X40" s="74" t="s">
        <v>17</v>
      </c>
      <c r="Y40" s="74" t="n">
        <v>13</v>
      </c>
      <c r="Z40" s="72" t="n">
        <v>5.5</v>
      </c>
      <c r="AB40" s="75" t="n">
        <v>8</v>
      </c>
      <c r="AC40" s="74" t="s">
        <v>11</v>
      </c>
      <c r="AD40" s="86" t="n">
        <v>2</v>
      </c>
      <c r="AE40" s="77" t="n">
        <v>-10.5</v>
      </c>
    </row>
    <row r="43" customFormat="false" ht="14.25" hidden="false" customHeight="false" outlineLevel="0" collapsed="false">
      <c r="A43" s="2" t="s">
        <v>55</v>
      </c>
      <c r="J43" s="3" t="s">
        <v>56</v>
      </c>
      <c r="P43" s="3" t="s">
        <v>57</v>
      </c>
      <c r="W43" s="2" t="s">
        <v>58</v>
      </c>
      <c r="AB43" s="3"/>
    </row>
    <row r="44" customFormat="false" ht="14.25" hidden="false" customHeight="false" outlineLevel="0" collapsed="false">
      <c r="A44" s="38" t="s">
        <v>41</v>
      </c>
      <c r="M44" s="38" t="s">
        <v>59</v>
      </c>
      <c r="P44" s="38"/>
      <c r="R44" s="38" t="s">
        <v>60</v>
      </c>
      <c r="W44" s="39" t="s">
        <v>61</v>
      </c>
    </row>
    <row r="45" customFormat="false" ht="14.25" hidden="false" customHeight="false" outlineLevel="0" collapsed="false">
      <c r="A45" s="4" t="s">
        <v>27</v>
      </c>
      <c r="B45" s="39" t="s">
        <v>9</v>
      </c>
      <c r="C45" s="4" t="s">
        <v>7</v>
      </c>
      <c r="D45" s="4" t="s">
        <v>51</v>
      </c>
      <c r="E45" s="4" t="s">
        <v>52</v>
      </c>
      <c r="F45" s="39" t="s">
        <v>62</v>
      </c>
      <c r="G45" s="39" t="s">
        <v>63</v>
      </c>
      <c r="H45" s="39" t="s">
        <v>64</v>
      </c>
      <c r="I45" s="39" t="s">
        <v>65</v>
      </c>
      <c r="J45" s="5" t="s">
        <v>64</v>
      </c>
      <c r="K45" s="5" t="s">
        <v>66</v>
      </c>
      <c r="M45" s="39" t="s">
        <v>67</v>
      </c>
      <c r="N45" s="39" t="s">
        <v>68</v>
      </c>
      <c r="O45" s="39" t="s">
        <v>69</v>
      </c>
      <c r="P45" s="39" t="s">
        <v>70</v>
      </c>
      <c r="R45" s="39" t="s">
        <v>70</v>
      </c>
      <c r="S45" s="39" t="s">
        <v>7</v>
      </c>
      <c r="T45" s="39" t="s">
        <v>67</v>
      </c>
      <c r="U45" s="39" t="s">
        <v>68</v>
      </c>
      <c r="W45" s="39" t="s">
        <v>70</v>
      </c>
      <c r="X45" s="39" t="s">
        <v>7</v>
      </c>
      <c r="Y45" s="39" t="s">
        <v>67</v>
      </c>
      <c r="Z45" s="39" t="s">
        <v>68</v>
      </c>
    </row>
    <row r="46" customFormat="false" ht="14.25" hidden="false" customHeight="false" outlineLevel="0" collapsed="false">
      <c r="A46" s="78" t="n">
        <v>1</v>
      </c>
      <c r="B46" s="78" t="n">
        <v>1</v>
      </c>
      <c r="C46" s="45" t="str">
        <f aca="false">LOOKUP(B46,H$8:H$15,F$8:F$15)</f>
        <v>Lars</v>
      </c>
      <c r="D46" s="46" t="n">
        <f aca="false">INDEX(Y$33:Y$40,MATCH(C46,X$33:X$40,0))</f>
        <v>16</v>
      </c>
      <c r="E46" s="46" t="n">
        <f aca="false">INDEX(Z$33:Z$40,MATCH(C46,X$33:X$40,0))</f>
        <v>2.5</v>
      </c>
      <c r="F46" s="79" t="n">
        <v>49</v>
      </c>
      <c r="G46" s="45" t="n">
        <f aca="false">F46-AVERAGE(F$46:F$49)</f>
        <v>-1.5</v>
      </c>
      <c r="H46" s="41" t="n">
        <f aca="false">RANK(F46,F$46:F$49)</f>
        <v>3</v>
      </c>
      <c r="I46" s="49" t="n">
        <f aca="false">IF(H46=1,10,IF(H46=2,6,IF(H46=3,3,1)))</f>
        <v>3</v>
      </c>
      <c r="J46" s="47" t="n">
        <v>3</v>
      </c>
      <c r="K46" s="48" t="n">
        <v>3</v>
      </c>
      <c r="M46" s="41" t="n">
        <f aca="false">D46+K46</f>
        <v>19</v>
      </c>
      <c r="N46" s="49" t="n">
        <f aca="false">E46+G46</f>
        <v>1</v>
      </c>
      <c r="O46" s="45" t="n">
        <f aca="false">RANK(M46,M$46:M$53,0)</f>
        <v>3</v>
      </c>
      <c r="P46" s="48" t="n">
        <v>3</v>
      </c>
      <c r="Q46" s="4"/>
      <c r="R46" s="41" t="n">
        <f aca="false">P46</f>
        <v>3</v>
      </c>
      <c r="S46" s="41" t="str">
        <f aca="false">C46</f>
        <v>Lars</v>
      </c>
      <c r="T46" s="46" t="n">
        <f aca="false">M46</f>
        <v>19</v>
      </c>
      <c r="U46" s="49" t="n">
        <f aca="false">N46</f>
        <v>1</v>
      </c>
      <c r="W46" s="52" t="n">
        <v>1</v>
      </c>
      <c r="X46" s="51" t="s">
        <v>13</v>
      </c>
      <c r="Y46" s="80" t="n">
        <v>30</v>
      </c>
      <c r="Z46" s="54" t="n">
        <v>28.75</v>
      </c>
      <c r="AB46" s="4"/>
      <c r="AC46" s="4"/>
      <c r="AD46" s="87"/>
      <c r="AE46" s="88"/>
    </row>
    <row r="47" customFormat="false" ht="14.25" hidden="false" customHeight="false" outlineLevel="0" collapsed="false">
      <c r="A47" s="81" t="n">
        <v>1</v>
      </c>
      <c r="B47" s="81" t="n">
        <v>3</v>
      </c>
      <c r="C47" s="15" t="str">
        <f aca="false">LOOKUP(B47,H$8:H$15,F$8:F$15)</f>
        <v>Marius</v>
      </c>
      <c r="D47" s="59" t="n">
        <f aca="false">INDEX(Y$33:Y$40,MATCH(C47,X$33:X$40,0))</f>
        <v>12</v>
      </c>
      <c r="E47" s="29" t="n">
        <f aca="false">INDEX(Z$33:Z$40,MATCH(C47,X$33:X$40,0))</f>
        <v>6.25</v>
      </c>
      <c r="F47" s="82" t="n">
        <v>49</v>
      </c>
      <c r="G47" s="15" t="n">
        <f aca="false">F47-AVERAGE(F$46:F$49)</f>
        <v>-1.5</v>
      </c>
      <c r="H47" s="55" t="n">
        <f aca="false">RANK(F47,F$46:F$49)</f>
        <v>3</v>
      </c>
      <c r="I47" s="29" t="n">
        <f aca="false">IF(H47=1,10,IF(H47=2,6,IF(H47=3,3,1)))</f>
        <v>3</v>
      </c>
      <c r="J47" s="60" t="n">
        <v>3</v>
      </c>
      <c r="K47" s="61" t="n">
        <v>3</v>
      </c>
      <c r="M47" s="55" t="n">
        <f aca="false">D47+K47</f>
        <v>15</v>
      </c>
      <c r="N47" s="29" t="n">
        <f aca="false">E47+G47</f>
        <v>4.75</v>
      </c>
      <c r="O47" s="15" t="n">
        <f aca="false">RANK(M47,M$46:M$53,0)</f>
        <v>5</v>
      </c>
      <c r="P47" s="61" t="n">
        <v>5</v>
      </c>
      <c r="Q47" s="4"/>
      <c r="R47" s="55" t="n">
        <f aca="false">P47</f>
        <v>5</v>
      </c>
      <c r="S47" s="55" t="str">
        <f aca="false">C47</f>
        <v>Marius</v>
      </c>
      <c r="T47" s="59" t="n">
        <f aca="false">M47</f>
        <v>15</v>
      </c>
      <c r="U47" s="29" t="n">
        <f aca="false">N47</f>
        <v>4.75</v>
      </c>
      <c r="W47" s="64" t="n">
        <v>2</v>
      </c>
      <c r="X47" s="63" t="s">
        <v>17</v>
      </c>
      <c r="Y47" s="83" t="n">
        <v>23</v>
      </c>
      <c r="Z47" s="66" t="n">
        <v>7</v>
      </c>
      <c r="AB47" s="4"/>
      <c r="AC47" s="4"/>
      <c r="AD47" s="87"/>
      <c r="AE47" s="88"/>
    </row>
    <row r="48" customFormat="false" ht="14.25" hidden="false" customHeight="false" outlineLevel="0" collapsed="false">
      <c r="A48" s="81" t="n">
        <v>1</v>
      </c>
      <c r="B48" s="81" t="n">
        <v>4</v>
      </c>
      <c r="C48" s="15" t="str">
        <f aca="false">LOOKUP(B48,H$8:H$15,F$8:F$15)</f>
        <v>Øyvind K</v>
      </c>
      <c r="D48" s="59" t="n">
        <f aca="false">INDEX(Y$33:Y$40,MATCH(C48,X$33:X$40,0))</f>
        <v>13</v>
      </c>
      <c r="E48" s="29" t="n">
        <f aca="false">INDEX(Z$33:Z$40,MATCH(C48,X$33:X$40,0))</f>
        <v>5.5</v>
      </c>
      <c r="F48" s="82" t="n">
        <v>52</v>
      </c>
      <c r="G48" s="15" t="n">
        <f aca="false">F48-AVERAGE(F$46:F$49)</f>
        <v>1.5</v>
      </c>
      <c r="H48" s="55" t="n">
        <f aca="false">RANK(F48,F$46:F$49)</f>
        <v>1</v>
      </c>
      <c r="I48" s="29" t="n">
        <f aca="false">IF(H48=1,10,IF(H48=2,6,IF(H48=3,3,1)))</f>
        <v>10</v>
      </c>
      <c r="J48" s="60" t="n">
        <v>1</v>
      </c>
      <c r="K48" s="61" t="n">
        <v>10</v>
      </c>
      <c r="M48" s="55" t="n">
        <f aca="false">D48+K48</f>
        <v>23</v>
      </c>
      <c r="N48" s="29" t="n">
        <f aca="false">E48+G48</f>
        <v>7</v>
      </c>
      <c r="O48" s="15" t="n">
        <f aca="false">RANK(M48,M$46:M$53,0)</f>
        <v>2</v>
      </c>
      <c r="P48" s="61" t="n">
        <v>2</v>
      </c>
      <c r="Q48" s="4"/>
      <c r="R48" s="55" t="n">
        <f aca="false">P48</f>
        <v>2</v>
      </c>
      <c r="S48" s="55" t="str">
        <f aca="false">C48</f>
        <v>Øyvind K</v>
      </c>
      <c r="T48" s="59" t="n">
        <f aca="false">M48</f>
        <v>23</v>
      </c>
      <c r="U48" s="29" t="n">
        <f aca="false">N48</f>
        <v>7</v>
      </c>
      <c r="W48" s="64" t="n">
        <v>3</v>
      </c>
      <c r="X48" s="63" t="s">
        <v>12</v>
      </c>
      <c r="Y48" s="83" t="n">
        <v>19</v>
      </c>
      <c r="Z48" s="66" t="n">
        <v>1</v>
      </c>
      <c r="AB48" s="4"/>
      <c r="AC48" s="4"/>
      <c r="AD48" s="87"/>
      <c r="AE48" s="88"/>
    </row>
    <row r="49" customFormat="false" ht="14.25" hidden="false" customHeight="false" outlineLevel="0" collapsed="false">
      <c r="A49" s="84" t="n">
        <v>1</v>
      </c>
      <c r="B49" s="84" t="n">
        <v>6</v>
      </c>
      <c r="C49" s="23" t="str">
        <f aca="false">LOOKUP(B49,H$8:H$15,F$8:F$15)</f>
        <v>B.A</v>
      </c>
      <c r="D49" s="70" t="n">
        <f aca="false">INDEX(Y$33:Y$40,MATCH(C49,X$33:X$40,0))</f>
        <v>20</v>
      </c>
      <c r="E49" s="31" t="n">
        <f aca="false">INDEX(Z$33:Z$40,MATCH(C49,X$33:X$40,0))</f>
        <v>27.25</v>
      </c>
      <c r="F49" s="85" t="n">
        <v>52</v>
      </c>
      <c r="G49" s="23" t="n">
        <f aca="false">F49-AVERAGE(F$46:F$49)</f>
        <v>1.5</v>
      </c>
      <c r="H49" s="68" t="n">
        <f aca="false">RANK(F49,F$46:F$49)</f>
        <v>1</v>
      </c>
      <c r="I49" s="31" t="n">
        <f aca="false">IF(H49=1,10,IF(H49=2,6,IF(H49=3,3,1)))</f>
        <v>10</v>
      </c>
      <c r="J49" s="71" t="n">
        <v>1</v>
      </c>
      <c r="K49" s="72" t="n">
        <v>10</v>
      </c>
      <c r="M49" s="68" t="n">
        <f aca="false">D49+K49</f>
        <v>30</v>
      </c>
      <c r="N49" s="31" t="n">
        <f aca="false">E49+G49</f>
        <v>28.75</v>
      </c>
      <c r="O49" s="23" t="n">
        <f aca="false">RANK(M49,M$46:M$53,0)</f>
        <v>1</v>
      </c>
      <c r="P49" s="72" t="n">
        <v>1</v>
      </c>
      <c r="Q49" s="4"/>
      <c r="R49" s="68" t="n">
        <f aca="false">P49</f>
        <v>1</v>
      </c>
      <c r="S49" s="68" t="str">
        <f aca="false">C49</f>
        <v>B.A</v>
      </c>
      <c r="T49" s="70" t="n">
        <f aca="false">M49</f>
        <v>30</v>
      </c>
      <c r="U49" s="31" t="n">
        <f aca="false">N49</f>
        <v>28.75</v>
      </c>
      <c r="W49" s="75" t="n">
        <v>4</v>
      </c>
      <c r="X49" s="74" t="s">
        <v>18</v>
      </c>
      <c r="Y49" s="86" t="n">
        <v>16</v>
      </c>
      <c r="Z49" s="77" t="n">
        <v>-3</v>
      </c>
      <c r="AB49" s="4"/>
      <c r="AC49" s="4"/>
      <c r="AD49" s="87"/>
      <c r="AE49" s="88"/>
    </row>
    <row r="50" customFormat="false" ht="14.25" hidden="false" customHeight="false" outlineLevel="0" collapsed="false">
      <c r="A50" s="81" t="n">
        <v>2</v>
      </c>
      <c r="B50" s="81" t="n">
        <v>2</v>
      </c>
      <c r="C50" s="15" t="str">
        <f aca="false">LOOKUP(B50,H$8:H$15,F$8:F$15)</f>
        <v>Erik</v>
      </c>
      <c r="D50" s="59" t="n">
        <f aca="false">INDEX(Y$33:Y$40,MATCH(C50,X$33:X$40,0))</f>
        <v>9</v>
      </c>
      <c r="E50" s="29" t="n">
        <f aca="false">INDEX(Z$33:Z$40,MATCH(C50,X$33:X$40,0))</f>
        <v>-3.5</v>
      </c>
      <c r="F50" s="82" t="n">
        <v>36</v>
      </c>
      <c r="G50" s="15" t="n">
        <f aca="false">F50-AVERAGE(F$50:F$53)</f>
        <v>-5.25</v>
      </c>
      <c r="H50" s="55" t="n">
        <f aca="false">RANK(F50,F$50:F$53)</f>
        <v>4</v>
      </c>
      <c r="I50" s="29" t="n">
        <f aca="false">IF(H50=1,10,IF(H50=2,6,IF(H50=3,3,1)))</f>
        <v>1</v>
      </c>
      <c r="J50" s="60" t="n">
        <v>4</v>
      </c>
      <c r="K50" s="61" t="n">
        <v>1</v>
      </c>
      <c r="M50" s="55" t="n">
        <f aca="false">D50+K50</f>
        <v>10</v>
      </c>
      <c r="N50" s="29" t="n">
        <f aca="false">E50+G50</f>
        <v>-8.75</v>
      </c>
      <c r="O50" s="15" t="n">
        <f aca="false">RANK(M50,M$46:M$53,0)</f>
        <v>6</v>
      </c>
      <c r="P50" s="61" t="n">
        <v>6</v>
      </c>
      <c r="Q50" s="4"/>
      <c r="R50" s="55" t="n">
        <f aca="false">P50</f>
        <v>6</v>
      </c>
      <c r="S50" s="55" t="str">
        <f aca="false">C50</f>
        <v>Erik</v>
      </c>
      <c r="T50" s="59" t="n">
        <f aca="false">M50</f>
        <v>10</v>
      </c>
      <c r="U50" s="29" t="n">
        <f aca="false">N50</f>
        <v>-8.75</v>
      </c>
      <c r="W50" s="64" t="n">
        <v>5</v>
      </c>
      <c r="X50" s="63" t="s">
        <v>15</v>
      </c>
      <c r="Y50" s="83" t="n">
        <v>15</v>
      </c>
      <c r="Z50" s="66" t="n">
        <v>4.75</v>
      </c>
      <c r="AB50" s="4"/>
      <c r="AC50" s="4"/>
      <c r="AD50" s="87"/>
      <c r="AE50" s="88"/>
    </row>
    <row r="51" customFormat="false" ht="14.25" hidden="false" customHeight="false" outlineLevel="0" collapsed="false">
      <c r="A51" s="81" t="n">
        <v>2</v>
      </c>
      <c r="B51" s="81" t="n">
        <v>5</v>
      </c>
      <c r="C51" s="15" t="str">
        <f aca="false">LOOKUP(B51,H$8:H$15,F$8:F$15)</f>
        <v>Rune</v>
      </c>
      <c r="D51" s="59" t="n">
        <f aca="false">INDEX(Y$33:Y$40,MATCH(C51,X$33:X$40,0))</f>
        <v>6</v>
      </c>
      <c r="E51" s="29" t="n">
        <f aca="false">INDEX(Z$33:Z$40,MATCH(C51,X$33:X$40,0))</f>
        <v>-11.75</v>
      </c>
      <c r="F51" s="82" t="n">
        <v>50</v>
      </c>
      <c r="G51" s="15" t="n">
        <f aca="false">F51-AVERAGE(F$50:F$53)</f>
        <v>8.75</v>
      </c>
      <c r="H51" s="55" t="n">
        <f aca="false">RANK(F51,F$50:F$53)</f>
        <v>1</v>
      </c>
      <c r="I51" s="29" t="n">
        <f aca="false">IF(H51=1,10,IF(H51=2,6,IF(H51=3,3,1)))</f>
        <v>10</v>
      </c>
      <c r="J51" s="60" t="n">
        <v>1</v>
      </c>
      <c r="K51" s="61" t="n">
        <v>10</v>
      </c>
      <c r="M51" s="55" t="n">
        <f aca="false">D51+K51</f>
        <v>16</v>
      </c>
      <c r="N51" s="29" t="n">
        <f aca="false">E51+G51</f>
        <v>-3</v>
      </c>
      <c r="O51" s="15" t="n">
        <f aca="false">RANK(M51,M$46:M$53,0)</f>
        <v>4</v>
      </c>
      <c r="P51" s="61" t="n">
        <v>4</v>
      </c>
      <c r="Q51" s="4"/>
      <c r="R51" s="55" t="n">
        <f aca="false">P51</f>
        <v>4</v>
      </c>
      <c r="S51" s="55" t="str">
        <f aca="false">C51</f>
        <v>Rune</v>
      </c>
      <c r="T51" s="59" t="n">
        <f aca="false">M51</f>
        <v>16</v>
      </c>
      <c r="U51" s="29" t="n">
        <f aca="false">N51</f>
        <v>-3</v>
      </c>
      <c r="W51" s="64" t="n">
        <v>6</v>
      </c>
      <c r="X51" s="63" t="s">
        <v>14</v>
      </c>
      <c r="Y51" s="83" t="n">
        <v>10</v>
      </c>
      <c r="Z51" s="66" t="n">
        <v>-8.75</v>
      </c>
      <c r="AB51" s="4"/>
      <c r="AC51" s="4"/>
      <c r="AD51" s="87"/>
      <c r="AE51" s="88"/>
    </row>
    <row r="52" customFormat="false" ht="14.25" hidden="false" customHeight="false" outlineLevel="0" collapsed="false">
      <c r="A52" s="81" t="n">
        <v>2</v>
      </c>
      <c r="B52" s="81" t="n">
        <v>7</v>
      </c>
      <c r="C52" s="15" t="str">
        <f aca="false">LOOKUP(B52,H$8:H$15,F$8:F$15)</f>
        <v>Håkon</v>
      </c>
      <c r="D52" s="59" t="n">
        <f aca="false">INDEX(Y$33:Y$40,MATCH(C52,X$33:X$40,0))</f>
        <v>4</v>
      </c>
      <c r="E52" s="29" t="n">
        <f aca="false">INDEX(Z$33:Z$40,MATCH(C52,X$33:X$40,0))</f>
        <v>-15.75</v>
      </c>
      <c r="F52" s="82" t="n">
        <v>40</v>
      </c>
      <c r="G52" s="15" t="n">
        <f aca="false">F52-AVERAGE(F$50:F$53)</f>
        <v>-1.25</v>
      </c>
      <c r="H52" s="55" t="n">
        <f aca="false">RANK(F52,F$50:F$53)</f>
        <v>2</v>
      </c>
      <c r="I52" s="29" t="n">
        <f aca="false">IF(H52=1,10,IF(H52=2,6,IF(H52=3,3,1)))</f>
        <v>6</v>
      </c>
      <c r="J52" s="60" t="n">
        <v>2</v>
      </c>
      <c r="K52" s="61" t="n">
        <v>6</v>
      </c>
      <c r="M52" s="55" t="n">
        <f aca="false">D52+K52</f>
        <v>10</v>
      </c>
      <c r="N52" s="29" t="n">
        <f aca="false">E52+G52</f>
        <v>-17</v>
      </c>
      <c r="O52" s="15" t="n">
        <f aca="false">RANK(M52,M$46:M$53,0)</f>
        <v>6</v>
      </c>
      <c r="P52" s="61" t="n">
        <v>7</v>
      </c>
      <c r="Q52" s="4"/>
      <c r="R52" s="55" t="n">
        <f aca="false">P52</f>
        <v>7</v>
      </c>
      <c r="S52" s="55" t="str">
        <f aca="false">C52</f>
        <v>Håkon</v>
      </c>
      <c r="T52" s="59" t="n">
        <f aca="false">M52</f>
        <v>10</v>
      </c>
      <c r="U52" s="29" t="n">
        <f aca="false">N52</f>
        <v>-17</v>
      </c>
      <c r="W52" s="64" t="n">
        <v>7</v>
      </c>
      <c r="X52" s="63" t="s">
        <v>16</v>
      </c>
      <c r="Y52" s="83" t="n">
        <v>10</v>
      </c>
      <c r="Z52" s="66" t="n">
        <v>-17</v>
      </c>
      <c r="AB52" s="4"/>
      <c r="AC52" s="4"/>
      <c r="AD52" s="87"/>
      <c r="AE52" s="88"/>
    </row>
    <row r="53" customFormat="false" ht="14.25" hidden="false" customHeight="false" outlineLevel="0" collapsed="false">
      <c r="A53" s="67" t="n">
        <v>2</v>
      </c>
      <c r="B53" s="84" t="n">
        <v>8</v>
      </c>
      <c r="C53" s="23" t="str">
        <f aca="false">LOOKUP(B53,H$8:H$15,F$8:F$15)</f>
        <v>Anne</v>
      </c>
      <c r="D53" s="70" t="n">
        <f aca="false">INDEX(Y$33:Y$40,MATCH(C53,X$33:X$40,0))</f>
        <v>2</v>
      </c>
      <c r="E53" s="31" t="n">
        <f aca="false">INDEX(Z$33:Z$40,MATCH(C53,X$33:X$40,0))</f>
        <v>-10.5</v>
      </c>
      <c r="F53" s="85" t="n">
        <v>39</v>
      </c>
      <c r="G53" s="23" t="n">
        <f aca="false">F53-AVERAGE(F$50:F$53)</f>
        <v>-2.25</v>
      </c>
      <c r="H53" s="68" t="n">
        <f aca="false">RANK(F53,F$50:F$53)</f>
        <v>3</v>
      </c>
      <c r="I53" s="31" t="n">
        <f aca="false">IF(H53=1,10,IF(H53=2,6,IF(H53=3,3,1)))</f>
        <v>3</v>
      </c>
      <c r="J53" s="71" t="n">
        <v>3</v>
      </c>
      <c r="K53" s="72" t="n">
        <v>3</v>
      </c>
      <c r="M53" s="68" t="n">
        <f aca="false">D53+K53</f>
        <v>5</v>
      </c>
      <c r="N53" s="31" t="n">
        <f aca="false">E53+G53</f>
        <v>-12.75</v>
      </c>
      <c r="O53" s="23" t="n">
        <f aca="false">RANK(M53,M$46:M$53,0)</f>
        <v>8</v>
      </c>
      <c r="P53" s="72" t="n">
        <v>8</v>
      </c>
      <c r="Q53" s="4"/>
      <c r="R53" s="68" t="n">
        <f aca="false">P53</f>
        <v>8</v>
      </c>
      <c r="S53" s="68" t="str">
        <f aca="false">C53</f>
        <v>Anne</v>
      </c>
      <c r="T53" s="70" t="n">
        <f aca="false">M53</f>
        <v>5</v>
      </c>
      <c r="U53" s="31" t="n">
        <f aca="false">N53</f>
        <v>-12.75</v>
      </c>
      <c r="W53" s="75" t="n">
        <v>8</v>
      </c>
      <c r="X53" s="74" t="s">
        <v>11</v>
      </c>
      <c r="Y53" s="86" t="n">
        <v>5</v>
      </c>
      <c r="Z53" s="77" t="n">
        <v>-12.75</v>
      </c>
      <c r="AB53" s="4"/>
      <c r="AC53" s="4"/>
      <c r="AD53" s="87"/>
      <c r="AE53" s="88"/>
    </row>
    <row r="56" customFormat="false" ht="14.25" hidden="false" customHeight="false" outlineLevel="0" collapsed="false">
      <c r="A56" s="2" t="s">
        <v>71</v>
      </c>
      <c r="C56" s="39" t="s">
        <v>72</v>
      </c>
      <c r="F56" s="89" t="n">
        <v>1.25</v>
      </c>
      <c r="J56" s="3" t="s">
        <v>73</v>
      </c>
      <c r="P56" s="3" t="s">
        <v>74</v>
      </c>
      <c r="W56" s="3" t="s">
        <v>75</v>
      </c>
    </row>
    <row r="57" customFormat="false" ht="14.25" hidden="false" customHeight="false" outlineLevel="0" collapsed="false">
      <c r="A57" s="38" t="s">
        <v>41</v>
      </c>
      <c r="M57" s="38" t="s">
        <v>76</v>
      </c>
      <c r="P57" s="38"/>
      <c r="R57" s="38" t="s">
        <v>77</v>
      </c>
      <c r="W57" s="39" t="s">
        <v>78</v>
      </c>
    </row>
    <row r="58" customFormat="false" ht="14.25" hidden="false" customHeight="false" outlineLevel="0" collapsed="false">
      <c r="A58" s="4" t="s">
        <v>27</v>
      </c>
      <c r="C58" s="4" t="s">
        <v>7</v>
      </c>
      <c r="D58" s="4" t="s">
        <v>67</v>
      </c>
      <c r="E58" s="4" t="s">
        <v>68</v>
      </c>
      <c r="F58" s="39" t="s">
        <v>79</v>
      </c>
      <c r="G58" s="39" t="s">
        <v>80</v>
      </c>
      <c r="H58" s="39" t="s">
        <v>81</v>
      </c>
      <c r="I58" s="39" t="s">
        <v>82</v>
      </c>
      <c r="J58" s="5" t="s">
        <v>81</v>
      </c>
      <c r="K58" s="5" t="s">
        <v>83</v>
      </c>
      <c r="M58" s="39" t="s">
        <v>84</v>
      </c>
      <c r="N58" s="39" t="s">
        <v>85</v>
      </c>
      <c r="O58" s="39" t="s">
        <v>86</v>
      </c>
      <c r="P58" s="39" t="s">
        <v>87</v>
      </c>
      <c r="R58" s="39" t="s">
        <v>87</v>
      </c>
      <c r="S58" s="39" t="s">
        <v>7</v>
      </c>
      <c r="T58" s="39" t="s">
        <v>84</v>
      </c>
      <c r="U58" s="39" t="s">
        <v>85</v>
      </c>
      <c r="W58" s="39" t="s">
        <v>87</v>
      </c>
      <c r="X58" s="39" t="s">
        <v>7</v>
      </c>
      <c r="Y58" s="39" t="s">
        <v>84</v>
      </c>
      <c r="Z58" s="39" t="s">
        <v>85</v>
      </c>
    </row>
    <row r="59" customFormat="false" ht="14.25" hidden="false" customHeight="false" outlineLevel="0" collapsed="false">
      <c r="A59" s="78" t="n">
        <v>1</v>
      </c>
      <c r="B59" s="90"/>
      <c r="C59" s="45" t="str">
        <f aca="false">X46</f>
        <v>B.A</v>
      </c>
      <c r="D59" s="91" t="n">
        <f aca="false">Y46</f>
        <v>30</v>
      </c>
      <c r="E59" s="49" t="n">
        <f aca="false">Z46</f>
        <v>28.75</v>
      </c>
      <c r="F59" s="79" t="n">
        <v>52</v>
      </c>
      <c r="G59" s="45" t="n">
        <f aca="false">F59-AVERAGE(F$59)</f>
        <v>0</v>
      </c>
      <c r="H59" s="41" t="n">
        <f aca="false">RANK(F59,F$59)</f>
        <v>1</v>
      </c>
      <c r="I59" s="49" t="n">
        <f aca="false">$F$56*IF(H59=1,10,IF(H59=2,6,IF(H59=3,3,1)))</f>
        <v>12.5</v>
      </c>
      <c r="J59" s="47" t="n">
        <v>1</v>
      </c>
      <c r="K59" s="48" t="n">
        <v>12.5</v>
      </c>
      <c r="M59" s="41" t="n">
        <f aca="false">D59+K59</f>
        <v>42.5</v>
      </c>
      <c r="N59" s="49" t="n">
        <f aca="false">E59+G59</f>
        <v>28.75</v>
      </c>
      <c r="O59" s="45" t="n">
        <f aca="false">RANK(M59,M$59,0)</f>
        <v>1</v>
      </c>
      <c r="P59" s="48" t="n">
        <v>1</v>
      </c>
      <c r="Q59" s="4"/>
      <c r="R59" s="41" t="n">
        <f aca="false">P59</f>
        <v>1</v>
      </c>
      <c r="S59" s="46" t="str">
        <f aca="false">C59</f>
        <v>B.A</v>
      </c>
      <c r="T59" s="46" t="n">
        <f aca="false">M59</f>
        <v>42.5</v>
      </c>
      <c r="U59" s="49" t="n">
        <f aca="false">N59</f>
        <v>28.75</v>
      </c>
      <c r="W59" s="52" t="n">
        <v>1</v>
      </c>
      <c r="X59" s="51" t="s">
        <v>13</v>
      </c>
      <c r="Y59" s="92" t="n">
        <v>42.5</v>
      </c>
      <c r="Z59" s="92" t="n">
        <v>28.75</v>
      </c>
      <c r="AA59" s="93"/>
      <c r="AD59" s="4"/>
    </row>
    <row r="60" customFormat="false" ht="14.25" hidden="false" customHeight="false" outlineLevel="0" collapsed="false">
      <c r="A60" s="81"/>
      <c r="B60" s="94"/>
      <c r="C60" s="15" t="str">
        <f aca="false">X47</f>
        <v>Øyvind K</v>
      </c>
      <c r="D60" s="95" t="n">
        <f aca="false">Y47</f>
        <v>23</v>
      </c>
      <c r="E60" s="29" t="n">
        <f aca="false">Z47</f>
        <v>7</v>
      </c>
      <c r="F60" s="82"/>
      <c r="G60" s="15" t="n">
        <v>0</v>
      </c>
      <c r="H60" s="55"/>
      <c r="I60" s="29"/>
      <c r="J60" s="60"/>
      <c r="K60" s="61" t="n">
        <v>0</v>
      </c>
      <c r="M60" s="55" t="n">
        <f aca="false">D60+K60</f>
        <v>23</v>
      </c>
      <c r="N60" s="29" t="n">
        <f aca="false">E60+G60</f>
        <v>7</v>
      </c>
      <c r="O60" s="15" t="n">
        <f aca="false">1+RANK(M60,M$60:M$66,0)</f>
        <v>2</v>
      </c>
      <c r="P60" s="61" t="n">
        <v>2</v>
      </c>
      <c r="Q60" s="4"/>
      <c r="R60" s="55" t="n">
        <f aca="false">P60</f>
        <v>2</v>
      </c>
      <c r="S60" s="59" t="str">
        <f aca="false">C60</f>
        <v>Øyvind K</v>
      </c>
      <c r="T60" s="59" t="n">
        <f aca="false">M60</f>
        <v>23</v>
      </c>
      <c r="U60" s="29" t="n">
        <f aca="false">N60</f>
        <v>7</v>
      </c>
      <c r="W60" s="64" t="n">
        <v>2</v>
      </c>
      <c r="X60" s="63" t="s">
        <v>17</v>
      </c>
      <c r="Y60" s="96" t="n">
        <v>23</v>
      </c>
      <c r="Z60" s="96" t="n">
        <v>7</v>
      </c>
      <c r="AA60" s="93"/>
      <c r="AD60" s="4"/>
    </row>
    <row r="61" customFormat="false" ht="14.25" hidden="false" customHeight="false" outlineLevel="0" collapsed="false">
      <c r="A61" s="81"/>
      <c r="B61" s="94"/>
      <c r="C61" s="15" t="str">
        <f aca="false">X48</f>
        <v>Lars</v>
      </c>
      <c r="D61" s="95" t="n">
        <f aca="false">Y48</f>
        <v>19</v>
      </c>
      <c r="E61" s="29" t="n">
        <f aca="false">Z48</f>
        <v>1</v>
      </c>
      <c r="F61" s="82"/>
      <c r="G61" s="15" t="n">
        <v>0</v>
      </c>
      <c r="H61" s="55"/>
      <c r="I61" s="29"/>
      <c r="J61" s="60"/>
      <c r="K61" s="61" t="n">
        <v>0</v>
      </c>
      <c r="M61" s="55" t="n">
        <f aca="false">D61+K61</f>
        <v>19</v>
      </c>
      <c r="N61" s="29" t="n">
        <f aca="false">E61+G61</f>
        <v>1</v>
      </c>
      <c r="O61" s="15" t="n">
        <f aca="false">1+RANK(M61,M$60:M$66,0)</f>
        <v>3</v>
      </c>
      <c r="P61" s="61" t="n">
        <v>3</v>
      </c>
      <c r="Q61" s="4"/>
      <c r="R61" s="55" t="n">
        <f aca="false">P61</f>
        <v>3</v>
      </c>
      <c r="S61" s="59" t="str">
        <f aca="false">C61</f>
        <v>Lars</v>
      </c>
      <c r="T61" s="59" t="n">
        <f aca="false">M61</f>
        <v>19</v>
      </c>
      <c r="U61" s="29" t="n">
        <f aca="false">N61</f>
        <v>1</v>
      </c>
      <c r="W61" s="64" t="n">
        <v>3</v>
      </c>
      <c r="X61" s="63" t="s">
        <v>12</v>
      </c>
      <c r="Y61" s="96" t="n">
        <v>19</v>
      </c>
      <c r="Z61" s="96" t="n">
        <v>1</v>
      </c>
      <c r="AA61" s="93"/>
      <c r="AD61" s="4"/>
    </row>
    <row r="62" customFormat="false" ht="14.25" hidden="false" customHeight="false" outlineLevel="0" collapsed="false">
      <c r="A62" s="81"/>
      <c r="B62" s="94"/>
      <c r="C62" s="15" t="str">
        <f aca="false">X49</f>
        <v>Rune</v>
      </c>
      <c r="D62" s="95" t="n">
        <f aca="false">Y49</f>
        <v>16</v>
      </c>
      <c r="E62" s="29" t="n">
        <f aca="false">Z49</f>
        <v>-3</v>
      </c>
      <c r="F62" s="82"/>
      <c r="G62" s="15" t="n">
        <v>0</v>
      </c>
      <c r="H62" s="55"/>
      <c r="I62" s="29"/>
      <c r="J62" s="60"/>
      <c r="K62" s="61" t="n">
        <v>0</v>
      </c>
      <c r="M62" s="55" t="n">
        <f aca="false">D62+K62</f>
        <v>16</v>
      </c>
      <c r="N62" s="29" t="n">
        <f aca="false">E62+G62</f>
        <v>-3</v>
      </c>
      <c r="O62" s="15" t="n">
        <f aca="false">1+RANK(M62,M$60:M$66,0)</f>
        <v>4</v>
      </c>
      <c r="P62" s="61" t="n">
        <v>4</v>
      </c>
      <c r="Q62" s="4"/>
      <c r="R62" s="55" t="n">
        <f aca="false">P62</f>
        <v>4</v>
      </c>
      <c r="S62" s="59" t="str">
        <f aca="false">C62</f>
        <v>Rune</v>
      </c>
      <c r="T62" s="59" t="n">
        <f aca="false">M62</f>
        <v>16</v>
      </c>
      <c r="U62" s="29" t="n">
        <f aca="false">N62</f>
        <v>-3</v>
      </c>
      <c r="W62" s="64" t="n">
        <v>4</v>
      </c>
      <c r="X62" s="63" t="s">
        <v>18</v>
      </c>
      <c r="Y62" s="96" t="n">
        <v>16</v>
      </c>
      <c r="Z62" s="96" t="n">
        <v>-3</v>
      </c>
      <c r="AA62" s="93"/>
      <c r="AD62" s="4"/>
    </row>
    <row r="63" customFormat="false" ht="14.25" hidden="false" customHeight="false" outlineLevel="0" collapsed="false">
      <c r="A63" s="81"/>
      <c r="B63" s="94"/>
      <c r="C63" s="15" t="str">
        <f aca="false">X50</f>
        <v>Marius</v>
      </c>
      <c r="D63" s="95" t="n">
        <f aca="false">Y50</f>
        <v>15</v>
      </c>
      <c r="E63" s="29" t="n">
        <f aca="false">Z50</f>
        <v>4.75</v>
      </c>
      <c r="F63" s="82"/>
      <c r="G63" s="15" t="n">
        <v>0</v>
      </c>
      <c r="H63" s="55"/>
      <c r="I63" s="29"/>
      <c r="J63" s="60"/>
      <c r="K63" s="61" t="n">
        <v>0</v>
      </c>
      <c r="M63" s="55" t="n">
        <f aca="false">D63+K63</f>
        <v>15</v>
      </c>
      <c r="N63" s="29" t="n">
        <f aca="false">E63+G63</f>
        <v>4.75</v>
      </c>
      <c r="O63" s="15" t="n">
        <f aca="false">1+RANK(M63,M$60:M$66,0)</f>
        <v>5</v>
      </c>
      <c r="P63" s="61" t="n">
        <v>5</v>
      </c>
      <c r="Q63" s="4"/>
      <c r="R63" s="55" t="n">
        <f aca="false">P63</f>
        <v>5</v>
      </c>
      <c r="S63" s="59" t="str">
        <f aca="false">C63</f>
        <v>Marius</v>
      </c>
      <c r="T63" s="59" t="n">
        <f aca="false">M63</f>
        <v>15</v>
      </c>
      <c r="U63" s="29" t="n">
        <f aca="false">N63</f>
        <v>4.75</v>
      </c>
      <c r="W63" s="64" t="n">
        <v>5</v>
      </c>
      <c r="X63" s="63" t="s">
        <v>15</v>
      </c>
      <c r="Y63" s="96" t="n">
        <v>15</v>
      </c>
      <c r="Z63" s="96" t="n">
        <v>4.75</v>
      </c>
      <c r="AA63" s="93"/>
      <c r="AD63" s="4"/>
    </row>
    <row r="64" customFormat="false" ht="14.25" hidden="false" customHeight="false" outlineLevel="0" collapsed="false">
      <c r="A64" s="81"/>
      <c r="B64" s="94"/>
      <c r="C64" s="15" t="str">
        <f aca="false">X51</f>
        <v>Erik</v>
      </c>
      <c r="D64" s="95" t="n">
        <f aca="false">Y51</f>
        <v>10</v>
      </c>
      <c r="E64" s="29" t="n">
        <f aca="false">Z51</f>
        <v>-8.75</v>
      </c>
      <c r="F64" s="82"/>
      <c r="G64" s="15" t="n">
        <v>0</v>
      </c>
      <c r="H64" s="55"/>
      <c r="I64" s="29"/>
      <c r="J64" s="60"/>
      <c r="K64" s="61" t="n">
        <v>0</v>
      </c>
      <c r="M64" s="55" t="n">
        <f aca="false">D64+K64</f>
        <v>10</v>
      </c>
      <c r="N64" s="29" t="n">
        <f aca="false">E64+G64</f>
        <v>-8.75</v>
      </c>
      <c r="O64" s="15" t="n">
        <f aca="false">1+RANK(M64,M$60:M$66,0)</f>
        <v>6</v>
      </c>
      <c r="P64" s="61" t="n">
        <v>6</v>
      </c>
      <c r="Q64" s="4"/>
      <c r="R64" s="55" t="n">
        <f aca="false">P64</f>
        <v>6</v>
      </c>
      <c r="S64" s="59" t="str">
        <f aca="false">C64</f>
        <v>Erik</v>
      </c>
      <c r="T64" s="59" t="n">
        <f aca="false">M64</f>
        <v>10</v>
      </c>
      <c r="U64" s="29" t="n">
        <f aca="false">N64</f>
        <v>-8.75</v>
      </c>
      <c r="W64" s="64" t="n">
        <v>6</v>
      </c>
      <c r="X64" s="63" t="s">
        <v>14</v>
      </c>
      <c r="Y64" s="96" t="n">
        <v>10</v>
      </c>
      <c r="Z64" s="96" t="n">
        <v>-8.75</v>
      </c>
      <c r="AA64" s="93"/>
      <c r="AD64" s="4"/>
    </row>
    <row r="65" customFormat="false" ht="14.25" hidden="false" customHeight="false" outlineLevel="0" collapsed="false">
      <c r="A65" s="81"/>
      <c r="B65" s="94"/>
      <c r="C65" s="15" t="str">
        <f aca="false">X52</f>
        <v>Håkon</v>
      </c>
      <c r="D65" s="95" t="n">
        <f aca="false">Y52</f>
        <v>10</v>
      </c>
      <c r="E65" s="29" t="n">
        <f aca="false">Z52</f>
        <v>-17</v>
      </c>
      <c r="F65" s="82"/>
      <c r="G65" s="15" t="n">
        <v>0</v>
      </c>
      <c r="H65" s="55"/>
      <c r="I65" s="29"/>
      <c r="J65" s="60"/>
      <c r="K65" s="61" t="n">
        <v>0</v>
      </c>
      <c r="M65" s="55" t="n">
        <f aca="false">D65+K65</f>
        <v>10</v>
      </c>
      <c r="N65" s="29" t="n">
        <f aca="false">E65+G65</f>
        <v>-17</v>
      </c>
      <c r="O65" s="15" t="n">
        <f aca="false">1+RANK(M65,M$60:M$66,0)</f>
        <v>6</v>
      </c>
      <c r="P65" s="61" t="n">
        <v>7</v>
      </c>
      <c r="Q65" s="4"/>
      <c r="R65" s="55" t="n">
        <f aca="false">P65</f>
        <v>7</v>
      </c>
      <c r="S65" s="59" t="str">
        <f aca="false">C65</f>
        <v>Håkon</v>
      </c>
      <c r="T65" s="59" t="n">
        <f aca="false">M65</f>
        <v>10</v>
      </c>
      <c r="U65" s="29" t="n">
        <f aca="false">N65</f>
        <v>-17</v>
      </c>
      <c r="W65" s="64" t="n">
        <v>7</v>
      </c>
      <c r="X65" s="63" t="s">
        <v>16</v>
      </c>
      <c r="Y65" s="96" t="n">
        <v>10</v>
      </c>
      <c r="Z65" s="96" t="n">
        <v>-17</v>
      </c>
      <c r="AA65" s="93"/>
      <c r="AD65" s="4"/>
    </row>
    <row r="66" customFormat="false" ht="14.25" hidden="false" customHeight="false" outlineLevel="0" collapsed="false">
      <c r="A66" s="67"/>
      <c r="B66" s="97"/>
      <c r="C66" s="23" t="str">
        <f aca="false">X53</f>
        <v>Anne</v>
      </c>
      <c r="D66" s="98" t="n">
        <f aca="false">Y53</f>
        <v>5</v>
      </c>
      <c r="E66" s="31" t="n">
        <f aca="false">Z53</f>
        <v>-12.75</v>
      </c>
      <c r="F66" s="85"/>
      <c r="G66" s="23" t="n">
        <v>0</v>
      </c>
      <c r="H66" s="68"/>
      <c r="I66" s="31"/>
      <c r="J66" s="71"/>
      <c r="K66" s="72" t="n">
        <v>0</v>
      </c>
      <c r="M66" s="68" t="n">
        <f aca="false">D66+K66</f>
        <v>5</v>
      </c>
      <c r="N66" s="31" t="n">
        <f aca="false">E66+G66</f>
        <v>-12.75</v>
      </c>
      <c r="O66" s="23" t="n">
        <f aca="false">1+RANK(M66,M$60:M$66,0)</f>
        <v>8</v>
      </c>
      <c r="P66" s="72" t="n">
        <v>8</v>
      </c>
      <c r="Q66" s="4"/>
      <c r="R66" s="68" t="n">
        <f aca="false">P66</f>
        <v>8</v>
      </c>
      <c r="S66" s="70" t="str">
        <f aca="false">C66</f>
        <v>Anne</v>
      </c>
      <c r="T66" s="70" t="n">
        <f aca="false">M66</f>
        <v>5</v>
      </c>
      <c r="U66" s="31" t="n">
        <f aca="false">N66</f>
        <v>-12.75</v>
      </c>
      <c r="W66" s="75" t="n">
        <v>8</v>
      </c>
      <c r="X66" s="74" t="s">
        <v>11</v>
      </c>
      <c r="Y66" s="99" t="n">
        <v>5</v>
      </c>
      <c r="Z66" s="77" t="n">
        <v>-12.75</v>
      </c>
      <c r="AB66" s="4"/>
      <c r="AC66" s="4"/>
      <c r="AD66" s="4"/>
      <c r="AE66" s="4"/>
    </row>
    <row r="69" customFormat="false" ht="14.25" hidden="false" customHeight="false" outlineLevel="0" collapsed="false">
      <c r="A69" s="100" t="s">
        <v>88</v>
      </c>
      <c r="B69" s="100"/>
    </row>
    <row r="70" customFormat="false" ht="14.25" hidden="false" customHeight="false" outlineLevel="0" collapsed="false">
      <c r="A70" s="3" t="s">
        <v>89</v>
      </c>
    </row>
    <row r="71" customFormat="false" ht="14.25" hidden="false" customHeight="false" outlineLevel="0" collapsed="false">
      <c r="A71" s="101" t="s">
        <v>90</v>
      </c>
      <c r="B71" s="101" t="s">
        <v>7</v>
      </c>
      <c r="C71" s="101" t="s">
        <v>91</v>
      </c>
      <c r="D71" s="101" t="s">
        <v>92</v>
      </c>
    </row>
    <row r="72" customFormat="false" ht="14.25" hidden="false" customHeight="false" outlineLevel="0" collapsed="false">
      <c r="A72" s="52" t="n">
        <v>1</v>
      </c>
      <c r="B72" s="51" t="s">
        <v>13</v>
      </c>
      <c r="C72" s="92" t="n">
        <v>42.5</v>
      </c>
      <c r="D72" s="54" t="n">
        <v>28.75</v>
      </c>
    </row>
    <row r="73" customFormat="false" ht="14.25" hidden="false" customHeight="false" outlineLevel="0" collapsed="false">
      <c r="A73" s="64" t="n">
        <v>2</v>
      </c>
      <c r="B73" s="63" t="s">
        <v>17</v>
      </c>
      <c r="C73" s="96" t="n">
        <v>23</v>
      </c>
      <c r="D73" s="66" t="n">
        <v>7</v>
      </c>
    </row>
    <row r="74" customFormat="false" ht="14.25" hidden="false" customHeight="false" outlineLevel="0" collapsed="false">
      <c r="A74" s="64" t="n">
        <v>3</v>
      </c>
      <c r="B74" s="63" t="s">
        <v>12</v>
      </c>
      <c r="C74" s="96" t="n">
        <v>19</v>
      </c>
      <c r="D74" s="66" t="n">
        <v>1</v>
      </c>
    </row>
    <row r="75" customFormat="false" ht="14.25" hidden="false" customHeight="false" outlineLevel="0" collapsed="false">
      <c r="A75" s="64" t="n">
        <v>4</v>
      </c>
      <c r="B75" s="63" t="s">
        <v>18</v>
      </c>
      <c r="C75" s="96" t="n">
        <v>16</v>
      </c>
      <c r="D75" s="66" t="n">
        <v>-3</v>
      </c>
    </row>
    <row r="76" customFormat="false" ht="14.25" hidden="false" customHeight="false" outlineLevel="0" collapsed="false">
      <c r="A76" s="64" t="n">
        <v>5</v>
      </c>
      <c r="B76" s="63" t="s">
        <v>15</v>
      </c>
      <c r="C76" s="96" t="n">
        <v>15</v>
      </c>
      <c r="D76" s="66" t="n">
        <v>4.75</v>
      </c>
    </row>
    <row r="77" customFormat="false" ht="14.25" hidden="false" customHeight="false" outlineLevel="0" collapsed="false">
      <c r="A77" s="64" t="n">
        <v>6</v>
      </c>
      <c r="B77" s="63" t="s">
        <v>14</v>
      </c>
      <c r="C77" s="96" t="n">
        <v>10</v>
      </c>
      <c r="D77" s="66" t="n">
        <v>-8.75</v>
      </c>
    </row>
    <row r="78" customFormat="false" ht="14.25" hidden="false" customHeight="false" outlineLevel="0" collapsed="false">
      <c r="A78" s="64" t="n">
        <v>7</v>
      </c>
      <c r="B78" s="63" t="s">
        <v>16</v>
      </c>
      <c r="C78" s="96" t="n">
        <v>10</v>
      </c>
      <c r="D78" s="66" t="n">
        <v>-17</v>
      </c>
    </row>
    <row r="79" customFormat="false" ht="14.25" hidden="false" customHeight="false" outlineLevel="0" collapsed="false">
      <c r="A79" s="75" t="n">
        <v>8</v>
      </c>
      <c r="B79" s="74" t="s">
        <v>11</v>
      </c>
      <c r="C79" s="99" t="n">
        <v>5</v>
      </c>
      <c r="D79" s="77" t="n">
        <v>-12.75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1.89"/>
    <col collapsed="false" customWidth="true" hidden="false" outlineLevel="0" max="3" min="3" style="0" width="10.88"/>
    <col collapsed="false" customWidth="true" hidden="false" outlineLevel="0" max="4" min="4" style="0" width="11.44"/>
    <col collapsed="false" customWidth="true" hidden="false" outlineLevel="0" max="5" min="5" style="0" width="12"/>
    <col collapsed="false" customWidth="true" hidden="false" outlineLevel="0" max="6" min="6" style="0" width="11"/>
  </cols>
  <sheetData>
    <row r="1" customFormat="false" ht="15" hidden="false" customHeight="false" outlineLevel="0" collapsed="false">
      <c r="A1" s="102" t="s">
        <v>93</v>
      </c>
      <c r="B1" s="103" t="s">
        <v>94</v>
      </c>
      <c r="C1" s="103" t="s">
        <v>95</v>
      </c>
      <c r="D1" s="103" t="s">
        <v>96</v>
      </c>
    </row>
    <row r="2" customFormat="false" ht="15" hidden="false" customHeight="false" outlineLevel="0" collapsed="false">
      <c r="A2" s="4" t="n">
        <v>1</v>
      </c>
      <c r="B2" s="104" t="s">
        <v>17</v>
      </c>
      <c r="C2" s="104" t="s">
        <v>11</v>
      </c>
      <c r="D2" s="104" t="s">
        <v>15</v>
      </c>
    </row>
    <row r="3" customFormat="false" ht="15" hidden="false" customHeight="false" outlineLevel="0" collapsed="false">
      <c r="A3" s="4" t="n">
        <v>1</v>
      </c>
      <c r="B3" s="105" t="s">
        <v>11</v>
      </c>
      <c r="C3" s="105" t="s">
        <v>17</v>
      </c>
      <c r="D3" s="105" t="s">
        <v>17</v>
      </c>
    </row>
    <row r="4" customFormat="false" ht="15" hidden="false" customHeight="false" outlineLevel="0" collapsed="false">
      <c r="A4" s="4" t="n">
        <v>1</v>
      </c>
      <c r="B4" s="105" t="s">
        <v>14</v>
      </c>
      <c r="C4" s="105" t="s">
        <v>18</v>
      </c>
      <c r="D4" s="105" t="s">
        <v>13</v>
      </c>
    </row>
    <row r="5" customFormat="false" ht="15" hidden="false" customHeight="false" outlineLevel="0" collapsed="false">
      <c r="A5" s="67" t="n">
        <v>1</v>
      </c>
      <c r="B5" s="106" t="s">
        <v>12</v>
      </c>
      <c r="C5" s="106" t="s">
        <v>15</v>
      </c>
      <c r="D5" s="106" t="s">
        <v>12</v>
      </c>
    </row>
    <row r="6" customFormat="false" ht="15" hidden="false" customHeight="false" outlineLevel="0" collapsed="false">
      <c r="A6" s="107" t="n">
        <v>2</v>
      </c>
      <c r="B6" s="108" t="s">
        <v>16</v>
      </c>
      <c r="C6" s="108" t="s">
        <v>14</v>
      </c>
      <c r="D6" s="108" t="s">
        <v>11</v>
      </c>
    </row>
    <row r="7" customFormat="false" ht="15" hidden="false" customHeight="false" outlineLevel="0" collapsed="false">
      <c r="A7" s="107" t="n">
        <v>2</v>
      </c>
      <c r="B7" s="109" t="s">
        <v>15</v>
      </c>
      <c r="C7" s="109" t="s">
        <v>13</v>
      </c>
      <c r="D7" s="109" t="s">
        <v>14</v>
      </c>
    </row>
    <row r="8" customFormat="false" ht="15" hidden="false" customHeight="false" outlineLevel="0" collapsed="false">
      <c r="A8" s="107" t="n">
        <v>2</v>
      </c>
      <c r="B8" s="109" t="s">
        <v>18</v>
      </c>
      <c r="C8" s="109" t="s">
        <v>16</v>
      </c>
      <c r="D8" s="109" t="s">
        <v>18</v>
      </c>
    </row>
    <row r="9" customFormat="false" ht="15" hidden="false" customHeight="false" outlineLevel="0" collapsed="false">
      <c r="A9" s="110" t="n">
        <v>2</v>
      </c>
      <c r="B9" s="111" t="s">
        <v>13</v>
      </c>
      <c r="C9" s="111" t="s">
        <v>12</v>
      </c>
      <c r="D9" s="111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2014-10-27T08:07:38Z</dcterms:created>
  <dc:creator>Agricola Explorer</dc:creator>
  <dc:description/>
  <dc:language>en-US</dc:language>
  <cp:lastModifiedBy>Agricola Explorer</cp:lastModifiedBy>
  <cp:lastPrinted>2018-02-07T06:56:09Z</cp:lastPrinted>
  <dcterms:modified xsi:type="dcterms:W3CDTF">2026-10-12T15:04:09Z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
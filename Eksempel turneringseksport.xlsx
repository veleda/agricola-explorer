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sett" sheetId="1" state="visible" r:id="rId3"/>
    <sheet name="Print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Agricola Explorer</author>
  </authors>
  <commentList>
    <comment ref="J62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63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65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66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74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76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86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88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97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98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14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15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16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32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33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40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142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205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208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230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232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</commentList>
</comments>
</file>

<file path=xl/sharedStrings.xml><?xml version="1.0" encoding="utf-8"?>
<sst xmlns="http://schemas.openxmlformats.org/spreadsheetml/2006/main" count="760" uniqueCount="155">
  <si>
    <t xml:space="preserve">AGRICOLA tournament setup for Eksempelturnering, 28 pl, 5 rd + final </t>
  </si>
  <si>
    <t xml:space="preserve">2026-10-16 – 2026-10-18</t>
  </si>
  <si>
    <t xml:space="preserve">Format: table allocations and scores as registered in Agricola Explorer</t>
  </si>
  <si>
    <t xml:space="preserve">Starting list (sorted by first names col. K) </t>
  </si>
  <si>
    <t xml:space="preserve">Copy a8:c35 to col E and paste values. </t>
  </si>
  <si>
    <t xml:space="preserve">Sort e8:g35 on col G (RandNo), Asc</t>
  </si>
  <si>
    <t xml:space="preserve">InitStNo1</t>
  </si>
  <si>
    <t xml:space="preserve">Name</t>
  </si>
  <si>
    <t xml:space="preserve">RandNo</t>
  </si>
  <si>
    <t xml:space="preserve">StartNo</t>
  </si>
  <si>
    <t xml:space="preserve">Players, full names</t>
  </si>
  <si>
    <t xml:space="preserve">Spiller 01</t>
  </si>
  <si>
    <t xml:space="preserve">Spiller 05</t>
  </si>
  <si>
    <t xml:space="preserve">Spiller 02</t>
  </si>
  <si>
    <t xml:space="preserve">Spiller 22</t>
  </si>
  <si>
    <t xml:space="preserve">Spiller 03</t>
  </si>
  <si>
    <t xml:space="preserve">Spiller 11</t>
  </si>
  <si>
    <t xml:space="preserve">Spiller 04</t>
  </si>
  <si>
    <t xml:space="preserve">Spiller 08</t>
  </si>
  <si>
    <t xml:space="preserve">Spiller 06</t>
  </si>
  <si>
    <t xml:space="preserve">Spiller 10</t>
  </si>
  <si>
    <t xml:space="preserve">Spiller 07</t>
  </si>
  <si>
    <t xml:space="preserve">Spiller 24</t>
  </si>
  <si>
    <t xml:space="preserve">Spiller 27</t>
  </si>
  <si>
    <t xml:space="preserve">Spiller 09</t>
  </si>
  <si>
    <t xml:space="preserve">Spiller 17</t>
  </si>
  <si>
    <t xml:space="preserve">Spiller 25</t>
  </si>
  <si>
    <t xml:space="preserve">Spiller 14</t>
  </si>
  <si>
    <t xml:space="preserve">Spiller 12</t>
  </si>
  <si>
    <t xml:space="preserve">Spiller 13</t>
  </si>
  <si>
    <t xml:space="preserve">Spiller 15</t>
  </si>
  <si>
    <t xml:space="preserve">Spiller 16</t>
  </si>
  <si>
    <t xml:space="preserve">Spiller 18</t>
  </si>
  <si>
    <t xml:space="preserve">Spiller 19</t>
  </si>
  <si>
    <t xml:space="preserve">Spiller 20</t>
  </si>
  <si>
    <t xml:space="preserve">Spiller 21</t>
  </si>
  <si>
    <t xml:space="preserve">Spiller 23</t>
  </si>
  <si>
    <t xml:space="preserve">Spiller 28</t>
  </si>
  <si>
    <t xml:space="preserve">Spiller 26</t>
  </si>
  <si>
    <t xml:space="preserve">ROUND 1</t>
  </si>
  <si>
    <t xml:space="preserve">Copy h40:i67, paste values and manually adjust for ties</t>
  </si>
  <si>
    <t xml:space="preserve">Copy r40:u67, paste values; sort on col. X</t>
  </si>
  <si>
    <t xml:space="preserve">Copy x40:z67, paste values; sort on col. AD and then AE</t>
  </si>
  <si>
    <t xml:space="preserve">Allocation to tables and scores</t>
  </si>
  <si>
    <t xml:space="preserve">Results after R1 for each table</t>
  </si>
  <si>
    <t xml:space="preserve">Scores after R1, alphabetically</t>
  </si>
  <si>
    <t xml:space="preserve">Scores after R1, ranked</t>
  </si>
  <si>
    <t xml:space="preserve">Table</t>
  </si>
  <si>
    <t xml:space="preserve">ScoreR1</t>
  </si>
  <si>
    <t xml:space="preserve">RelScR1</t>
  </si>
  <si>
    <t xml:space="preserve">TabRkR1</t>
  </si>
  <si>
    <t xml:space="preserve">TurnPR1</t>
  </si>
  <si>
    <t xml:space="preserve">TabRankR1</t>
  </si>
  <si>
    <t xml:space="preserve">ZTurnPR1</t>
  </si>
  <si>
    <t xml:space="preserve">ZRelScR1</t>
  </si>
  <si>
    <t xml:space="preserve">RankR1</t>
  </si>
  <si>
    <t xml:space="preserve">ROUND 2</t>
  </si>
  <si>
    <t xml:space="preserve">Copy h73:i100, paste values and manually adjust for ties</t>
  </si>
  <si>
    <t xml:space="preserve">Copy o73:o100, paste values; resolve ties using ZRelScR2</t>
  </si>
  <si>
    <t xml:space="preserve">Copy r73:u100, paste values; sort on col. X</t>
  </si>
  <si>
    <t xml:space="preserve">Copy x73:z100, paste values; sort on col. AD and then AE</t>
  </si>
  <si>
    <t xml:space="preserve">Allocation to tables</t>
  </si>
  <si>
    <t xml:space="preserve">Raw standings after R2</t>
  </si>
  <si>
    <t xml:space="preserve">Rearranged results after R2</t>
  </si>
  <si>
    <t xml:space="preserve">Scores after R2, alphabetically</t>
  </si>
  <si>
    <t xml:space="preserve">Scores after R2, ranked</t>
  </si>
  <si>
    <t xml:space="preserve">ScoreR2</t>
  </si>
  <si>
    <t xml:space="preserve">RelScR2</t>
  </si>
  <si>
    <t xml:space="preserve">TabRkR2</t>
  </si>
  <si>
    <t xml:space="preserve">TurnPR2p</t>
  </si>
  <si>
    <t xml:space="preserve">TurnPR2</t>
  </si>
  <si>
    <t xml:space="preserve">ZTurnPR2</t>
  </si>
  <si>
    <t xml:space="preserve">ZRelScR2</t>
  </si>
  <si>
    <t xml:space="preserve">RankR2p</t>
  </si>
  <si>
    <t xml:space="preserve">RankR2</t>
  </si>
  <si>
    <t xml:space="preserve">ROUND 3</t>
  </si>
  <si>
    <t xml:space="preserve">Copy h106:i133, paste values and manually adjust for ties</t>
  </si>
  <si>
    <t xml:space="preserve">Copy o106:o133, paste values; resolve ties using ZRelScR3</t>
  </si>
  <si>
    <t xml:space="preserve">Copy r106:u133, paste values; sort on col. X</t>
  </si>
  <si>
    <t xml:space="preserve">Copy x106:z133, paste values; sort on col. AD and then AE</t>
  </si>
  <si>
    <t xml:space="preserve">Raw standings after R3</t>
  </si>
  <si>
    <t xml:space="preserve">Rearranged results after R3</t>
  </si>
  <si>
    <t xml:space="preserve">Scores after R3, alphabetically</t>
  </si>
  <si>
    <t xml:space="preserve">Scores after R3, ranked</t>
  </si>
  <si>
    <t xml:space="preserve">ScoreR3</t>
  </si>
  <si>
    <t xml:space="preserve">RelScR3</t>
  </si>
  <si>
    <t xml:space="preserve">TabRkR3</t>
  </si>
  <si>
    <t xml:space="preserve">TurnPR3p</t>
  </si>
  <si>
    <t xml:space="preserve">TurnPR3</t>
  </si>
  <si>
    <t xml:space="preserve">ZTurnPR3</t>
  </si>
  <si>
    <t xml:space="preserve">ZRelScR3</t>
  </si>
  <si>
    <t xml:space="preserve">RankR3p</t>
  </si>
  <si>
    <t xml:space="preserve">RankR3</t>
  </si>
  <si>
    <t xml:space="preserve">ROUND 4</t>
  </si>
  <si>
    <t xml:space="preserve">Copy h139:i166, paste values and manually adjust for ties</t>
  </si>
  <si>
    <t xml:space="preserve">Copy o139:o166, paste values; resolve ties using ZRelScR4</t>
  </si>
  <si>
    <t xml:space="preserve">Copy r139:u166, paste values; sort on col. X</t>
  </si>
  <si>
    <t xml:space="preserve">Copy x139:z166, paste values; sort on col. AD and then AE</t>
  </si>
  <si>
    <t xml:space="preserve">Raw standings after R4</t>
  </si>
  <si>
    <t xml:space="preserve">Rearranged results after R4</t>
  </si>
  <si>
    <t xml:space="preserve">Scores after R4, alphabetically</t>
  </si>
  <si>
    <t xml:space="preserve">Scores after R4, ranked</t>
  </si>
  <si>
    <t xml:space="preserve">ScoreR4</t>
  </si>
  <si>
    <t xml:space="preserve">RelScR4</t>
  </si>
  <si>
    <t xml:space="preserve">TabRkR4</t>
  </si>
  <si>
    <t xml:space="preserve">TurnPR4p</t>
  </si>
  <si>
    <t xml:space="preserve">TurnPR4</t>
  </si>
  <si>
    <t xml:space="preserve">ZTurnPR4</t>
  </si>
  <si>
    <t xml:space="preserve">ZRelScR4</t>
  </si>
  <si>
    <t xml:space="preserve">RankR4p</t>
  </si>
  <si>
    <t xml:space="preserve">RankR4</t>
  </si>
  <si>
    <t xml:space="preserve">ROUND 5</t>
  </si>
  <si>
    <t xml:space="preserve">Copy h172:i199, paste values and manually adjust for ties</t>
  </si>
  <si>
    <t xml:space="preserve">Copy o172:o199, paste values; resolve ties using ZRelScR5</t>
  </si>
  <si>
    <t xml:space="preserve">Copy r172:u199, paste values; sort on col. T and then on col. U, and adjust Rank</t>
  </si>
  <si>
    <t xml:space="preserve">Raw standings after R5</t>
  </si>
  <si>
    <t xml:space="preserve">Rearranged results after R5</t>
  </si>
  <si>
    <t xml:space="preserve">Scores after R5, by rank</t>
  </si>
  <si>
    <t xml:space="preserve">ScoreR5</t>
  </si>
  <si>
    <t xml:space="preserve">RelScR5</t>
  </si>
  <si>
    <t xml:space="preserve">TabRkR5</t>
  </si>
  <si>
    <t xml:space="preserve">TurnPR5p</t>
  </si>
  <si>
    <t xml:space="preserve">TurnPR5</t>
  </si>
  <si>
    <t xml:space="preserve">ZTurnPR5</t>
  </si>
  <si>
    <t xml:space="preserve">ZRelScR5</t>
  </si>
  <si>
    <t xml:space="preserve">RankR5p</t>
  </si>
  <si>
    <t xml:space="preserve">RankR5</t>
  </si>
  <si>
    <t xml:space="preserve">ROUND 6 (Final)</t>
  </si>
  <si>
    <t xml:space="preserve">Weight given to points in R6 =</t>
  </si>
  <si>
    <t xml:space="preserve">Copy h205:i232, paste values and manually adjust for ties</t>
  </si>
  <si>
    <t xml:space="preserve">Copy o205:o232, paste values and manually resolve ties using ZRelScR6</t>
  </si>
  <si>
    <t xml:space="preserve">Copy r205:u232, paste values; sort on col. W</t>
  </si>
  <si>
    <t xml:space="preserve">Raw standings after R6</t>
  </si>
  <si>
    <t xml:space="preserve">Rearranged results after R6</t>
  </si>
  <si>
    <t xml:space="preserve">Final standings</t>
  </si>
  <si>
    <t xml:space="preserve">ScoreR6</t>
  </si>
  <si>
    <t xml:space="preserve">RelScR6</t>
  </si>
  <si>
    <t xml:space="preserve">TabRkR6</t>
  </si>
  <si>
    <t xml:space="preserve">TurnPR6p</t>
  </si>
  <si>
    <t xml:space="preserve">TurnPR6</t>
  </si>
  <si>
    <t xml:space="preserve">ZTurnPR6</t>
  </si>
  <si>
    <t xml:space="preserve">ZRelScR6</t>
  </si>
  <si>
    <t xml:space="preserve">RankR6p</t>
  </si>
  <si>
    <t xml:space="preserve">RankR6</t>
  </si>
  <si>
    <t xml:space="preserve">FINAL STANDINGS</t>
  </si>
  <si>
    <t xml:space="preserve">Copy w205:z232, paste values</t>
  </si>
  <si>
    <t xml:space="preserve">Rank</t>
  </si>
  <si>
    <t xml:space="preserve">TurnP</t>
  </si>
  <si>
    <t xml:space="preserve">RelSc</t>
  </si>
  <si>
    <t xml:space="preserve">Bord</t>
  </si>
  <si>
    <t xml:space="preserve">Spill 1</t>
  </si>
  <si>
    <t xml:space="preserve">Spill 2</t>
  </si>
  <si>
    <t xml:space="preserve">Spill 3</t>
  </si>
  <si>
    <t xml:space="preserve">Spill 4</t>
  </si>
  <si>
    <t xml:space="preserve">Spill 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</si>
</sst>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 tint="0.3999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9" tint="-0.25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9" tint="0.3999"/>
        <bgColor rgb="FFD9D9D9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7E4BD"/>
      </patternFill>
    </fill>
    <fill>
      <patternFill patternType="solid">
        <fgColor theme="6" tint="0.5999"/>
        <bgColor rgb="FFD9D9D9"/>
      </patternFill>
    </fill>
    <fill>
      <patternFill patternType="solid">
        <fgColor rgb="FF66FF33"/>
        <bgColor rgb="FF00FF00"/>
      </patternFill>
    </fill>
    <fill>
      <patternFill patternType="solid">
        <fgColor rgb="FFFFCCFF"/>
        <bgColor rgb="FFD9D9D9"/>
      </patternFill>
    </fill>
    <fill>
      <patternFill patternType="solid">
        <fgColor theme="0" tint="-0.25"/>
        <bgColor rgb="FFD9D9D9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8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2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3" borderId="1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2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2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2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8" fontId="0" fillId="7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7" fontId="0" fillId="2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5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9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CC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AC090"/>
      <rgbColor rgb="FF3366FF"/>
      <rgbColor rgb="FF33CCCC"/>
      <rgbColor rgb="FF66FF33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6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3.67"/>
    <col collapsed="false" customWidth="true" hidden="false" outlineLevel="0" max="3" min="3" style="0" width="15.56"/>
    <col collapsed="false" customWidth="true" hidden="false" outlineLevel="0" max="4" min="4" style="0" width="10.66"/>
    <col collapsed="false" customWidth="true" hidden="false" outlineLevel="0" max="7" min="7" style="0" width="15.66"/>
    <col collapsed="false" customWidth="true" hidden="false" outlineLevel="0" max="8" min="8" style="0" width="10.66"/>
    <col collapsed="false" customWidth="true" hidden="false" outlineLevel="0" max="11" min="11" style="0" width="14.11"/>
    <col collapsed="false" customWidth="true" hidden="false" outlineLevel="0" max="12" min="12" style="0" width="10.66"/>
    <col collapsed="false" customWidth="true" hidden="false" outlineLevel="0" max="15" min="15" style="0" width="11.11"/>
    <col collapsed="false" customWidth="true" hidden="false" outlineLevel="0" max="16" min="16" style="0" width="10.66"/>
    <col collapsed="false" customWidth="true" hidden="false" outlineLevel="0" max="17" min="17" style="0" width="14.33"/>
    <col collapsed="false" customWidth="true" hidden="false" outlineLevel="0" max="18" min="18" style="0" width="10.66"/>
    <col collapsed="false" customWidth="true" hidden="false" outlineLevel="0" max="19" min="19" style="0" width="15.56"/>
    <col collapsed="false" customWidth="true" hidden="false" outlineLevel="0" max="20" min="20" style="0" width="10.66"/>
    <col collapsed="false" customWidth="true" hidden="false" outlineLevel="0" max="24" min="24" style="0" width="14.88"/>
    <col collapsed="false" customWidth="true" hidden="false" outlineLevel="0" max="29" min="29" style="0" width="15.44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5" customFormat="false" ht="14.25" hidden="false" customHeight="false" outlineLevel="0" collapsed="false">
      <c r="A5" s="2" t="s">
        <v>3</v>
      </c>
      <c r="E5" s="3" t="s">
        <v>4</v>
      </c>
    </row>
    <row r="6" customFormat="false" ht="14.25" hidden="false" customHeight="false" outlineLevel="0" collapsed="false">
      <c r="E6" s="2" t="s">
        <v>5</v>
      </c>
    </row>
    <row r="7" customFormat="false" ht="14.25" hidden="false" customHeight="false" outlineLevel="0" collapsed="false">
      <c r="A7" s="4" t="s">
        <v>6</v>
      </c>
      <c r="B7" s="4" t="s">
        <v>7</v>
      </c>
      <c r="C7" s="4" t="s">
        <v>8</v>
      </c>
      <c r="E7" s="4" t="s">
        <v>6</v>
      </c>
      <c r="F7" s="4" t="s">
        <v>7</v>
      </c>
      <c r="G7" s="4" t="s">
        <v>8</v>
      </c>
      <c r="H7" s="5" t="s">
        <v>9</v>
      </c>
      <c r="K7" s="6" t="s">
        <v>10</v>
      </c>
    </row>
    <row r="8" customFormat="false" ht="14.25" hidden="false" customHeight="false" outlineLevel="0" collapsed="false">
      <c r="A8" s="7" t="n">
        <v>1</v>
      </c>
      <c r="B8" s="8" t="s">
        <v>11</v>
      </c>
      <c r="C8" s="9" t="n">
        <f aca="true">RAND()</f>
        <v>0.332348335384461</v>
      </c>
      <c r="E8" s="10" t="n">
        <v>5</v>
      </c>
      <c r="F8" s="11" t="s">
        <v>12</v>
      </c>
      <c r="G8" s="11" t="n">
        <v>0.043471221896049</v>
      </c>
      <c r="H8" s="12" t="n">
        <v>1</v>
      </c>
      <c r="K8" s="13" t="s">
        <v>11</v>
      </c>
      <c r="L8" s="14"/>
    </row>
    <row r="9" customFormat="false" ht="14.25" hidden="false" customHeight="false" outlineLevel="0" collapsed="false">
      <c r="A9" s="15" t="n">
        <v>2</v>
      </c>
      <c r="B9" s="16" t="s">
        <v>13</v>
      </c>
      <c r="C9" s="17" t="n">
        <f aca="true">RAND()</f>
        <v>0.0288008753203089</v>
      </c>
      <c r="E9" s="18" t="n">
        <v>22</v>
      </c>
      <c r="F9" s="19" t="s">
        <v>14</v>
      </c>
      <c r="G9" s="19" t="n">
        <v>0.057305155927241</v>
      </c>
      <c r="H9" s="20" t="n">
        <v>2</v>
      </c>
      <c r="K9" s="21" t="s">
        <v>13</v>
      </c>
      <c r="L9" s="22"/>
    </row>
    <row r="10" customFormat="false" ht="14.25" hidden="false" customHeight="false" outlineLevel="0" collapsed="false">
      <c r="A10" s="15" t="n">
        <v>3</v>
      </c>
      <c r="B10" s="16" t="s">
        <v>15</v>
      </c>
      <c r="C10" s="17" t="n">
        <f aca="true">RAND()</f>
        <v>0.946103514434859</v>
      </c>
      <c r="E10" s="18" t="n">
        <v>11</v>
      </c>
      <c r="F10" s="19" t="s">
        <v>16</v>
      </c>
      <c r="G10" s="19" t="n">
        <v>0.066518307810981</v>
      </c>
      <c r="H10" s="20" t="n">
        <v>3</v>
      </c>
      <c r="K10" s="21" t="s">
        <v>15</v>
      </c>
      <c r="L10" s="22"/>
    </row>
    <row r="11" customFormat="false" ht="14.25" hidden="false" customHeight="false" outlineLevel="0" collapsed="false">
      <c r="A11" s="23" t="n">
        <v>4</v>
      </c>
      <c r="B11" s="24" t="s">
        <v>17</v>
      </c>
      <c r="C11" s="25" t="n">
        <f aca="true">RAND()</f>
        <v>0.390503693268226</v>
      </c>
      <c r="E11" s="26" t="n">
        <v>8</v>
      </c>
      <c r="F11" s="27" t="s">
        <v>18</v>
      </c>
      <c r="G11" s="27" t="n">
        <v>0.070624040851841</v>
      </c>
      <c r="H11" s="28" t="n">
        <v>4</v>
      </c>
      <c r="K11" s="21" t="s">
        <v>17</v>
      </c>
      <c r="L11" s="22"/>
    </row>
    <row r="12" customFormat="false" ht="14.25" hidden="false" customHeight="false" outlineLevel="0" collapsed="false">
      <c r="A12" s="29" t="n">
        <v>5</v>
      </c>
      <c r="B12" s="16" t="s">
        <v>12</v>
      </c>
      <c r="C12" s="30" t="n">
        <f aca="true">RAND()</f>
        <v>0.378290365622407</v>
      </c>
      <c r="E12" s="18" t="n">
        <v>4</v>
      </c>
      <c r="F12" s="19" t="s">
        <v>17</v>
      </c>
      <c r="G12" s="19" t="n">
        <v>0.096886635060077</v>
      </c>
      <c r="H12" s="20" t="n">
        <v>5</v>
      </c>
      <c r="K12" s="21" t="s">
        <v>12</v>
      </c>
      <c r="L12" s="22"/>
    </row>
    <row r="13" customFormat="false" ht="14.25" hidden="false" customHeight="false" outlineLevel="0" collapsed="false">
      <c r="A13" s="29" t="n">
        <v>6</v>
      </c>
      <c r="B13" s="16" t="s">
        <v>19</v>
      </c>
      <c r="C13" s="30" t="n">
        <f aca="true">RAND()</f>
        <v>0.172512373766736</v>
      </c>
      <c r="E13" s="18" t="n">
        <v>10</v>
      </c>
      <c r="F13" s="19" t="s">
        <v>20</v>
      </c>
      <c r="G13" s="19" t="n">
        <v>0.09878911687685</v>
      </c>
      <c r="H13" s="20" t="n">
        <v>6</v>
      </c>
      <c r="K13" s="21" t="s">
        <v>19</v>
      </c>
      <c r="L13" s="22"/>
    </row>
    <row r="14" customFormat="false" ht="14.25" hidden="false" customHeight="false" outlineLevel="0" collapsed="false">
      <c r="A14" s="29" t="n">
        <v>7</v>
      </c>
      <c r="B14" s="16" t="s">
        <v>21</v>
      </c>
      <c r="C14" s="30" t="n">
        <f aca="true">RAND()</f>
        <v>0.531401100179449</v>
      </c>
      <c r="E14" s="18" t="n">
        <v>24</v>
      </c>
      <c r="F14" s="19" t="s">
        <v>22</v>
      </c>
      <c r="G14" s="19" t="n">
        <v>0.21576114582175</v>
      </c>
      <c r="H14" s="20" t="n">
        <v>7</v>
      </c>
      <c r="K14" s="21" t="s">
        <v>21</v>
      </c>
      <c r="L14" s="22"/>
    </row>
    <row r="15" customFormat="false" ht="14.25" hidden="false" customHeight="false" outlineLevel="0" collapsed="false">
      <c r="A15" s="23" t="n">
        <v>8</v>
      </c>
      <c r="B15" s="24" t="s">
        <v>18</v>
      </c>
      <c r="C15" s="25" t="n">
        <f aca="true">RAND()</f>
        <v>0.670605437761395</v>
      </c>
      <c r="E15" s="26" t="n">
        <v>27</v>
      </c>
      <c r="F15" s="27" t="s">
        <v>23</v>
      </c>
      <c r="G15" s="27" t="n">
        <v>0.234612861330017</v>
      </c>
      <c r="H15" s="28" t="n">
        <v>8</v>
      </c>
      <c r="K15" s="21" t="s">
        <v>18</v>
      </c>
      <c r="L15" s="22"/>
    </row>
    <row r="16" customFormat="false" ht="14.25" hidden="false" customHeight="false" outlineLevel="0" collapsed="false">
      <c r="A16" s="29" t="n">
        <v>9</v>
      </c>
      <c r="B16" s="16" t="s">
        <v>24</v>
      </c>
      <c r="C16" s="30" t="n">
        <f aca="true">RAND()</f>
        <v>0.624901988379398</v>
      </c>
      <c r="E16" s="18" t="n">
        <v>17</v>
      </c>
      <c r="F16" s="19" t="s">
        <v>25</v>
      </c>
      <c r="G16" s="19" t="n">
        <v>0.29396067273624</v>
      </c>
      <c r="H16" s="20" t="n">
        <v>9</v>
      </c>
      <c r="K16" s="21" t="s">
        <v>24</v>
      </c>
      <c r="L16" s="22"/>
    </row>
    <row r="17" customFormat="false" ht="14.25" hidden="false" customHeight="false" outlineLevel="0" collapsed="false">
      <c r="A17" s="29" t="n">
        <v>10</v>
      </c>
      <c r="B17" s="16" t="s">
        <v>20</v>
      </c>
      <c r="C17" s="30" t="n">
        <f aca="true">RAND()</f>
        <v>0.0204942292345169</v>
      </c>
      <c r="E17" s="18" t="n">
        <v>25</v>
      </c>
      <c r="F17" s="19" t="s">
        <v>26</v>
      </c>
      <c r="G17" s="19" t="n">
        <v>0.299848076310734</v>
      </c>
      <c r="H17" s="20" t="n">
        <v>10</v>
      </c>
      <c r="K17" s="21" t="s">
        <v>20</v>
      </c>
      <c r="L17" s="22"/>
    </row>
    <row r="18" customFormat="false" ht="14.25" hidden="false" customHeight="false" outlineLevel="0" collapsed="false">
      <c r="A18" s="29" t="n">
        <v>11</v>
      </c>
      <c r="B18" s="16" t="s">
        <v>16</v>
      </c>
      <c r="C18" s="30" t="n">
        <f aca="true">RAND()</f>
        <v>0.297593330512028</v>
      </c>
      <c r="E18" s="18" t="n">
        <v>14</v>
      </c>
      <c r="F18" s="19" t="s">
        <v>27</v>
      </c>
      <c r="G18" s="19" t="n">
        <v>0.317512178947575</v>
      </c>
      <c r="H18" s="20" t="n">
        <v>11</v>
      </c>
      <c r="K18" s="21" t="s">
        <v>16</v>
      </c>
      <c r="L18" s="22"/>
    </row>
    <row r="19" customFormat="false" ht="14.25" hidden="false" customHeight="false" outlineLevel="0" collapsed="false">
      <c r="A19" s="23" t="n">
        <v>12</v>
      </c>
      <c r="B19" s="24" t="s">
        <v>28</v>
      </c>
      <c r="C19" s="25" t="n">
        <f aca="true">RAND()</f>
        <v>0.451615298090173</v>
      </c>
      <c r="E19" s="26" t="n">
        <v>7</v>
      </c>
      <c r="F19" s="27" t="s">
        <v>21</v>
      </c>
      <c r="G19" s="27" t="n">
        <v>0.354299380642312</v>
      </c>
      <c r="H19" s="28" t="n">
        <v>12</v>
      </c>
      <c r="K19" s="21" t="s">
        <v>28</v>
      </c>
      <c r="L19" s="22"/>
    </row>
    <row r="20" customFormat="false" ht="14.25" hidden="false" customHeight="false" outlineLevel="0" collapsed="false">
      <c r="A20" s="29" t="n">
        <v>13</v>
      </c>
      <c r="B20" s="16" t="s">
        <v>29</v>
      </c>
      <c r="C20" s="30" t="n">
        <f aca="true">RAND()</f>
        <v>0.488378577983816</v>
      </c>
      <c r="E20" s="18" t="n">
        <v>2</v>
      </c>
      <c r="F20" s="19" t="s">
        <v>13</v>
      </c>
      <c r="G20" s="19" t="n">
        <v>0.490012022411786</v>
      </c>
      <c r="H20" s="20" t="n">
        <v>13</v>
      </c>
      <c r="K20" s="21" t="s">
        <v>29</v>
      </c>
      <c r="L20" s="22"/>
    </row>
    <row r="21" customFormat="false" ht="14.25" hidden="false" customHeight="false" outlineLevel="0" collapsed="false">
      <c r="A21" s="29" t="n">
        <v>14</v>
      </c>
      <c r="B21" s="16" t="s">
        <v>27</v>
      </c>
      <c r="C21" s="30" t="n">
        <f aca="true">RAND()</f>
        <v>0.839389978125863</v>
      </c>
      <c r="E21" s="18" t="n">
        <v>3</v>
      </c>
      <c r="F21" s="19" t="s">
        <v>15</v>
      </c>
      <c r="G21" s="19" t="n">
        <v>0.513943505435807</v>
      </c>
      <c r="H21" s="20" t="n">
        <v>14</v>
      </c>
      <c r="K21" s="21" t="s">
        <v>27</v>
      </c>
      <c r="L21" s="22"/>
    </row>
    <row r="22" customFormat="false" ht="14.25" hidden="false" customHeight="false" outlineLevel="0" collapsed="false">
      <c r="A22" s="29" t="n">
        <v>15</v>
      </c>
      <c r="B22" s="16" t="s">
        <v>30</v>
      </c>
      <c r="C22" s="30" t="n">
        <f aca="true">RAND()</f>
        <v>0.915882032060157</v>
      </c>
      <c r="E22" s="18" t="n">
        <v>15</v>
      </c>
      <c r="F22" s="19" t="s">
        <v>30</v>
      </c>
      <c r="G22" s="19" t="n">
        <v>0.548884827062495</v>
      </c>
      <c r="H22" s="20" t="n">
        <v>15</v>
      </c>
      <c r="K22" s="21" t="s">
        <v>30</v>
      </c>
      <c r="L22" s="22"/>
    </row>
    <row r="23" customFormat="false" ht="14.25" hidden="false" customHeight="false" outlineLevel="0" collapsed="false">
      <c r="A23" s="23" t="n">
        <v>16</v>
      </c>
      <c r="B23" s="24" t="s">
        <v>31</v>
      </c>
      <c r="C23" s="25" t="n">
        <f aca="true">RAND()</f>
        <v>0.235945788304905</v>
      </c>
      <c r="E23" s="26" t="n">
        <v>13</v>
      </c>
      <c r="F23" s="27" t="s">
        <v>29</v>
      </c>
      <c r="G23" s="27" t="n">
        <v>0.565542015383792</v>
      </c>
      <c r="H23" s="28" t="n">
        <v>16</v>
      </c>
      <c r="K23" s="21" t="s">
        <v>31</v>
      </c>
      <c r="L23" s="22"/>
    </row>
    <row r="24" customFormat="false" ht="14.25" hidden="false" customHeight="false" outlineLevel="0" collapsed="false">
      <c r="A24" s="29" t="n">
        <v>17</v>
      </c>
      <c r="B24" s="16" t="s">
        <v>25</v>
      </c>
      <c r="C24" s="30" t="n">
        <f aca="true">RAND()</f>
        <v>0.970480473156485</v>
      </c>
      <c r="E24" s="18" t="n">
        <v>6</v>
      </c>
      <c r="F24" s="19" t="s">
        <v>19</v>
      </c>
      <c r="G24" s="19" t="n">
        <v>0.582314882073196</v>
      </c>
      <c r="H24" s="20" t="n">
        <v>17</v>
      </c>
      <c r="K24" s="21" t="s">
        <v>25</v>
      </c>
      <c r="L24" s="22"/>
    </row>
    <row r="25" customFormat="false" ht="14.25" hidden="false" customHeight="false" outlineLevel="0" collapsed="false">
      <c r="A25" s="29" t="n">
        <v>18</v>
      </c>
      <c r="B25" s="16" t="s">
        <v>32</v>
      </c>
      <c r="C25" s="30" t="n">
        <f aca="true">RAND()</f>
        <v>0.790528936948805</v>
      </c>
      <c r="E25" s="18" t="n">
        <v>9</v>
      </c>
      <c r="F25" s="19" t="s">
        <v>24</v>
      </c>
      <c r="G25" s="19" t="n">
        <v>0.630823403529791</v>
      </c>
      <c r="H25" s="20" t="n">
        <v>18</v>
      </c>
      <c r="K25" s="21" t="s">
        <v>32</v>
      </c>
      <c r="L25" s="22"/>
    </row>
    <row r="26" customFormat="false" ht="14.25" hidden="false" customHeight="false" outlineLevel="0" collapsed="false">
      <c r="A26" s="29" t="n">
        <v>19</v>
      </c>
      <c r="B26" s="16" t="s">
        <v>33</v>
      </c>
      <c r="C26" s="30" t="n">
        <f aca="true">RAND()</f>
        <v>0.459856111335615</v>
      </c>
      <c r="E26" s="18" t="n">
        <v>1</v>
      </c>
      <c r="F26" s="19" t="s">
        <v>11</v>
      </c>
      <c r="G26" s="19" t="n">
        <v>0.661722600148967</v>
      </c>
      <c r="H26" s="20" t="n">
        <v>19</v>
      </c>
      <c r="K26" s="21" t="s">
        <v>33</v>
      </c>
      <c r="L26" s="22"/>
    </row>
    <row r="27" customFormat="false" ht="14.25" hidden="false" customHeight="false" outlineLevel="0" collapsed="false">
      <c r="A27" s="23" t="n">
        <v>20</v>
      </c>
      <c r="B27" s="24" t="s">
        <v>34</v>
      </c>
      <c r="C27" s="25" t="n">
        <f aca="true">RAND()</f>
        <v>0.470707847170075</v>
      </c>
      <c r="E27" s="26" t="n">
        <v>20</v>
      </c>
      <c r="F27" s="27" t="s">
        <v>34</v>
      </c>
      <c r="G27" s="27" t="n">
        <v>0.675446180277952</v>
      </c>
      <c r="H27" s="28" t="n">
        <v>20</v>
      </c>
      <c r="K27" s="21" t="s">
        <v>34</v>
      </c>
      <c r="L27" s="22"/>
    </row>
    <row r="28" customFormat="false" ht="14.25" hidden="false" customHeight="false" outlineLevel="0" collapsed="false">
      <c r="A28" s="29" t="n">
        <v>21</v>
      </c>
      <c r="B28" s="16" t="s">
        <v>35</v>
      </c>
      <c r="C28" s="30" t="n">
        <f aca="true">RAND()</f>
        <v>0.708962007304079</v>
      </c>
      <c r="E28" s="18" t="n">
        <v>12</v>
      </c>
      <c r="F28" s="19" t="s">
        <v>28</v>
      </c>
      <c r="G28" s="19" t="n">
        <v>0.678791779630399</v>
      </c>
      <c r="H28" s="20" t="n">
        <v>21</v>
      </c>
      <c r="K28" s="21" t="s">
        <v>35</v>
      </c>
      <c r="L28" s="22"/>
    </row>
    <row r="29" customFormat="false" ht="14.25" hidden="false" customHeight="false" outlineLevel="0" collapsed="false">
      <c r="A29" s="29" t="n">
        <v>22</v>
      </c>
      <c r="B29" s="16" t="s">
        <v>14</v>
      </c>
      <c r="C29" s="30" t="n">
        <f aca="true">RAND()</f>
        <v>0.151673516928319</v>
      </c>
      <c r="E29" s="18" t="n">
        <v>21</v>
      </c>
      <c r="F29" s="19" t="s">
        <v>35</v>
      </c>
      <c r="G29" s="19" t="n">
        <v>0.691397397511258</v>
      </c>
      <c r="H29" s="20" t="n">
        <v>22</v>
      </c>
      <c r="K29" s="21" t="s">
        <v>14</v>
      </c>
      <c r="L29" s="22"/>
    </row>
    <row r="30" customFormat="false" ht="14.25" hidden="false" customHeight="false" outlineLevel="0" collapsed="false">
      <c r="A30" s="29" t="n">
        <v>23</v>
      </c>
      <c r="B30" s="16" t="s">
        <v>36</v>
      </c>
      <c r="C30" s="30" t="n">
        <f aca="true">RAND()</f>
        <v>0.224854914959594</v>
      </c>
      <c r="E30" s="18" t="n">
        <v>19</v>
      </c>
      <c r="F30" s="19" t="s">
        <v>33</v>
      </c>
      <c r="G30" s="19" t="n">
        <v>0.700284803940925</v>
      </c>
      <c r="H30" s="20" t="n">
        <v>23</v>
      </c>
      <c r="K30" s="21" t="s">
        <v>36</v>
      </c>
      <c r="L30" s="22"/>
    </row>
    <row r="31" customFormat="false" ht="14.25" hidden="false" customHeight="false" outlineLevel="0" collapsed="false">
      <c r="A31" s="23" t="n">
        <v>24</v>
      </c>
      <c r="B31" s="24" t="s">
        <v>22</v>
      </c>
      <c r="C31" s="25" t="n">
        <f aca="true">RAND()</f>
        <v>0.934408753725505</v>
      </c>
      <c r="E31" s="26" t="n">
        <v>28</v>
      </c>
      <c r="F31" s="27" t="s">
        <v>37</v>
      </c>
      <c r="G31" s="27" t="n">
        <v>0.70906232468569</v>
      </c>
      <c r="H31" s="28" t="n">
        <v>24</v>
      </c>
      <c r="K31" s="21" t="s">
        <v>22</v>
      </c>
      <c r="L31" s="22"/>
    </row>
    <row r="32" customFormat="false" ht="14.25" hidden="false" customHeight="false" outlineLevel="0" collapsed="false">
      <c r="A32" s="29" t="n">
        <v>25</v>
      </c>
      <c r="B32" s="16" t="s">
        <v>26</v>
      </c>
      <c r="C32" s="30" t="n">
        <f aca="true">RAND()</f>
        <v>0.206431551632691</v>
      </c>
      <c r="E32" s="18" t="n">
        <v>18</v>
      </c>
      <c r="F32" s="19" t="s">
        <v>32</v>
      </c>
      <c r="G32" s="19" t="n">
        <v>0.733532683584244</v>
      </c>
      <c r="H32" s="20" t="n">
        <v>25</v>
      </c>
      <c r="K32" s="21" t="s">
        <v>26</v>
      </c>
      <c r="L32" s="22"/>
    </row>
    <row r="33" customFormat="false" ht="14.25" hidden="false" customHeight="false" outlineLevel="0" collapsed="false">
      <c r="A33" s="29" t="n">
        <v>26</v>
      </c>
      <c r="B33" s="16" t="s">
        <v>38</v>
      </c>
      <c r="C33" s="30" t="n">
        <f aca="true">RAND()</f>
        <v>0.295858402203373</v>
      </c>
      <c r="E33" s="18" t="n">
        <v>26</v>
      </c>
      <c r="F33" s="19" t="s">
        <v>38</v>
      </c>
      <c r="G33" s="19" t="n">
        <v>0.80203231182029</v>
      </c>
      <c r="H33" s="20" t="n">
        <v>26</v>
      </c>
      <c r="K33" s="21" t="s">
        <v>38</v>
      </c>
      <c r="L33" s="22"/>
    </row>
    <row r="34" customFormat="false" ht="14.25" hidden="false" customHeight="false" outlineLevel="0" collapsed="false">
      <c r="A34" s="29" t="n">
        <v>27</v>
      </c>
      <c r="B34" s="16" t="s">
        <v>23</v>
      </c>
      <c r="C34" s="30" t="n">
        <f aca="true">RAND()</f>
        <v>0.376289823258191</v>
      </c>
      <c r="E34" s="18" t="n">
        <v>23</v>
      </c>
      <c r="F34" s="19" t="s">
        <v>36</v>
      </c>
      <c r="G34" s="19" t="n">
        <v>0.829439177635642</v>
      </c>
      <c r="H34" s="20" t="n">
        <v>27</v>
      </c>
      <c r="K34" s="21" t="s">
        <v>23</v>
      </c>
      <c r="L34" s="22"/>
    </row>
    <row r="35" customFormat="false" ht="14.25" hidden="false" customHeight="false" outlineLevel="0" collapsed="false">
      <c r="A35" s="31" t="n">
        <v>28</v>
      </c>
      <c r="B35" s="32" t="s">
        <v>37</v>
      </c>
      <c r="C35" s="25" t="n">
        <f aca="true">RAND()</f>
        <v>0.0781219149076656</v>
      </c>
      <c r="E35" s="33" t="n">
        <v>16</v>
      </c>
      <c r="F35" s="34" t="s">
        <v>31</v>
      </c>
      <c r="G35" s="34" t="n">
        <v>0.97256606117204</v>
      </c>
      <c r="H35" s="35" t="n">
        <v>28</v>
      </c>
      <c r="K35" s="36" t="s">
        <v>37</v>
      </c>
      <c r="L35" s="37"/>
    </row>
    <row r="37" customFormat="false" ht="14.25" hidden="false" customHeight="false" outlineLevel="0" collapsed="false">
      <c r="A37" s="2" t="s">
        <v>39</v>
      </c>
      <c r="J37" s="3" t="s">
        <v>40</v>
      </c>
      <c r="W37" s="3" t="s">
        <v>41</v>
      </c>
      <c r="AB37" s="3" t="s">
        <v>42</v>
      </c>
    </row>
    <row r="38" customFormat="false" ht="14.25" hidden="false" customHeight="false" outlineLevel="0" collapsed="false">
      <c r="A38" s="38" t="s">
        <v>43</v>
      </c>
      <c r="R38" s="38" t="s">
        <v>44</v>
      </c>
      <c r="W38" s="39" t="s">
        <v>45</v>
      </c>
      <c r="AB38" s="39" t="s">
        <v>46</v>
      </c>
    </row>
    <row r="39" customFormat="false" ht="14.25" hidden="false" customHeight="false" outlineLevel="0" collapsed="false">
      <c r="A39" s="39" t="s">
        <v>47</v>
      </c>
      <c r="B39" s="39" t="s">
        <v>9</v>
      </c>
      <c r="C39" s="39" t="s">
        <v>7</v>
      </c>
      <c r="F39" s="5" t="s">
        <v>48</v>
      </c>
      <c r="G39" s="5" t="s">
        <v>49</v>
      </c>
      <c r="H39" s="5" t="s">
        <v>50</v>
      </c>
      <c r="I39" s="39" t="s">
        <v>51</v>
      </c>
      <c r="J39" s="5" t="s">
        <v>50</v>
      </c>
      <c r="K39" s="5" t="s">
        <v>51</v>
      </c>
      <c r="R39" s="39" t="s">
        <v>50</v>
      </c>
      <c r="S39" s="39" t="s">
        <v>7</v>
      </c>
      <c r="T39" s="39" t="s">
        <v>51</v>
      </c>
      <c r="U39" s="39" t="s">
        <v>49</v>
      </c>
      <c r="W39" s="39" t="s">
        <v>52</v>
      </c>
      <c r="X39" s="39" t="s">
        <v>7</v>
      </c>
      <c r="Y39" s="39" t="s">
        <v>53</v>
      </c>
      <c r="Z39" s="39" t="s">
        <v>54</v>
      </c>
      <c r="AB39" s="39" t="s">
        <v>55</v>
      </c>
      <c r="AC39" s="39" t="s">
        <v>7</v>
      </c>
      <c r="AD39" s="39" t="s">
        <v>53</v>
      </c>
      <c r="AE39" s="39" t="s">
        <v>54</v>
      </c>
    </row>
    <row r="40" customFormat="false" ht="14.25" hidden="false" customHeight="false" outlineLevel="0" collapsed="false">
      <c r="A40" s="40" t="n">
        <v>1</v>
      </c>
      <c r="B40" s="40" t="n">
        <v>6</v>
      </c>
      <c r="C40" s="41" t="str">
        <f aca="false">LOOKUP(B40,H$8:H$35,F$8:F$35)</f>
        <v>Spiller 10</v>
      </c>
      <c r="D40" s="42"/>
      <c r="E40" s="43"/>
      <c r="F40" s="44" t="n">
        <v>50</v>
      </c>
      <c r="G40" s="45" t="n">
        <f aca="false">F40-AVERAGE(F$40:F$43)</f>
        <v>14</v>
      </c>
      <c r="H40" s="41" t="n">
        <f aca="false">RANK(F40,F$40:F$43)</f>
        <v>1</v>
      </c>
      <c r="I40" s="46" t="n">
        <f aca="false">IF(H40=1,10,IF(H40=2,6,IF(H40=3,3,1)))</f>
        <v>10</v>
      </c>
      <c r="J40" s="47" t="n">
        <v>1</v>
      </c>
      <c r="K40" s="48" t="n">
        <v>10</v>
      </c>
      <c r="M40" s="4"/>
      <c r="R40" s="41" t="n">
        <f aca="false">J40</f>
        <v>1</v>
      </c>
      <c r="S40" s="46" t="str">
        <f aca="false">C40</f>
        <v>Spiller 10</v>
      </c>
      <c r="T40" s="46" t="n">
        <f aca="false">K40</f>
        <v>10</v>
      </c>
      <c r="U40" s="49" t="n">
        <f aca="false">G40</f>
        <v>14</v>
      </c>
      <c r="W40" s="50" t="n">
        <v>3</v>
      </c>
      <c r="X40" s="51" t="s">
        <v>11</v>
      </c>
      <c r="Y40" s="51" t="n">
        <v>3</v>
      </c>
      <c r="Z40" s="48" t="n">
        <v>-5.25</v>
      </c>
      <c r="AB40" s="52" t="n">
        <v>1</v>
      </c>
      <c r="AC40" s="51" t="s">
        <v>20</v>
      </c>
      <c r="AD40" s="53" t="n">
        <v>10</v>
      </c>
      <c r="AE40" s="54" t="n">
        <v>14</v>
      </c>
    </row>
    <row r="41" customFormat="false" ht="14.25" hidden="false" customHeight="false" outlineLevel="0" collapsed="false">
      <c r="A41" s="4" t="n">
        <v>1</v>
      </c>
      <c r="B41" s="4" t="n">
        <v>17</v>
      </c>
      <c r="C41" s="55" t="str">
        <f aca="false">LOOKUP(B41,H$8:H$35,F$8:F$35)</f>
        <v>Spiller 06</v>
      </c>
      <c r="D41" s="56"/>
      <c r="E41" s="57"/>
      <c r="F41" s="58" t="n">
        <v>28</v>
      </c>
      <c r="G41" s="15" t="n">
        <f aca="false">F41-AVERAGE(F$40:F$43)</f>
        <v>-8</v>
      </c>
      <c r="H41" s="55" t="n">
        <f aca="false">RANK(F41,F$40:F$43)</f>
        <v>3</v>
      </c>
      <c r="I41" s="59" t="n">
        <f aca="false">IF(H41=1,10,IF(H41=2,6,IF(H41=3,3,1)))</f>
        <v>3</v>
      </c>
      <c r="J41" s="60" t="n">
        <v>3</v>
      </c>
      <c r="K41" s="61" t="n">
        <v>3</v>
      </c>
      <c r="M41" s="4"/>
      <c r="R41" s="55" t="n">
        <f aca="false">J41</f>
        <v>3</v>
      </c>
      <c r="S41" s="59" t="str">
        <f aca="false">C41</f>
        <v>Spiller 06</v>
      </c>
      <c r="T41" s="59" t="n">
        <f aca="false">K41</f>
        <v>3</v>
      </c>
      <c r="U41" s="29" t="n">
        <f aca="false">G41</f>
        <v>-8</v>
      </c>
      <c r="W41" s="62" t="n">
        <v>3</v>
      </c>
      <c r="X41" s="63" t="s">
        <v>13</v>
      </c>
      <c r="Y41" s="63" t="n">
        <v>3</v>
      </c>
      <c r="Z41" s="61" t="n">
        <v>-2.25</v>
      </c>
      <c r="AB41" s="64" t="n">
        <v>2</v>
      </c>
      <c r="AC41" s="63" t="s">
        <v>33</v>
      </c>
      <c r="AD41" s="65" t="n">
        <v>10</v>
      </c>
      <c r="AE41" s="66" t="n">
        <v>12.5</v>
      </c>
    </row>
    <row r="42" customFormat="false" ht="14.25" hidden="false" customHeight="false" outlineLevel="0" collapsed="false">
      <c r="A42" s="4" t="n">
        <v>1</v>
      </c>
      <c r="B42" s="4" t="n">
        <v>18</v>
      </c>
      <c r="C42" s="55" t="str">
        <f aca="false">LOOKUP(B42,H$8:H$35,F$8:F$35)</f>
        <v>Spiller 09</v>
      </c>
      <c r="D42" s="56"/>
      <c r="E42" s="57"/>
      <c r="F42" s="58" t="n">
        <v>27</v>
      </c>
      <c r="G42" s="15" t="n">
        <f aca="false">F42-AVERAGE(F$40:F$43)</f>
        <v>-9</v>
      </c>
      <c r="H42" s="55" t="n">
        <f aca="false">RANK(F42,F$40:F$43)</f>
        <v>4</v>
      </c>
      <c r="I42" s="59" t="n">
        <f aca="false">IF(H42=1,10,IF(H42=2,6,IF(H42=3,3,1)))</f>
        <v>1</v>
      </c>
      <c r="J42" s="60" t="n">
        <v>4</v>
      </c>
      <c r="K42" s="61" t="n">
        <v>1</v>
      </c>
      <c r="M42" s="4"/>
      <c r="R42" s="55" t="n">
        <f aca="false">J42</f>
        <v>4</v>
      </c>
      <c r="S42" s="59" t="str">
        <f aca="false">C42</f>
        <v>Spiller 09</v>
      </c>
      <c r="T42" s="59" t="n">
        <f aca="false">K42</f>
        <v>1</v>
      </c>
      <c r="U42" s="29" t="n">
        <f aca="false">G42</f>
        <v>-9</v>
      </c>
      <c r="W42" s="62" t="n">
        <v>1</v>
      </c>
      <c r="X42" s="63" t="s">
        <v>15</v>
      </c>
      <c r="Y42" s="63" t="n">
        <v>10</v>
      </c>
      <c r="Z42" s="61" t="n">
        <v>3.75</v>
      </c>
      <c r="AB42" s="64" t="n">
        <v>3</v>
      </c>
      <c r="AC42" s="63" t="s">
        <v>14</v>
      </c>
      <c r="AD42" s="65" t="n">
        <v>10</v>
      </c>
      <c r="AE42" s="66" t="n">
        <v>11.75</v>
      </c>
    </row>
    <row r="43" customFormat="false" ht="14.25" hidden="false" customHeight="false" outlineLevel="0" collapsed="false">
      <c r="A43" s="67" t="n">
        <v>1</v>
      </c>
      <c r="B43" s="67" t="n">
        <v>27</v>
      </c>
      <c r="C43" s="68" t="str">
        <f aca="false">LOOKUP(B43,H$8:H$35,F$8:F$35)</f>
        <v>Spiller 23</v>
      </c>
      <c r="D43" s="56"/>
      <c r="E43" s="57"/>
      <c r="F43" s="69" t="n">
        <v>39</v>
      </c>
      <c r="G43" s="23" t="n">
        <f aca="false">F43-AVERAGE(F$40:F$43)</f>
        <v>3</v>
      </c>
      <c r="H43" s="68" t="n">
        <f aca="false">RANK(F43,F$40:F$43)</f>
        <v>2</v>
      </c>
      <c r="I43" s="70" t="n">
        <f aca="false">IF(H43=1,10,IF(H43=2,6,IF(H43=3,3,1)))</f>
        <v>6</v>
      </c>
      <c r="J43" s="71" t="n">
        <v>2</v>
      </c>
      <c r="K43" s="72" t="n">
        <v>6</v>
      </c>
      <c r="M43" s="4"/>
      <c r="R43" s="68" t="n">
        <f aca="false">J43</f>
        <v>2</v>
      </c>
      <c r="S43" s="70" t="str">
        <f aca="false">C43</f>
        <v>Spiller 23</v>
      </c>
      <c r="T43" s="70" t="n">
        <f aca="false">K43</f>
        <v>6</v>
      </c>
      <c r="U43" s="31" t="n">
        <f aca="false">G43</f>
        <v>3</v>
      </c>
      <c r="W43" s="73" t="n">
        <v>4</v>
      </c>
      <c r="X43" s="74" t="s">
        <v>17</v>
      </c>
      <c r="Y43" s="74" t="n">
        <v>1</v>
      </c>
      <c r="Z43" s="72" t="n">
        <v>-5.25</v>
      </c>
      <c r="AB43" s="75" t="n">
        <v>4</v>
      </c>
      <c r="AC43" s="74" t="s">
        <v>30</v>
      </c>
      <c r="AD43" s="76" t="n">
        <v>10</v>
      </c>
      <c r="AE43" s="77" t="n">
        <v>10.75</v>
      </c>
    </row>
    <row r="44" customFormat="false" ht="14.25" hidden="false" customHeight="false" outlineLevel="0" collapsed="false">
      <c r="A44" s="4" t="n">
        <v>2</v>
      </c>
      <c r="B44" s="4" t="n">
        <v>4</v>
      </c>
      <c r="C44" s="55" t="str">
        <f aca="false">LOOKUP(B44,H$8:H$35,F$8:F$35)</f>
        <v>Spiller 08</v>
      </c>
      <c r="D44" s="56"/>
      <c r="E44" s="57"/>
      <c r="F44" s="58" t="n">
        <v>33</v>
      </c>
      <c r="G44" s="15" t="n">
        <f aca="false">F44-AVERAGE(F$44:F$47)</f>
        <v>-7.25</v>
      </c>
      <c r="H44" s="55" t="n">
        <f aca="false">RANK(F44,F$44:F$47)</f>
        <v>4</v>
      </c>
      <c r="I44" s="59" t="n">
        <f aca="false">IF(H44=1,10,IF(H44=2,6,IF(H44=3,3,1)))</f>
        <v>1</v>
      </c>
      <c r="J44" s="60" t="n">
        <v>4</v>
      </c>
      <c r="K44" s="61" t="n">
        <v>1</v>
      </c>
      <c r="M44" s="4"/>
      <c r="R44" s="55" t="n">
        <f aca="false">J44</f>
        <v>4</v>
      </c>
      <c r="S44" s="59" t="str">
        <f aca="false">C44</f>
        <v>Spiller 08</v>
      </c>
      <c r="T44" s="59" t="n">
        <f aca="false">K44</f>
        <v>1</v>
      </c>
      <c r="U44" s="29" t="n">
        <f aca="false">G44</f>
        <v>-7.25</v>
      </c>
      <c r="W44" s="62" t="n">
        <v>4</v>
      </c>
      <c r="X44" s="63" t="s">
        <v>12</v>
      </c>
      <c r="Y44" s="63" t="n">
        <v>1</v>
      </c>
      <c r="Z44" s="61" t="n">
        <v>-4</v>
      </c>
      <c r="AB44" s="64" t="n">
        <v>5</v>
      </c>
      <c r="AC44" s="63" t="s">
        <v>26</v>
      </c>
      <c r="AD44" s="65" t="n">
        <v>10</v>
      </c>
      <c r="AE44" s="66" t="n">
        <v>8.25</v>
      </c>
    </row>
    <row r="45" customFormat="false" ht="14.25" hidden="false" customHeight="false" outlineLevel="0" collapsed="false">
      <c r="A45" s="4" t="n">
        <v>2</v>
      </c>
      <c r="B45" s="4" t="n">
        <v>8</v>
      </c>
      <c r="C45" s="55" t="str">
        <f aca="false">LOOKUP(B45,H$8:H$35,F$8:F$35)</f>
        <v>Spiller 27</v>
      </c>
      <c r="D45" s="56"/>
      <c r="E45" s="57"/>
      <c r="F45" s="58" t="n">
        <v>43</v>
      </c>
      <c r="G45" s="15" t="n">
        <f aca="false">F45-AVERAGE(F$44:F$47)</f>
        <v>2.75</v>
      </c>
      <c r="H45" s="55" t="n">
        <f aca="false">RANK(F45,F$44:F$47)</f>
        <v>2</v>
      </c>
      <c r="I45" s="59" t="n">
        <f aca="false">IF(H45=1,10,IF(H45=2,6,IF(H45=3,3,1)))</f>
        <v>6</v>
      </c>
      <c r="J45" s="60" t="n">
        <v>2</v>
      </c>
      <c r="K45" s="61" t="n">
        <v>6</v>
      </c>
      <c r="M45" s="4"/>
      <c r="R45" s="55" t="n">
        <f aca="false">J45</f>
        <v>2</v>
      </c>
      <c r="S45" s="59" t="str">
        <f aca="false">C45</f>
        <v>Spiller 27</v>
      </c>
      <c r="T45" s="59" t="n">
        <f aca="false">K45</f>
        <v>6</v>
      </c>
      <c r="U45" s="29" t="n">
        <f aca="false">G45</f>
        <v>2.75</v>
      </c>
      <c r="W45" s="62" t="n">
        <v>3</v>
      </c>
      <c r="X45" s="63" t="s">
        <v>19</v>
      </c>
      <c r="Y45" s="63" t="n">
        <v>3</v>
      </c>
      <c r="Z45" s="61" t="n">
        <v>-8</v>
      </c>
      <c r="AB45" s="64" t="n">
        <v>6</v>
      </c>
      <c r="AC45" s="63" t="s">
        <v>35</v>
      </c>
      <c r="AD45" s="65" t="n">
        <v>10</v>
      </c>
      <c r="AE45" s="66" t="n">
        <v>4</v>
      </c>
    </row>
    <row r="46" customFormat="false" ht="14.25" hidden="false" customHeight="false" outlineLevel="0" collapsed="false">
      <c r="A46" s="4" t="n">
        <v>2</v>
      </c>
      <c r="B46" s="4" t="n">
        <v>15</v>
      </c>
      <c r="C46" s="55" t="str">
        <f aca="false">LOOKUP(B46,H$8:H$35,F$8:F$35)</f>
        <v>Spiller 15</v>
      </c>
      <c r="D46" s="56"/>
      <c r="E46" s="57"/>
      <c r="F46" s="58" t="n">
        <v>51</v>
      </c>
      <c r="G46" s="15" t="n">
        <f aca="false">F46-AVERAGE(F$44:F$47)</f>
        <v>10.75</v>
      </c>
      <c r="H46" s="55" t="n">
        <f aca="false">RANK(F46,F$44:F$47)</f>
        <v>1</v>
      </c>
      <c r="I46" s="59" t="n">
        <f aca="false">IF(H46=1,10,IF(H46=2,6,IF(H46=3,3,1)))</f>
        <v>10</v>
      </c>
      <c r="J46" s="60" t="n">
        <v>1</v>
      </c>
      <c r="K46" s="61" t="n">
        <v>10</v>
      </c>
      <c r="M46" s="4"/>
      <c r="R46" s="55" t="n">
        <f aca="false">J46</f>
        <v>1</v>
      </c>
      <c r="S46" s="59" t="str">
        <f aca="false">C46</f>
        <v>Spiller 15</v>
      </c>
      <c r="T46" s="59" t="n">
        <f aca="false">K46</f>
        <v>10</v>
      </c>
      <c r="U46" s="29" t="n">
        <f aca="false">G46</f>
        <v>10.75</v>
      </c>
      <c r="W46" s="62" t="n">
        <v>4</v>
      </c>
      <c r="X46" s="63" t="s">
        <v>21</v>
      </c>
      <c r="Y46" s="63" t="n">
        <v>1</v>
      </c>
      <c r="Z46" s="61" t="n">
        <v>-7.25</v>
      </c>
      <c r="AB46" s="64" t="n">
        <v>7</v>
      </c>
      <c r="AC46" s="63" t="s">
        <v>15</v>
      </c>
      <c r="AD46" s="65" t="n">
        <v>10</v>
      </c>
      <c r="AE46" s="66" t="n">
        <v>3.75</v>
      </c>
    </row>
    <row r="47" customFormat="false" ht="14.25" hidden="false" customHeight="false" outlineLevel="0" collapsed="false">
      <c r="A47" s="67" t="n">
        <v>2</v>
      </c>
      <c r="B47" s="67" t="n">
        <v>20</v>
      </c>
      <c r="C47" s="68" t="str">
        <f aca="false">LOOKUP(B47,H$8:H$35,F$8:F$35)</f>
        <v>Spiller 20</v>
      </c>
      <c r="D47" s="56"/>
      <c r="E47" s="57"/>
      <c r="F47" s="69" t="n">
        <v>34</v>
      </c>
      <c r="G47" s="23" t="n">
        <f aca="false">F47-AVERAGE(F$44:F$47)</f>
        <v>-6.25</v>
      </c>
      <c r="H47" s="68" t="n">
        <f aca="false">RANK(F47,F$44:F$47)</f>
        <v>3</v>
      </c>
      <c r="I47" s="70" t="n">
        <f aca="false">IF(H47=1,10,IF(H47=2,6,IF(H47=3,3,1)))</f>
        <v>3</v>
      </c>
      <c r="J47" s="71" t="n">
        <v>3</v>
      </c>
      <c r="K47" s="72" t="n">
        <v>3</v>
      </c>
      <c r="M47" s="4"/>
      <c r="R47" s="68" t="n">
        <f aca="false">J47</f>
        <v>3</v>
      </c>
      <c r="S47" s="70" t="str">
        <f aca="false">C47</f>
        <v>Spiller 20</v>
      </c>
      <c r="T47" s="70" t="n">
        <f aca="false">K47</f>
        <v>3</v>
      </c>
      <c r="U47" s="31" t="n">
        <f aca="false">G47</f>
        <v>-6.25</v>
      </c>
      <c r="W47" s="73" t="n">
        <v>4</v>
      </c>
      <c r="X47" s="74" t="s">
        <v>18</v>
      </c>
      <c r="Y47" s="74" t="n">
        <v>1</v>
      </c>
      <c r="Z47" s="72" t="n">
        <v>-7.25</v>
      </c>
      <c r="AB47" s="75" t="n">
        <v>8</v>
      </c>
      <c r="AC47" s="74" t="s">
        <v>32</v>
      </c>
      <c r="AD47" s="76" t="n">
        <v>10</v>
      </c>
      <c r="AE47" s="77" t="n">
        <v>3.75</v>
      </c>
    </row>
    <row r="48" customFormat="false" ht="14.25" hidden="false" customHeight="false" outlineLevel="0" collapsed="false">
      <c r="A48" s="4" t="n">
        <v>3</v>
      </c>
      <c r="B48" s="4" t="n">
        <v>10</v>
      </c>
      <c r="C48" s="55" t="str">
        <f aca="false">LOOKUP(B48,H$8:H$35,F$8:F$35)</f>
        <v>Spiller 25</v>
      </c>
      <c r="D48" s="56"/>
      <c r="E48" s="57"/>
      <c r="F48" s="58" t="n">
        <v>44</v>
      </c>
      <c r="G48" s="15" t="n">
        <f aca="false">F48-AVERAGE(F$48:F$51)</f>
        <v>8.25</v>
      </c>
      <c r="H48" s="55" t="n">
        <f aca="false">RANK(F48,F$48:F$51)</f>
        <v>1</v>
      </c>
      <c r="I48" s="59" t="n">
        <f aca="false">IF(H48=1,10,IF(H48=2,6,IF(H48=3,3,1)))</f>
        <v>10</v>
      </c>
      <c r="J48" s="60" t="n">
        <v>1</v>
      </c>
      <c r="K48" s="61" t="n">
        <v>10</v>
      </c>
      <c r="M48" s="4"/>
      <c r="R48" s="55" t="n">
        <f aca="false">J48</f>
        <v>1</v>
      </c>
      <c r="S48" s="59" t="str">
        <f aca="false">C48</f>
        <v>Spiller 25</v>
      </c>
      <c r="T48" s="59" t="n">
        <f aca="false">K48</f>
        <v>10</v>
      </c>
      <c r="U48" s="29" t="n">
        <f aca="false">G48</f>
        <v>8.25</v>
      </c>
      <c r="W48" s="62" t="n">
        <v>4</v>
      </c>
      <c r="X48" s="63" t="s">
        <v>24</v>
      </c>
      <c r="Y48" s="63" t="n">
        <v>1</v>
      </c>
      <c r="Z48" s="61" t="n">
        <v>-9</v>
      </c>
      <c r="AB48" s="64" t="n">
        <v>9</v>
      </c>
      <c r="AC48" s="63" t="s">
        <v>28</v>
      </c>
      <c r="AD48" s="65" t="n">
        <v>6</v>
      </c>
      <c r="AE48" s="66" t="n">
        <v>8.5</v>
      </c>
    </row>
    <row r="49" customFormat="false" ht="14.25" hidden="false" customHeight="false" outlineLevel="0" collapsed="false">
      <c r="A49" s="4" t="n">
        <v>3</v>
      </c>
      <c r="B49" s="4" t="n">
        <v>11</v>
      </c>
      <c r="C49" s="55" t="str">
        <f aca="false">LOOKUP(B49,H$8:H$35,F$8:F$35)</f>
        <v>Spiller 14</v>
      </c>
      <c r="D49" s="56"/>
      <c r="E49" s="57"/>
      <c r="F49" s="58" t="n">
        <v>36</v>
      </c>
      <c r="G49" s="15" t="n">
        <f aca="false">F49-AVERAGE(F$48:F$51)</f>
        <v>0.25</v>
      </c>
      <c r="H49" s="55" t="n">
        <f aca="false">RANK(F49,F$48:F$51)</f>
        <v>2</v>
      </c>
      <c r="I49" s="59" t="n">
        <f aca="false">IF(H49=1,10,IF(H49=2,6,IF(H49=3,3,1)))</f>
        <v>6</v>
      </c>
      <c r="J49" s="60" t="n">
        <v>2</v>
      </c>
      <c r="K49" s="61" t="n">
        <v>6</v>
      </c>
      <c r="M49" s="4"/>
      <c r="R49" s="55" t="n">
        <f aca="false">J49</f>
        <v>2</v>
      </c>
      <c r="S49" s="59" t="str">
        <f aca="false">C49</f>
        <v>Spiller 14</v>
      </c>
      <c r="T49" s="59" t="n">
        <f aca="false">K49</f>
        <v>6</v>
      </c>
      <c r="U49" s="29" t="n">
        <f aca="false">G49</f>
        <v>0.25</v>
      </c>
      <c r="W49" s="62" t="n">
        <v>1</v>
      </c>
      <c r="X49" s="63" t="s">
        <v>20</v>
      </c>
      <c r="Y49" s="63" t="n">
        <v>10</v>
      </c>
      <c r="Z49" s="61" t="n">
        <v>14</v>
      </c>
      <c r="AB49" s="64" t="n">
        <v>10</v>
      </c>
      <c r="AC49" s="63" t="s">
        <v>36</v>
      </c>
      <c r="AD49" s="65" t="n">
        <v>6</v>
      </c>
      <c r="AE49" s="66" t="n">
        <v>3</v>
      </c>
    </row>
    <row r="50" customFormat="false" ht="14.25" hidden="false" customHeight="false" outlineLevel="0" collapsed="false">
      <c r="A50" s="4" t="n">
        <v>3</v>
      </c>
      <c r="B50" s="4" t="n">
        <v>24</v>
      </c>
      <c r="C50" s="55" t="str">
        <f aca="false">LOOKUP(B50,H$8:H$35,F$8:F$35)</f>
        <v>Spiller 28</v>
      </c>
      <c r="D50" s="56"/>
      <c r="E50" s="57"/>
      <c r="F50" s="58" t="n">
        <v>32</v>
      </c>
      <c r="G50" s="15" t="n">
        <f aca="false">F50-AVERAGE(F$48:F$51)</f>
        <v>-3.75</v>
      </c>
      <c r="H50" s="55" t="n">
        <f aca="false">RANK(F50,F$48:F$51)</f>
        <v>3</v>
      </c>
      <c r="I50" s="59" t="n">
        <f aca="false">IF(H50=1,10,IF(H50=2,6,IF(H50=3,3,1)))</f>
        <v>3</v>
      </c>
      <c r="J50" s="60" t="n">
        <v>3</v>
      </c>
      <c r="K50" s="61" t="n">
        <v>3</v>
      </c>
      <c r="M50" s="4"/>
      <c r="R50" s="55" t="n">
        <f aca="false">J50</f>
        <v>3</v>
      </c>
      <c r="S50" s="59" t="str">
        <f aca="false">C50</f>
        <v>Spiller 28</v>
      </c>
      <c r="T50" s="59" t="n">
        <f aca="false">K50</f>
        <v>3</v>
      </c>
      <c r="U50" s="29" t="n">
        <f aca="false">G50</f>
        <v>-3.75</v>
      </c>
      <c r="W50" s="62" t="n">
        <v>2</v>
      </c>
      <c r="X50" s="63" t="s">
        <v>16</v>
      </c>
      <c r="Y50" s="63" t="n">
        <v>6</v>
      </c>
      <c r="Z50" s="61" t="n">
        <v>0</v>
      </c>
      <c r="AB50" s="64" t="n">
        <v>11</v>
      </c>
      <c r="AC50" s="63" t="s">
        <v>23</v>
      </c>
      <c r="AD50" s="65" t="n">
        <v>6</v>
      </c>
      <c r="AE50" s="66" t="n">
        <v>2.75</v>
      </c>
    </row>
    <row r="51" customFormat="false" ht="14.25" hidden="false" customHeight="false" outlineLevel="0" collapsed="false">
      <c r="A51" s="67" t="n">
        <v>3</v>
      </c>
      <c r="B51" s="67" t="n">
        <v>26</v>
      </c>
      <c r="C51" s="68" t="str">
        <f aca="false">LOOKUP(B51,H$8:H$35,F$8:F$35)</f>
        <v>Spiller 26</v>
      </c>
      <c r="D51" s="56"/>
      <c r="E51" s="57"/>
      <c r="F51" s="69" t="n">
        <v>31</v>
      </c>
      <c r="G51" s="23" t="n">
        <f aca="false">F51-AVERAGE(F$48:F$51)</f>
        <v>-4.75</v>
      </c>
      <c r="H51" s="68" t="n">
        <f aca="false">RANK(F51,F$48:F$51)</f>
        <v>4</v>
      </c>
      <c r="I51" s="70" t="n">
        <f aca="false">IF(H51=1,10,IF(H51=2,6,IF(H51=3,3,1)))</f>
        <v>1</v>
      </c>
      <c r="J51" s="71" t="n">
        <v>4</v>
      </c>
      <c r="K51" s="72" t="n">
        <v>1</v>
      </c>
      <c r="M51" s="4"/>
      <c r="R51" s="68" t="n">
        <f aca="false">J51</f>
        <v>4</v>
      </c>
      <c r="S51" s="70" t="str">
        <f aca="false">C51</f>
        <v>Spiller 26</v>
      </c>
      <c r="T51" s="70" t="n">
        <f aca="false">K51</f>
        <v>1</v>
      </c>
      <c r="U51" s="31" t="n">
        <f aca="false">G51</f>
        <v>-4.75</v>
      </c>
      <c r="W51" s="73" t="n">
        <v>2</v>
      </c>
      <c r="X51" s="74" t="s">
        <v>28</v>
      </c>
      <c r="Y51" s="74" t="n">
        <v>6</v>
      </c>
      <c r="Z51" s="72" t="n">
        <v>8.5</v>
      </c>
      <c r="AB51" s="75" t="n">
        <v>12</v>
      </c>
      <c r="AC51" s="74" t="s">
        <v>31</v>
      </c>
      <c r="AD51" s="76" t="n">
        <v>6</v>
      </c>
      <c r="AE51" s="77" t="n">
        <v>0.75</v>
      </c>
    </row>
    <row r="52" customFormat="false" ht="14.25" hidden="false" customHeight="false" outlineLevel="0" collapsed="false">
      <c r="A52" s="4" t="n">
        <v>4</v>
      </c>
      <c r="B52" s="4" t="n">
        <v>2</v>
      </c>
      <c r="C52" s="55" t="str">
        <f aca="false">LOOKUP(B52,H$8:H$35,F$8:F$35)</f>
        <v>Spiller 22</v>
      </c>
      <c r="D52" s="56"/>
      <c r="E52" s="57"/>
      <c r="F52" s="58" t="n">
        <v>48</v>
      </c>
      <c r="G52" s="15" t="n">
        <f aca="false">F52-AVERAGE(F$52:F$55)</f>
        <v>11.75</v>
      </c>
      <c r="H52" s="55" t="n">
        <f aca="false">RANK(F52,F$52:F$55)</f>
        <v>1</v>
      </c>
      <c r="I52" s="59" t="n">
        <f aca="false">IF(H52=1,10,IF(H52=2,6,IF(H52=3,3,1)))</f>
        <v>10</v>
      </c>
      <c r="J52" s="60" t="n">
        <v>1</v>
      </c>
      <c r="K52" s="61" t="n">
        <v>10</v>
      </c>
      <c r="M52" s="4"/>
      <c r="R52" s="55" t="n">
        <f aca="false">J52</f>
        <v>1</v>
      </c>
      <c r="S52" s="59" t="str">
        <f aca="false">C52</f>
        <v>Spiller 22</v>
      </c>
      <c r="T52" s="59" t="n">
        <f aca="false">K52</f>
        <v>10</v>
      </c>
      <c r="U52" s="29" t="n">
        <f aca="false">G52</f>
        <v>11.75</v>
      </c>
      <c r="W52" s="62" t="n">
        <v>2</v>
      </c>
      <c r="X52" s="63" t="s">
        <v>29</v>
      </c>
      <c r="Y52" s="63" t="n">
        <v>6</v>
      </c>
      <c r="Z52" s="61" t="n">
        <v>0</v>
      </c>
      <c r="AB52" s="64" t="n">
        <v>13</v>
      </c>
      <c r="AC52" s="63" t="s">
        <v>27</v>
      </c>
      <c r="AD52" s="65" t="n">
        <v>6</v>
      </c>
      <c r="AE52" s="66" t="n">
        <v>0.25</v>
      </c>
    </row>
    <row r="53" customFormat="false" ht="14.25" hidden="false" customHeight="false" outlineLevel="0" collapsed="false">
      <c r="A53" s="4" t="n">
        <v>4</v>
      </c>
      <c r="B53" s="4" t="n">
        <v>12</v>
      </c>
      <c r="C53" s="55" t="str">
        <f aca="false">LOOKUP(B53,H$8:H$35,F$8:F$35)</f>
        <v>Spiller 07</v>
      </c>
      <c r="D53" s="56"/>
      <c r="E53" s="57"/>
      <c r="F53" s="58" t="n">
        <v>29</v>
      </c>
      <c r="G53" s="15" t="n">
        <f aca="false">F53-AVERAGE(F$52:F$55)</f>
        <v>-7.25</v>
      </c>
      <c r="H53" s="55" t="n">
        <f aca="false">RANK(F53,F$52:F$55)</f>
        <v>4</v>
      </c>
      <c r="I53" s="59" t="n">
        <f aca="false">IF(H53=1,10,IF(H53=2,6,IF(H53=3,3,1)))</f>
        <v>1</v>
      </c>
      <c r="J53" s="60" t="n">
        <v>4</v>
      </c>
      <c r="K53" s="61" t="n">
        <v>1</v>
      </c>
      <c r="M53" s="4"/>
      <c r="R53" s="55" t="n">
        <f aca="false">J53</f>
        <v>4</v>
      </c>
      <c r="S53" s="59" t="str">
        <f aca="false">C53</f>
        <v>Spiller 07</v>
      </c>
      <c r="T53" s="59" t="n">
        <f aca="false">K53</f>
        <v>1</v>
      </c>
      <c r="U53" s="29" t="n">
        <f aca="false">G53</f>
        <v>-7.25</v>
      </c>
      <c r="W53" s="62" t="n">
        <v>2</v>
      </c>
      <c r="X53" s="63" t="s">
        <v>27</v>
      </c>
      <c r="Y53" s="63" t="n">
        <v>6</v>
      </c>
      <c r="Z53" s="61" t="n">
        <v>0.25</v>
      </c>
      <c r="AB53" s="64" t="n">
        <v>14</v>
      </c>
      <c r="AC53" s="63" t="s">
        <v>16</v>
      </c>
      <c r="AD53" s="65" t="n">
        <v>6</v>
      </c>
      <c r="AE53" s="66" t="n">
        <v>0</v>
      </c>
    </row>
    <row r="54" customFormat="false" ht="14.25" hidden="false" customHeight="false" outlineLevel="0" collapsed="false">
      <c r="A54" s="4" t="n">
        <v>4</v>
      </c>
      <c r="B54" s="4" t="n">
        <v>19</v>
      </c>
      <c r="C54" s="55" t="str">
        <f aca="false">LOOKUP(B54,H$8:H$35,F$8:F$35)</f>
        <v>Spiller 01</v>
      </c>
      <c r="D54" s="56"/>
      <c r="E54" s="57"/>
      <c r="F54" s="58" t="n">
        <v>31</v>
      </c>
      <c r="G54" s="15" t="n">
        <f aca="false">F54-AVERAGE(F$52:F$55)</f>
        <v>-5.25</v>
      </c>
      <c r="H54" s="55" t="n">
        <f aca="false">RANK(F54,F$52:F$55)</f>
        <v>3</v>
      </c>
      <c r="I54" s="59" t="n">
        <f aca="false">IF(H54=1,10,IF(H54=2,6,IF(H54=3,3,1)))</f>
        <v>3</v>
      </c>
      <c r="J54" s="60" t="n">
        <v>3</v>
      </c>
      <c r="K54" s="61" t="n">
        <v>3</v>
      </c>
      <c r="M54" s="4"/>
      <c r="R54" s="55" t="n">
        <f aca="false">J54</f>
        <v>3</v>
      </c>
      <c r="S54" s="59" t="str">
        <f aca="false">C54</f>
        <v>Spiller 01</v>
      </c>
      <c r="T54" s="59" t="n">
        <f aca="false">K54</f>
        <v>3</v>
      </c>
      <c r="U54" s="29" t="n">
        <f aca="false">G54</f>
        <v>-5.25</v>
      </c>
      <c r="W54" s="62" t="n">
        <v>1</v>
      </c>
      <c r="X54" s="63" t="s">
        <v>30</v>
      </c>
      <c r="Y54" s="63" t="n">
        <v>10</v>
      </c>
      <c r="Z54" s="61" t="n">
        <v>10.75</v>
      </c>
      <c r="AB54" s="64" t="n">
        <v>15</v>
      </c>
      <c r="AC54" s="63" t="s">
        <v>29</v>
      </c>
      <c r="AD54" s="65" t="n">
        <v>6</v>
      </c>
      <c r="AE54" s="66" t="n">
        <v>0</v>
      </c>
    </row>
    <row r="55" customFormat="false" ht="14.25" hidden="false" customHeight="false" outlineLevel="0" collapsed="false">
      <c r="A55" s="67" t="n">
        <v>4</v>
      </c>
      <c r="B55" s="67" t="n">
        <v>28</v>
      </c>
      <c r="C55" s="68" t="str">
        <f aca="false">LOOKUP(B55,H$8:H$35,F$8:F$35)</f>
        <v>Spiller 16</v>
      </c>
      <c r="D55" s="56"/>
      <c r="E55" s="57"/>
      <c r="F55" s="69" t="n">
        <v>37</v>
      </c>
      <c r="G55" s="23" t="n">
        <f aca="false">F55-AVERAGE(F$52:F$55)</f>
        <v>0.75</v>
      </c>
      <c r="H55" s="68" t="n">
        <f aca="false">RANK(F55,F$52:F$55)</f>
        <v>2</v>
      </c>
      <c r="I55" s="70" t="n">
        <f aca="false">IF(H55=1,10,IF(H55=2,6,IF(H55=3,3,1)))</f>
        <v>6</v>
      </c>
      <c r="J55" s="71" t="n">
        <v>2</v>
      </c>
      <c r="K55" s="72" t="n">
        <v>6</v>
      </c>
      <c r="M55" s="4"/>
      <c r="R55" s="68" t="n">
        <f aca="false">J55</f>
        <v>2</v>
      </c>
      <c r="S55" s="70" t="str">
        <f aca="false">C55</f>
        <v>Spiller 16</v>
      </c>
      <c r="T55" s="70" t="n">
        <f aca="false">K55</f>
        <v>6</v>
      </c>
      <c r="U55" s="31" t="n">
        <f aca="false">G55</f>
        <v>0.75</v>
      </c>
      <c r="W55" s="73" t="n">
        <v>2</v>
      </c>
      <c r="X55" s="74" t="s">
        <v>31</v>
      </c>
      <c r="Y55" s="74" t="n">
        <v>6</v>
      </c>
      <c r="Z55" s="72" t="n">
        <v>0.75</v>
      </c>
      <c r="AB55" s="75" t="n">
        <v>16</v>
      </c>
      <c r="AC55" s="74" t="s">
        <v>13</v>
      </c>
      <c r="AD55" s="76" t="n">
        <v>3</v>
      </c>
      <c r="AE55" s="77" t="n">
        <v>-2.25</v>
      </c>
    </row>
    <row r="56" customFormat="false" ht="14.25" hidden="false" customHeight="false" outlineLevel="0" collapsed="false">
      <c r="A56" s="4" t="n">
        <v>5</v>
      </c>
      <c r="B56" s="4" t="n">
        <v>7</v>
      </c>
      <c r="C56" s="55" t="str">
        <f aca="false">LOOKUP(B56,H$8:H$35,F$8:F$35)</f>
        <v>Spiller 24</v>
      </c>
      <c r="D56" s="56"/>
      <c r="E56" s="57"/>
      <c r="F56" s="58" t="n">
        <v>38</v>
      </c>
      <c r="G56" s="15" t="n">
        <f aca="false">F56-AVERAGE(F$56:F$59)</f>
        <v>-5.5</v>
      </c>
      <c r="H56" s="55" t="n">
        <f aca="false">RANK(F56,F$56:F$59)</f>
        <v>3</v>
      </c>
      <c r="I56" s="59" t="n">
        <f aca="false">IF(H56=1,10,IF(H56=2,6,IF(H56=3,3,1)))</f>
        <v>3</v>
      </c>
      <c r="J56" s="60" t="n">
        <v>3</v>
      </c>
      <c r="K56" s="61" t="n">
        <v>3</v>
      </c>
      <c r="M56" s="4"/>
      <c r="R56" s="55" t="n">
        <f aca="false">J56</f>
        <v>3</v>
      </c>
      <c r="S56" s="59" t="str">
        <f aca="false">C56</f>
        <v>Spiller 24</v>
      </c>
      <c r="T56" s="59" t="n">
        <f aca="false">K56</f>
        <v>3</v>
      </c>
      <c r="U56" s="29" t="n">
        <f aca="false">G56</f>
        <v>-5.5</v>
      </c>
      <c r="W56" s="62" t="n">
        <v>4</v>
      </c>
      <c r="X56" s="63" t="s">
        <v>25</v>
      </c>
      <c r="Y56" s="63" t="n">
        <v>1</v>
      </c>
      <c r="Z56" s="61" t="n">
        <v>-15.5</v>
      </c>
      <c r="AB56" s="64" t="n">
        <v>17</v>
      </c>
      <c r="AC56" s="63" t="s">
        <v>37</v>
      </c>
      <c r="AD56" s="65" t="n">
        <v>3</v>
      </c>
      <c r="AE56" s="66" t="n">
        <v>-3.75</v>
      </c>
    </row>
    <row r="57" customFormat="false" ht="14.25" hidden="false" customHeight="false" outlineLevel="0" collapsed="false">
      <c r="A57" s="4" t="n">
        <v>5</v>
      </c>
      <c r="B57" s="4" t="n">
        <v>9</v>
      </c>
      <c r="C57" s="55" t="str">
        <f aca="false">LOOKUP(B57,H$8:H$35,F$8:F$35)</f>
        <v>Spiller 17</v>
      </c>
      <c r="D57" s="56"/>
      <c r="E57" s="57"/>
      <c r="F57" s="58" t="n">
        <v>28</v>
      </c>
      <c r="G57" s="15" t="n">
        <f aca="false">F57-AVERAGE(F$56:F$59)</f>
        <v>-15.5</v>
      </c>
      <c r="H57" s="55" t="n">
        <f aca="false">RANK(F57,F$56:F$59)</f>
        <v>4</v>
      </c>
      <c r="I57" s="59" t="n">
        <f aca="false">IF(H57=1,10,IF(H57=2,6,IF(H57=3,3,1)))</f>
        <v>1</v>
      </c>
      <c r="J57" s="60" t="n">
        <v>4</v>
      </c>
      <c r="K57" s="61" t="n">
        <v>1</v>
      </c>
      <c r="M57" s="4"/>
      <c r="R57" s="55" t="n">
        <f aca="false">J57</f>
        <v>4</v>
      </c>
      <c r="S57" s="59" t="str">
        <f aca="false">C57</f>
        <v>Spiller 17</v>
      </c>
      <c r="T57" s="59" t="n">
        <f aca="false">K57</f>
        <v>1</v>
      </c>
      <c r="U57" s="29" t="n">
        <f aca="false">G57</f>
        <v>-15.5</v>
      </c>
      <c r="W57" s="62" t="n">
        <v>1</v>
      </c>
      <c r="X57" s="63" t="s">
        <v>32</v>
      </c>
      <c r="Y57" s="63" t="n">
        <v>10</v>
      </c>
      <c r="Z57" s="61" t="n">
        <v>3.75</v>
      </c>
      <c r="AB57" s="64" t="n">
        <v>18</v>
      </c>
      <c r="AC57" s="63" t="s">
        <v>11</v>
      </c>
      <c r="AD57" s="65" t="n">
        <v>3</v>
      </c>
      <c r="AE57" s="66" t="n">
        <v>-5.25</v>
      </c>
    </row>
    <row r="58" customFormat="false" ht="14.25" hidden="false" customHeight="false" outlineLevel="0" collapsed="false">
      <c r="A58" s="4" t="n">
        <v>5</v>
      </c>
      <c r="B58" s="4" t="n">
        <v>21</v>
      </c>
      <c r="C58" s="55" t="str">
        <f aca="false">LOOKUP(B58,H$8:H$35,F$8:F$35)</f>
        <v>Spiller 12</v>
      </c>
      <c r="D58" s="56"/>
      <c r="E58" s="57"/>
      <c r="F58" s="58" t="n">
        <v>52</v>
      </c>
      <c r="G58" s="15" t="n">
        <f aca="false">F58-AVERAGE(F$56:F$59)</f>
        <v>8.5</v>
      </c>
      <c r="H58" s="55" t="n">
        <f aca="false">RANK(F58,F$56:F$59)</f>
        <v>2</v>
      </c>
      <c r="I58" s="59" t="n">
        <f aca="false">IF(H58=1,10,IF(H58=2,6,IF(H58=3,3,1)))</f>
        <v>6</v>
      </c>
      <c r="J58" s="60" t="n">
        <v>2</v>
      </c>
      <c r="K58" s="61" t="n">
        <v>6</v>
      </c>
      <c r="M58" s="4"/>
      <c r="R58" s="55" t="n">
        <f aca="false">J58</f>
        <v>2</v>
      </c>
      <c r="S58" s="59" t="str">
        <f aca="false">C58</f>
        <v>Spiller 12</v>
      </c>
      <c r="T58" s="59" t="n">
        <f aca="false">K58</f>
        <v>6</v>
      </c>
      <c r="U58" s="29" t="n">
        <f aca="false">G58</f>
        <v>8.5</v>
      </c>
      <c r="W58" s="62" t="n">
        <v>1</v>
      </c>
      <c r="X58" s="63" t="s">
        <v>33</v>
      </c>
      <c r="Y58" s="63" t="n">
        <v>10</v>
      </c>
      <c r="Z58" s="61" t="n">
        <v>12.5</v>
      </c>
      <c r="AB58" s="64" t="n">
        <v>19</v>
      </c>
      <c r="AC58" s="63" t="s">
        <v>22</v>
      </c>
      <c r="AD58" s="65" t="n">
        <v>3</v>
      </c>
      <c r="AE58" s="66" t="n">
        <v>-5.5</v>
      </c>
    </row>
    <row r="59" customFormat="false" ht="14.25" hidden="false" customHeight="false" outlineLevel="0" collapsed="false">
      <c r="A59" s="67" t="n">
        <v>5</v>
      </c>
      <c r="B59" s="67" t="n">
        <v>23</v>
      </c>
      <c r="C59" s="68" t="str">
        <f aca="false">LOOKUP(B59,H$8:H$35,F$8:F$35)</f>
        <v>Spiller 19</v>
      </c>
      <c r="D59" s="56"/>
      <c r="E59" s="57"/>
      <c r="F59" s="69" t="n">
        <v>56</v>
      </c>
      <c r="G59" s="23" t="n">
        <f aca="false">F59-AVERAGE(F$56:F$59)</f>
        <v>12.5</v>
      </c>
      <c r="H59" s="68" t="n">
        <f aca="false">RANK(F59,F$56:F$59)</f>
        <v>1</v>
      </c>
      <c r="I59" s="70" t="n">
        <f aca="false">IF(H59=1,10,IF(H59=2,6,IF(H59=3,3,1)))</f>
        <v>10</v>
      </c>
      <c r="J59" s="71" t="n">
        <v>1</v>
      </c>
      <c r="K59" s="72" t="n">
        <v>10</v>
      </c>
      <c r="M59" s="4"/>
      <c r="R59" s="68" t="n">
        <f aca="false">J59</f>
        <v>1</v>
      </c>
      <c r="S59" s="70" t="str">
        <f aca="false">C59</f>
        <v>Spiller 19</v>
      </c>
      <c r="T59" s="70" t="n">
        <f aca="false">K59</f>
        <v>10</v>
      </c>
      <c r="U59" s="31" t="n">
        <f aca="false">G59</f>
        <v>12.5</v>
      </c>
      <c r="W59" s="73" t="n">
        <v>3</v>
      </c>
      <c r="X59" s="74" t="s">
        <v>34</v>
      </c>
      <c r="Y59" s="74" t="n">
        <v>3</v>
      </c>
      <c r="Z59" s="72" t="n">
        <v>-6.25</v>
      </c>
      <c r="AB59" s="75" t="n">
        <v>20</v>
      </c>
      <c r="AC59" s="74" t="s">
        <v>34</v>
      </c>
      <c r="AD59" s="76" t="n">
        <v>3</v>
      </c>
      <c r="AE59" s="77" t="n">
        <v>-6.25</v>
      </c>
    </row>
    <row r="60" customFormat="false" ht="14.25" hidden="false" customHeight="false" outlineLevel="0" collapsed="false">
      <c r="A60" s="4" t="n">
        <v>6</v>
      </c>
      <c r="B60" s="4" t="n">
        <v>5</v>
      </c>
      <c r="C60" s="55" t="str">
        <f aca="false">LOOKUP(B60,H$8:H$35,F$8:F$35)</f>
        <v>Spiller 04</v>
      </c>
      <c r="D60" s="56"/>
      <c r="E60" s="57"/>
      <c r="F60" s="58" t="n">
        <v>45</v>
      </c>
      <c r="G60" s="15" t="n">
        <f aca="false">F60-AVERAGE(F$60:F$63)</f>
        <v>-5.25</v>
      </c>
      <c r="H60" s="55" t="n">
        <f aca="false">RANK(F60,F$60:F$63)</f>
        <v>4</v>
      </c>
      <c r="I60" s="59" t="n">
        <f aca="false">IF(H60=1,10,IF(H60=2,6,IF(H60=3,3,1)))</f>
        <v>1</v>
      </c>
      <c r="J60" s="60" t="n">
        <v>4</v>
      </c>
      <c r="K60" s="61" t="n">
        <v>1</v>
      </c>
      <c r="M60" s="4"/>
      <c r="R60" s="55" t="n">
        <f aca="false">J60</f>
        <v>4</v>
      </c>
      <c r="S60" s="59" t="str">
        <f aca="false">C60</f>
        <v>Spiller 04</v>
      </c>
      <c r="T60" s="59" t="n">
        <f aca="false">K60</f>
        <v>1</v>
      </c>
      <c r="U60" s="29" t="n">
        <f aca="false">G60</f>
        <v>-5.25</v>
      </c>
      <c r="W60" s="62" t="n">
        <v>1</v>
      </c>
      <c r="X60" s="63" t="s">
        <v>35</v>
      </c>
      <c r="Y60" s="63" t="n">
        <v>10</v>
      </c>
      <c r="Z60" s="61" t="n">
        <v>4</v>
      </c>
      <c r="AB60" s="64" t="n">
        <v>21</v>
      </c>
      <c r="AC60" s="63" t="s">
        <v>19</v>
      </c>
      <c r="AD60" s="65" t="n">
        <v>3</v>
      </c>
      <c r="AE60" s="66" t="n">
        <v>-8</v>
      </c>
    </row>
    <row r="61" customFormat="false" ht="14.25" hidden="false" customHeight="false" outlineLevel="0" collapsed="false">
      <c r="A61" s="4" t="n">
        <v>6</v>
      </c>
      <c r="B61" s="4" t="n">
        <v>13</v>
      </c>
      <c r="C61" s="55" t="str">
        <f aca="false">LOOKUP(B61,H$8:H$35,F$8:F$35)</f>
        <v>Spiller 02</v>
      </c>
      <c r="D61" s="56"/>
      <c r="E61" s="57"/>
      <c r="F61" s="58" t="n">
        <v>48</v>
      </c>
      <c r="G61" s="15" t="n">
        <f aca="false">F61-AVERAGE(F$60:F$63)</f>
        <v>-2.25</v>
      </c>
      <c r="H61" s="55" t="n">
        <f aca="false">RANK(F61,F$60:F$63)</f>
        <v>3</v>
      </c>
      <c r="I61" s="59" t="n">
        <f aca="false">IF(H61=1,10,IF(H61=2,6,IF(H61=3,3,1)))</f>
        <v>3</v>
      </c>
      <c r="J61" s="60" t="n">
        <v>3</v>
      </c>
      <c r="K61" s="61" t="n">
        <v>3</v>
      </c>
      <c r="M61" s="4"/>
      <c r="R61" s="55" t="n">
        <f aca="false">J61</f>
        <v>3</v>
      </c>
      <c r="S61" s="59" t="str">
        <f aca="false">C61</f>
        <v>Spiller 02</v>
      </c>
      <c r="T61" s="59" t="n">
        <f aca="false">K61</f>
        <v>3</v>
      </c>
      <c r="U61" s="29" t="n">
        <f aca="false">G61</f>
        <v>-2.25</v>
      </c>
      <c r="W61" s="62" t="n">
        <v>1</v>
      </c>
      <c r="X61" s="63" t="s">
        <v>14</v>
      </c>
      <c r="Y61" s="63" t="n">
        <v>10</v>
      </c>
      <c r="Z61" s="61" t="n">
        <v>11.75</v>
      </c>
      <c r="AB61" s="64" t="n">
        <v>22</v>
      </c>
      <c r="AC61" s="63" t="s">
        <v>12</v>
      </c>
      <c r="AD61" s="65" t="n">
        <v>1</v>
      </c>
      <c r="AE61" s="66" t="n">
        <v>-4</v>
      </c>
    </row>
    <row r="62" customFormat="false" ht="14.25" hidden="false" customHeight="false" outlineLevel="0" collapsed="false">
      <c r="A62" s="4" t="n">
        <v>6</v>
      </c>
      <c r="B62" s="4" t="n">
        <v>14</v>
      </c>
      <c r="C62" s="55" t="str">
        <f aca="false">LOOKUP(B62,H$8:H$35,F$8:F$35)</f>
        <v>Spiller 03</v>
      </c>
      <c r="D62" s="56"/>
      <c r="E62" s="57"/>
      <c r="F62" s="58" t="n">
        <v>54</v>
      </c>
      <c r="G62" s="15" t="n">
        <f aca="false">F62-AVERAGE(F$60:F$63)</f>
        <v>3.75</v>
      </c>
      <c r="H62" s="55" t="n">
        <f aca="false">RANK(F62,F$60:F$63)</f>
        <v>1</v>
      </c>
      <c r="I62" s="59" t="n">
        <f aca="false">IF(H62=1,10,IF(H62=2,6,IF(H62=3,3,1)))</f>
        <v>10</v>
      </c>
      <c r="J62" s="60" t="n">
        <v>1</v>
      </c>
      <c r="K62" s="61" t="n">
        <v>10</v>
      </c>
      <c r="M62" s="4"/>
      <c r="R62" s="55" t="n">
        <f aca="false">J62</f>
        <v>1</v>
      </c>
      <c r="S62" s="59" t="str">
        <f aca="false">C62</f>
        <v>Spiller 03</v>
      </c>
      <c r="T62" s="59" t="n">
        <f aca="false">K62</f>
        <v>10</v>
      </c>
      <c r="U62" s="29" t="n">
        <f aca="false">G62</f>
        <v>3.75</v>
      </c>
      <c r="W62" s="62" t="n">
        <v>2</v>
      </c>
      <c r="X62" s="63" t="s">
        <v>36</v>
      </c>
      <c r="Y62" s="63" t="n">
        <v>6</v>
      </c>
      <c r="Z62" s="61" t="n">
        <v>3</v>
      </c>
      <c r="AB62" s="64" t="n">
        <v>23</v>
      </c>
      <c r="AC62" s="63" t="s">
        <v>38</v>
      </c>
      <c r="AD62" s="65" t="n">
        <v>1</v>
      </c>
      <c r="AE62" s="66" t="n">
        <v>-4.75</v>
      </c>
    </row>
    <row r="63" customFormat="false" ht="14.25" hidden="false" customHeight="false" outlineLevel="0" collapsed="false">
      <c r="A63" s="67" t="n">
        <v>6</v>
      </c>
      <c r="B63" s="67" t="n">
        <v>25</v>
      </c>
      <c r="C63" s="68" t="str">
        <f aca="false">LOOKUP(B63,H$8:H$35,F$8:F$35)</f>
        <v>Spiller 18</v>
      </c>
      <c r="D63" s="56"/>
      <c r="E63" s="57"/>
      <c r="F63" s="69" t="n">
        <v>54</v>
      </c>
      <c r="G63" s="23" t="n">
        <f aca="false">F63-AVERAGE(F$60:F$63)</f>
        <v>3.75</v>
      </c>
      <c r="H63" s="68" t="n">
        <f aca="false">RANK(F63,F$60:F$63)</f>
        <v>1</v>
      </c>
      <c r="I63" s="70" t="n">
        <f aca="false">IF(H63=1,10,IF(H63=2,6,IF(H63=3,3,1)))</f>
        <v>10</v>
      </c>
      <c r="J63" s="71" t="n">
        <v>1</v>
      </c>
      <c r="K63" s="72" t="n">
        <v>10</v>
      </c>
      <c r="M63" s="4"/>
      <c r="R63" s="68" t="n">
        <f aca="false">J63</f>
        <v>1</v>
      </c>
      <c r="S63" s="70" t="str">
        <f aca="false">C63</f>
        <v>Spiller 18</v>
      </c>
      <c r="T63" s="70" t="n">
        <f aca="false">K63</f>
        <v>10</v>
      </c>
      <c r="U63" s="31" t="n">
        <f aca="false">G63</f>
        <v>3.75</v>
      </c>
      <c r="W63" s="73" t="n">
        <v>3</v>
      </c>
      <c r="X63" s="74" t="s">
        <v>22</v>
      </c>
      <c r="Y63" s="74" t="n">
        <v>3</v>
      </c>
      <c r="Z63" s="72" t="n">
        <v>-5.5</v>
      </c>
      <c r="AB63" s="75" t="n">
        <v>24</v>
      </c>
      <c r="AC63" s="74" t="s">
        <v>17</v>
      </c>
      <c r="AD63" s="76" t="n">
        <v>1</v>
      </c>
      <c r="AE63" s="77" t="n">
        <v>-5.25</v>
      </c>
    </row>
    <row r="64" customFormat="false" ht="14.25" hidden="false" customHeight="false" outlineLevel="0" collapsed="false">
      <c r="A64" s="4" t="n">
        <v>7</v>
      </c>
      <c r="B64" s="4" t="n">
        <v>1</v>
      </c>
      <c r="C64" s="55" t="str">
        <f aca="false">LOOKUP(B64,H$8:H$35,F$8:F$35)</f>
        <v>Spiller 05</v>
      </c>
      <c r="D64" s="56"/>
      <c r="E64" s="57"/>
      <c r="F64" s="58" t="n">
        <v>36</v>
      </c>
      <c r="G64" s="15" t="n">
        <f aca="false">F64-AVERAGE(F$64:F$67)</f>
        <v>-4</v>
      </c>
      <c r="H64" s="55" t="n">
        <f aca="false">RANK(F64,F$64:F$67)</f>
        <v>4</v>
      </c>
      <c r="I64" s="59" t="n">
        <f aca="false">IF(H64=1,10,IF(H64=2,6,IF(H64=3,3,1)))</f>
        <v>1</v>
      </c>
      <c r="J64" s="60" t="n">
        <v>4</v>
      </c>
      <c r="K64" s="61" t="n">
        <v>1</v>
      </c>
      <c r="M64" s="4"/>
      <c r="R64" s="55" t="n">
        <f aca="false">J64</f>
        <v>4</v>
      </c>
      <c r="S64" s="59" t="str">
        <f aca="false">C64</f>
        <v>Spiller 05</v>
      </c>
      <c r="T64" s="59" t="n">
        <f aca="false">K64</f>
        <v>1</v>
      </c>
      <c r="U64" s="29" t="n">
        <f aca="false">G64</f>
        <v>-4</v>
      </c>
      <c r="W64" s="62" t="n">
        <v>1</v>
      </c>
      <c r="X64" s="63" t="s">
        <v>26</v>
      </c>
      <c r="Y64" s="63" t="n">
        <v>10</v>
      </c>
      <c r="Z64" s="61" t="n">
        <v>8.25</v>
      </c>
      <c r="AB64" s="64" t="n">
        <v>25</v>
      </c>
      <c r="AC64" s="63" t="s">
        <v>21</v>
      </c>
      <c r="AD64" s="65" t="n">
        <v>1</v>
      </c>
      <c r="AE64" s="66" t="n">
        <v>-7.25</v>
      </c>
    </row>
    <row r="65" customFormat="false" ht="14.25" hidden="false" customHeight="false" outlineLevel="0" collapsed="false">
      <c r="A65" s="4" t="n">
        <v>7</v>
      </c>
      <c r="B65" s="4" t="n">
        <v>3</v>
      </c>
      <c r="C65" s="55" t="str">
        <f aca="false">LOOKUP(B65,H$8:H$35,F$8:F$35)</f>
        <v>Spiller 11</v>
      </c>
      <c r="D65" s="56"/>
      <c r="E65" s="57"/>
      <c r="F65" s="58" t="n">
        <v>40</v>
      </c>
      <c r="G65" s="15" t="n">
        <f aca="false">F65-AVERAGE(F$64:F$67)</f>
        <v>0</v>
      </c>
      <c r="H65" s="55" t="n">
        <f aca="false">RANK(F65,F$64:F$67)</f>
        <v>2</v>
      </c>
      <c r="I65" s="59" t="n">
        <f aca="false">IF(H65=1,10,IF(H65=2,6,IF(H65=3,3,1)))</f>
        <v>6</v>
      </c>
      <c r="J65" s="60" t="n">
        <v>2</v>
      </c>
      <c r="K65" s="61" t="n">
        <v>6</v>
      </c>
      <c r="M65" s="4"/>
      <c r="R65" s="55" t="n">
        <f aca="false">J65</f>
        <v>2</v>
      </c>
      <c r="S65" s="59" t="str">
        <f aca="false">C65</f>
        <v>Spiller 11</v>
      </c>
      <c r="T65" s="59" t="n">
        <f aca="false">K65</f>
        <v>6</v>
      </c>
      <c r="U65" s="29" t="n">
        <f aca="false">G65</f>
        <v>0</v>
      </c>
      <c r="W65" s="62" t="n">
        <v>4</v>
      </c>
      <c r="X65" s="63" t="s">
        <v>38</v>
      </c>
      <c r="Y65" s="63" t="n">
        <v>1</v>
      </c>
      <c r="Z65" s="61" t="n">
        <v>-4.75</v>
      </c>
      <c r="AB65" s="64" t="n">
        <v>26</v>
      </c>
      <c r="AC65" s="63" t="s">
        <v>18</v>
      </c>
      <c r="AD65" s="65" t="n">
        <v>1</v>
      </c>
      <c r="AE65" s="66" t="n">
        <v>-7.25</v>
      </c>
    </row>
    <row r="66" customFormat="false" ht="14.25" hidden="false" customHeight="false" outlineLevel="0" collapsed="false">
      <c r="A66" s="4" t="n">
        <v>7</v>
      </c>
      <c r="B66" s="4" t="n">
        <v>16</v>
      </c>
      <c r="C66" s="55" t="str">
        <f aca="false">LOOKUP(B66,H$8:H$35,F$8:F$35)</f>
        <v>Spiller 13</v>
      </c>
      <c r="D66" s="56"/>
      <c r="E66" s="57"/>
      <c r="F66" s="58" t="n">
        <v>40</v>
      </c>
      <c r="G66" s="15" t="n">
        <f aca="false">F66-AVERAGE(F$64:F$67)</f>
        <v>0</v>
      </c>
      <c r="H66" s="55" t="n">
        <f aca="false">RANK(F66,F$64:F$67)</f>
        <v>2</v>
      </c>
      <c r="I66" s="59" t="n">
        <f aca="false">IF(H66=1,10,IF(H66=2,6,IF(H66=3,3,1)))</f>
        <v>6</v>
      </c>
      <c r="J66" s="60" t="n">
        <v>2</v>
      </c>
      <c r="K66" s="61" t="n">
        <v>6</v>
      </c>
      <c r="M66" s="4"/>
      <c r="R66" s="55" t="n">
        <f aca="false">J66</f>
        <v>2</v>
      </c>
      <c r="S66" s="59" t="str">
        <f aca="false">C66</f>
        <v>Spiller 13</v>
      </c>
      <c r="T66" s="59" t="n">
        <f aca="false">K66</f>
        <v>6</v>
      </c>
      <c r="U66" s="29" t="n">
        <f aca="false">G66</f>
        <v>0</v>
      </c>
      <c r="W66" s="62" t="n">
        <v>2</v>
      </c>
      <c r="X66" s="63" t="s">
        <v>23</v>
      </c>
      <c r="Y66" s="63" t="n">
        <v>6</v>
      </c>
      <c r="Z66" s="61" t="n">
        <v>2.75</v>
      </c>
      <c r="AB66" s="64" t="n">
        <v>27</v>
      </c>
      <c r="AC66" s="63" t="s">
        <v>24</v>
      </c>
      <c r="AD66" s="65" t="n">
        <v>1</v>
      </c>
      <c r="AE66" s="66" t="n">
        <v>-9</v>
      </c>
    </row>
    <row r="67" customFormat="false" ht="14.25" hidden="false" customHeight="false" outlineLevel="0" collapsed="false">
      <c r="A67" s="67" t="n">
        <v>7</v>
      </c>
      <c r="B67" s="67" t="n">
        <v>22</v>
      </c>
      <c r="C67" s="68" t="str">
        <f aca="false">LOOKUP(B67,H$8:H$35,F$8:F$35)</f>
        <v>Spiller 21</v>
      </c>
      <c r="D67" s="56"/>
      <c r="E67" s="57"/>
      <c r="F67" s="69" t="n">
        <v>44</v>
      </c>
      <c r="G67" s="23" t="n">
        <f aca="false">F67-AVERAGE(F$64:F$67)</f>
        <v>4</v>
      </c>
      <c r="H67" s="68" t="n">
        <f aca="false">RANK(F67,F$64:F$67)</f>
        <v>1</v>
      </c>
      <c r="I67" s="70" t="n">
        <f aca="false">IF(H67=1,10,IF(H67=2,6,IF(H67=3,3,1)))</f>
        <v>10</v>
      </c>
      <c r="J67" s="71" t="n">
        <v>1</v>
      </c>
      <c r="K67" s="72" t="n">
        <v>10</v>
      </c>
      <c r="M67" s="4"/>
      <c r="R67" s="68" t="n">
        <f aca="false">J67</f>
        <v>1</v>
      </c>
      <c r="S67" s="70" t="str">
        <f aca="false">C67</f>
        <v>Spiller 21</v>
      </c>
      <c r="T67" s="70" t="n">
        <f aca="false">K67</f>
        <v>10</v>
      </c>
      <c r="U67" s="31" t="n">
        <f aca="false">G67</f>
        <v>4</v>
      </c>
      <c r="W67" s="73" t="n">
        <v>3</v>
      </c>
      <c r="X67" s="74" t="s">
        <v>37</v>
      </c>
      <c r="Y67" s="74" t="n">
        <v>3</v>
      </c>
      <c r="Z67" s="72" t="n">
        <v>-3.75</v>
      </c>
      <c r="AB67" s="75" t="n">
        <v>28</v>
      </c>
      <c r="AC67" s="74" t="s">
        <v>25</v>
      </c>
      <c r="AD67" s="76" t="n">
        <v>1</v>
      </c>
      <c r="AE67" s="77" t="n">
        <v>-15.5</v>
      </c>
    </row>
    <row r="70" customFormat="false" ht="14.25" hidden="false" customHeight="false" outlineLevel="0" collapsed="false">
      <c r="A70" s="2" t="s">
        <v>56</v>
      </c>
      <c r="J70" s="3" t="s">
        <v>57</v>
      </c>
      <c r="P70" s="3" t="s">
        <v>58</v>
      </c>
      <c r="W70" s="3" t="s">
        <v>59</v>
      </c>
      <c r="AB70" s="3" t="s">
        <v>60</v>
      </c>
    </row>
    <row r="71" customFormat="false" ht="14.25" hidden="false" customHeight="false" outlineLevel="0" collapsed="false">
      <c r="A71" s="38" t="s">
        <v>61</v>
      </c>
      <c r="M71" s="38" t="s">
        <v>62</v>
      </c>
      <c r="P71" s="38"/>
      <c r="R71" s="38" t="s">
        <v>63</v>
      </c>
      <c r="W71" s="39" t="s">
        <v>64</v>
      </c>
      <c r="AB71" s="39" t="s">
        <v>65</v>
      </c>
    </row>
    <row r="72" customFormat="false" ht="14.25" hidden="false" customHeight="false" outlineLevel="0" collapsed="false">
      <c r="A72" s="4" t="s">
        <v>47</v>
      </c>
      <c r="B72" s="39" t="s">
        <v>9</v>
      </c>
      <c r="C72" s="4" t="s">
        <v>7</v>
      </c>
      <c r="D72" s="4" t="s">
        <v>51</v>
      </c>
      <c r="E72" s="4" t="s">
        <v>49</v>
      </c>
      <c r="F72" s="39" t="s">
        <v>66</v>
      </c>
      <c r="G72" s="39" t="s">
        <v>67</v>
      </c>
      <c r="H72" s="39" t="s">
        <v>68</v>
      </c>
      <c r="I72" s="39" t="s">
        <v>69</v>
      </c>
      <c r="J72" s="5" t="s">
        <v>68</v>
      </c>
      <c r="K72" s="5" t="s">
        <v>70</v>
      </c>
      <c r="M72" s="39" t="s">
        <v>71</v>
      </c>
      <c r="N72" s="39" t="s">
        <v>72</v>
      </c>
      <c r="O72" s="39" t="s">
        <v>73</v>
      </c>
      <c r="P72" s="39" t="s">
        <v>74</v>
      </c>
      <c r="R72" s="39" t="s">
        <v>74</v>
      </c>
      <c r="S72" s="39" t="s">
        <v>7</v>
      </c>
      <c r="T72" s="39" t="s">
        <v>71</v>
      </c>
      <c r="U72" s="39" t="s">
        <v>72</v>
      </c>
      <c r="W72" s="39" t="s">
        <v>74</v>
      </c>
      <c r="X72" s="39" t="s">
        <v>7</v>
      </c>
      <c r="Y72" s="39" t="s">
        <v>71</v>
      </c>
      <c r="Z72" s="39" t="s">
        <v>72</v>
      </c>
      <c r="AB72" s="39" t="s">
        <v>74</v>
      </c>
      <c r="AC72" s="39" t="s">
        <v>7</v>
      </c>
      <c r="AD72" s="39" t="s">
        <v>71</v>
      </c>
      <c r="AE72" s="39" t="s">
        <v>72</v>
      </c>
    </row>
    <row r="73" customFormat="false" ht="14.25" hidden="false" customHeight="false" outlineLevel="0" collapsed="false">
      <c r="A73" s="40" t="n">
        <v>1</v>
      </c>
      <c r="B73" s="78" t="n">
        <v>18</v>
      </c>
      <c r="C73" s="45" t="str">
        <f aca="false">LOOKUP(B73,H$8:H$35,F$8:F$35)</f>
        <v>Spiller 09</v>
      </c>
      <c r="D73" s="46" t="n">
        <f aca="false">INDEX(Y$40:Y$67,MATCH(C73,X$40:X$67,0))</f>
        <v>1</v>
      </c>
      <c r="E73" s="46" t="n">
        <f aca="false">INDEX(Z$40:Z$67,MATCH(C73,X$40:X$67,0))</f>
        <v>-9</v>
      </c>
      <c r="F73" s="79" t="n">
        <v>56</v>
      </c>
      <c r="G73" s="45" t="n">
        <f aca="false">F73-AVERAGE(F$73:F$76)</f>
        <v>13.5</v>
      </c>
      <c r="H73" s="41" t="n">
        <f aca="false">RANK(F73,F$73:F$76)</f>
        <v>1</v>
      </c>
      <c r="I73" s="49" t="n">
        <f aca="false">IF(H73=1,10,IF(H73=2,6,IF(H73=3,3,1)))</f>
        <v>10</v>
      </c>
      <c r="J73" s="47" t="n">
        <v>1</v>
      </c>
      <c r="K73" s="48" t="n">
        <v>10</v>
      </c>
      <c r="M73" s="41" t="n">
        <f aca="false">D73+K73</f>
        <v>11</v>
      </c>
      <c r="N73" s="49" t="n">
        <f aca="false">E73+G73</f>
        <v>4.5</v>
      </c>
      <c r="O73" s="45" t="n">
        <f aca="false">RANK(M73,M$73:M$100,0)</f>
        <v>12</v>
      </c>
      <c r="P73" s="48" t="n">
        <v>13</v>
      </c>
      <c r="Q73" s="4"/>
      <c r="R73" s="41" t="n">
        <f aca="false">P73</f>
        <v>13</v>
      </c>
      <c r="S73" s="46" t="str">
        <f aca="false">C73</f>
        <v>Spiller 09</v>
      </c>
      <c r="T73" s="46" t="n">
        <f aca="false">M73</f>
        <v>11</v>
      </c>
      <c r="U73" s="49" t="n">
        <f aca="false">N73</f>
        <v>4.5</v>
      </c>
      <c r="W73" s="50" t="n">
        <v>23</v>
      </c>
      <c r="X73" s="51" t="s">
        <v>11</v>
      </c>
      <c r="Y73" s="51" t="n">
        <v>6</v>
      </c>
      <c r="Z73" s="48" t="n">
        <v>-8.5</v>
      </c>
      <c r="AB73" s="52" t="n">
        <v>1</v>
      </c>
      <c r="AC73" s="51" t="s">
        <v>33</v>
      </c>
      <c r="AD73" s="80" t="n">
        <v>20</v>
      </c>
      <c r="AE73" s="54" t="n">
        <v>22</v>
      </c>
    </row>
    <row r="74" customFormat="false" ht="14.25" hidden="false" customHeight="false" outlineLevel="0" collapsed="false">
      <c r="A74" s="4" t="n">
        <v>1</v>
      </c>
      <c r="B74" s="81" t="n">
        <v>21</v>
      </c>
      <c r="C74" s="15" t="str">
        <f aca="false">LOOKUP(B74,H$8:H$35,F$8:F$35)</f>
        <v>Spiller 12</v>
      </c>
      <c r="D74" s="59" t="n">
        <f aca="false">INDEX(Y$40:Y$67,MATCH(C74,X$40:X$67,0))</f>
        <v>6</v>
      </c>
      <c r="E74" s="29" t="n">
        <f aca="false">INDEX(Z$40:Z$67,MATCH(C74,X$40:X$67,0))</f>
        <v>8.5</v>
      </c>
      <c r="F74" s="82" t="n">
        <v>30</v>
      </c>
      <c r="G74" s="15" t="n">
        <f aca="false">F74-AVERAGE(F$73:F$76)</f>
        <v>-12.5</v>
      </c>
      <c r="H74" s="55" t="n">
        <f aca="false">RANK(F74,F$73:F$76)</f>
        <v>3</v>
      </c>
      <c r="I74" s="29" t="n">
        <f aca="false">IF(H74=1,10,IF(H74=2,6,IF(H74=3,3,1)))</f>
        <v>3</v>
      </c>
      <c r="J74" s="60" t="n">
        <v>3</v>
      </c>
      <c r="K74" s="61" t="n">
        <v>3</v>
      </c>
      <c r="M74" s="55" t="n">
        <f aca="false">D74+K74</f>
        <v>9</v>
      </c>
      <c r="N74" s="29" t="n">
        <f aca="false">E74+G74</f>
        <v>-4</v>
      </c>
      <c r="O74" s="15" t="n">
        <f aca="false">RANK(M74,M$73:M$100,0)</f>
        <v>16</v>
      </c>
      <c r="P74" s="61" t="n">
        <v>17</v>
      </c>
      <c r="Q74" s="4"/>
      <c r="R74" s="55" t="n">
        <f aca="false">P74</f>
        <v>17</v>
      </c>
      <c r="S74" s="59" t="str">
        <f aca="false">C74</f>
        <v>Spiller 12</v>
      </c>
      <c r="T74" s="59" t="n">
        <f aca="false">M74</f>
        <v>9</v>
      </c>
      <c r="U74" s="29" t="n">
        <f aca="false">N74</f>
        <v>-4</v>
      </c>
      <c r="W74" s="62" t="n">
        <v>26</v>
      </c>
      <c r="X74" s="63" t="s">
        <v>13</v>
      </c>
      <c r="Y74" s="63" t="n">
        <v>4</v>
      </c>
      <c r="Z74" s="61" t="n">
        <v>-12.75</v>
      </c>
      <c r="AB74" s="64" t="n">
        <v>2</v>
      </c>
      <c r="AC74" s="63" t="s">
        <v>30</v>
      </c>
      <c r="AD74" s="83" t="n">
        <v>20</v>
      </c>
      <c r="AE74" s="66" t="n">
        <v>15.25</v>
      </c>
    </row>
    <row r="75" customFormat="false" ht="14.25" hidden="false" customHeight="false" outlineLevel="0" collapsed="false">
      <c r="A75" s="4" t="n">
        <v>1</v>
      </c>
      <c r="B75" s="81" t="n">
        <v>25</v>
      </c>
      <c r="C75" s="15" t="str">
        <f aca="false">LOOKUP(B75,H$8:H$35,F$8:F$35)</f>
        <v>Spiller 18</v>
      </c>
      <c r="D75" s="59" t="n">
        <f aca="false">INDEX(Y$40:Y$67,MATCH(C75,X$40:X$67,0))</f>
        <v>10</v>
      </c>
      <c r="E75" s="29" t="n">
        <f aca="false">INDEX(Z$40:Z$67,MATCH(C75,X$40:X$67,0))</f>
        <v>3.75</v>
      </c>
      <c r="F75" s="82" t="n">
        <v>54</v>
      </c>
      <c r="G75" s="15" t="n">
        <f aca="false">F75-AVERAGE(F$73:F$76)</f>
        <v>11.5</v>
      </c>
      <c r="H75" s="55" t="n">
        <f aca="false">RANK(F75,F$73:F$76)</f>
        <v>2</v>
      </c>
      <c r="I75" s="29" t="n">
        <f aca="false">IF(H75=1,10,IF(H75=2,6,IF(H75=3,3,1)))</f>
        <v>6</v>
      </c>
      <c r="J75" s="60" t="n">
        <v>2</v>
      </c>
      <c r="K75" s="61" t="n">
        <v>6</v>
      </c>
      <c r="M75" s="55" t="n">
        <f aca="false">D75+K75</f>
        <v>16</v>
      </c>
      <c r="N75" s="29" t="n">
        <f aca="false">E75+G75</f>
        <v>15.25</v>
      </c>
      <c r="O75" s="15" t="n">
        <f aca="false">RANK(M75,M$73:M$100,0)</f>
        <v>3</v>
      </c>
      <c r="P75" s="61" t="n">
        <v>4</v>
      </c>
      <c r="Q75" s="4"/>
      <c r="R75" s="55" t="n">
        <f aca="false">P75</f>
        <v>4</v>
      </c>
      <c r="S75" s="59" t="str">
        <f aca="false">C75</f>
        <v>Spiller 18</v>
      </c>
      <c r="T75" s="59" t="n">
        <f aca="false">M75</f>
        <v>16</v>
      </c>
      <c r="U75" s="29" t="n">
        <f aca="false">N75</f>
        <v>15.25</v>
      </c>
      <c r="W75" s="62" t="n">
        <v>15</v>
      </c>
      <c r="X75" s="63" t="s">
        <v>15</v>
      </c>
      <c r="Y75" s="63" t="n">
        <v>11</v>
      </c>
      <c r="Z75" s="61" t="n">
        <v>-12.75</v>
      </c>
      <c r="AB75" s="64" t="n">
        <v>3</v>
      </c>
      <c r="AC75" s="63" t="s">
        <v>20</v>
      </c>
      <c r="AD75" s="83" t="n">
        <v>16</v>
      </c>
      <c r="AE75" s="66" t="n">
        <v>17.5</v>
      </c>
    </row>
    <row r="76" customFormat="false" ht="14.25" hidden="false" customHeight="false" outlineLevel="0" collapsed="false">
      <c r="A76" s="67" t="n">
        <v>1</v>
      </c>
      <c r="B76" s="84" t="n">
        <v>27</v>
      </c>
      <c r="C76" s="23" t="str">
        <f aca="false">LOOKUP(B76,H$8:H$35,F$8:F$35)</f>
        <v>Spiller 23</v>
      </c>
      <c r="D76" s="70" t="n">
        <f aca="false">INDEX(Y$40:Y$67,MATCH(C76,X$40:X$67,0))</f>
        <v>6</v>
      </c>
      <c r="E76" s="31" t="n">
        <f aca="false">INDEX(Z$40:Z$67,MATCH(C76,X$40:X$67,0))</f>
        <v>3</v>
      </c>
      <c r="F76" s="85" t="n">
        <v>30</v>
      </c>
      <c r="G76" s="23" t="n">
        <f aca="false">F76-AVERAGE(F$73:F$76)</f>
        <v>-12.5</v>
      </c>
      <c r="H76" s="68" t="n">
        <f aca="false">RANK(F76,F$73:F$76)</f>
        <v>3</v>
      </c>
      <c r="I76" s="31" t="n">
        <f aca="false">IF(H76=1,10,IF(H76=2,6,IF(H76=3,3,1)))</f>
        <v>3</v>
      </c>
      <c r="J76" s="71" t="n">
        <v>3</v>
      </c>
      <c r="K76" s="72" t="n">
        <v>3</v>
      </c>
      <c r="M76" s="68" t="n">
        <f aca="false">D76+K76</f>
        <v>9</v>
      </c>
      <c r="N76" s="31" t="n">
        <f aca="false">E76+G76</f>
        <v>-9.5</v>
      </c>
      <c r="O76" s="23" t="n">
        <f aca="false">RANK(M76,M$73:M$100,0)</f>
        <v>16</v>
      </c>
      <c r="P76" s="72" t="n">
        <v>19</v>
      </c>
      <c r="Q76" s="4"/>
      <c r="R76" s="68" t="n">
        <f aca="false">P76</f>
        <v>19</v>
      </c>
      <c r="S76" s="70" t="str">
        <f aca="false">C76</f>
        <v>Spiller 23</v>
      </c>
      <c r="T76" s="70" t="n">
        <f aca="false">M76</f>
        <v>9</v>
      </c>
      <c r="U76" s="31" t="n">
        <f aca="false">N76</f>
        <v>-9.5</v>
      </c>
      <c r="W76" s="73" t="n">
        <v>25</v>
      </c>
      <c r="X76" s="74" t="s">
        <v>17</v>
      </c>
      <c r="Y76" s="74" t="n">
        <v>4</v>
      </c>
      <c r="Z76" s="72" t="n">
        <v>-11</v>
      </c>
      <c r="AB76" s="75" t="n">
        <v>4</v>
      </c>
      <c r="AC76" s="74" t="s">
        <v>32</v>
      </c>
      <c r="AD76" s="86" t="n">
        <v>16</v>
      </c>
      <c r="AE76" s="77" t="n">
        <v>15.25</v>
      </c>
    </row>
    <row r="77" customFormat="false" ht="14.25" hidden="false" customHeight="false" outlineLevel="0" collapsed="false">
      <c r="A77" s="4" t="n">
        <v>2</v>
      </c>
      <c r="B77" s="81" t="n">
        <v>1</v>
      </c>
      <c r="C77" s="15" t="str">
        <f aca="false">LOOKUP(B77,H$8:H$35,F$8:F$35)</f>
        <v>Spiller 05</v>
      </c>
      <c r="D77" s="59" t="n">
        <f aca="false">INDEX(Y$40:Y$67,MATCH(C77,X$40:X$67,0))</f>
        <v>1</v>
      </c>
      <c r="E77" s="29" t="n">
        <f aca="false">INDEX(Z$40:Z$67,MATCH(C77,X$40:X$67,0))</f>
        <v>-4</v>
      </c>
      <c r="F77" s="82" t="n">
        <v>55</v>
      </c>
      <c r="G77" s="15" t="n">
        <f aca="false">F77-AVERAGE(F$77:F$80)</f>
        <v>16.5</v>
      </c>
      <c r="H77" s="55" t="n">
        <f aca="false">RANK(F77,F$77:F$80)</f>
        <v>1</v>
      </c>
      <c r="I77" s="29" t="n">
        <f aca="false">IF(H77=1,10,IF(H77=2,6,IF(H77=3,3,1)))</f>
        <v>10</v>
      </c>
      <c r="J77" s="60" t="n">
        <v>1</v>
      </c>
      <c r="K77" s="61" t="n">
        <v>10</v>
      </c>
      <c r="M77" s="55" t="n">
        <f aca="false">D77+K77</f>
        <v>11</v>
      </c>
      <c r="N77" s="29" t="n">
        <f aca="false">E77+G77</f>
        <v>12.5</v>
      </c>
      <c r="O77" s="15" t="n">
        <f aca="false">RANK(M77,M$73:M$100,0)</f>
        <v>12</v>
      </c>
      <c r="P77" s="61" t="n">
        <v>12</v>
      </c>
      <c r="Q77" s="4"/>
      <c r="R77" s="55" t="n">
        <f aca="false">P77</f>
        <v>12</v>
      </c>
      <c r="S77" s="59" t="str">
        <f aca="false">C77</f>
        <v>Spiller 05</v>
      </c>
      <c r="T77" s="59" t="n">
        <f aca="false">M77</f>
        <v>11</v>
      </c>
      <c r="U77" s="29" t="n">
        <f aca="false">N77</f>
        <v>12.5</v>
      </c>
      <c r="W77" s="62" t="n">
        <v>12</v>
      </c>
      <c r="X77" s="63" t="s">
        <v>12</v>
      </c>
      <c r="Y77" s="63" t="n">
        <v>11</v>
      </c>
      <c r="Z77" s="61" t="n">
        <v>12.5</v>
      </c>
      <c r="AB77" s="64" t="n">
        <v>5</v>
      </c>
      <c r="AC77" s="63" t="s">
        <v>14</v>
      </c>
      <c r="AD77" s="83" t="n">
        <v>16</v>
      </c>
      <c r="AE77" s="66" t="n">
        <v>13.5</v>
      </c>
    </row>
    <row r="78" customFormat="false" ht="14.25" hidden="false" customHeight="false" outlineLevel="0" collapsed="false">
      <c r="A78" s="4" t="n">
        <v>2</v>
      </c>
      <c r="B78" s="81" t="n">
        <v>7</v>
      </c>
      <c r="C78" s="15" t="str">
        <f aca="false">LOOKUP(B78,H$8:H$35,F$8:F$35)</f>
        <v>Spiller 24</v>
      </c>
      <c r="D78" s="59" t="n">
        <f aca="false">INDEX(Y$40:Y$67,MATCH(C78,X$40:X$67,0))</f>
        <v>3</v>
      </c>
      <c r="E78" s="29" t="n">
        <f aca="false">INDEX(Z$40:Z$67,MATCH(C78,X$40:X$67,0))</f>
        <v>-5.5</v>
      </c>
      <c r="F78" s="82" t="n">
        <v>42</v>
      </c>
      <c r="G78" s="15" t="n">
        <f aca="false">F78-AVERAGE(F$77:F$80)</f>
        <v>3.5</v>
      </c>
      <c r="H78" s="55" t="n">
        <f aca="false">RANK(F78,F$77:F$80)</f>
        <v>2</v>
      </c>
      <c r="I78" s="29" t="n">
        <f aca="false">IF(H78=1,10,IF(H78=2,6,IF(H78=3,3,1)))</f>
        <v>6</v>
      </c>
      <c r="J78" s="60" t="n">
        <v>2</v>
      </c>
      <c r="K78" s="61" t="n">
        <v>6</v>
      </c>
      <c r="M78" s="55" t="n">
        <f aca="false">D78+K78</f>
        <v>9</v>
      </c>
      <c r="N78" s="29" t="n">
        <f aca="false">E78+G78</f>
        <v>-2</v>
      </c>
      <c r="O78" s="15" t="n">
        <f aca="false">RANK(M78,M$73:M$100,0)</f>
        <v>16</v>
      </c>
      <c r="P78" s="61" t="n">
        <v>16</v>
      </c>
      <c r="Q78" s="4"/>
      <c r="R78" s="55" t="n">
        <f aca="false">P78</f>
        <v>16</v>
      </c>
      <c r="S78" s="59" t="str">
        <f aca="false">C78</f>
        <v>Spiller 24</v>
      </c>
      <c r="T78" s="59" t="n">
        <f aca="false">M78</f>
        <v>9</v>
      </c>
      <c r="U78" s="29" t="n">
        <f aca="false">N78</f>
        <v>-2</v>
      </c>
      <c r="W78" s="62" t="n">
        <v>18</v>
      </c>
      <c r="X78" s="63" t="s">
        <v>19</v>
      </c>
      <c r="Y78" s="63" t="n">
        <v>9</v>
      </c>
      <c r="Z78" s="61" t="n">
        <v>-4.5</v>
      </c>
      <c r="AB78" s="64" t="n">
        <v>6</v>
      </c>
      <c r="AC78" s="63" t="s">
        <v>23</v>
      </c>
      <c r="AD78" s="83" t="n">
        <v>16</v>
      </c>
      <c r="AE78" s="66" t="n">
        <v>13.25</v>
      </c>
    </row>
    <row r="79" customFormat="false" ht="14.25" hidden="false" customHeight="false" outlineLevel="0" collapsed="false">
      <c r="A79" s="4" t="n">
        <v>2</v>
      </c>
      <c r="B79" s="81" t="n">
        <v>13</v>
      </c>
      <c r="C79" s="15" t="str">
        <f aca="false">LOOKUP(B79,H$8:H$35,F$8:F$35)</f>
        <v>Spiller 02</v>
      </c>
      <c r="D79" s="59" t="n">
        <f aca="false">INDEX(Y$40:Y$67,MATCH(C79,X$40:X$67,0))</f>
        <v>3</v>
      </c>
      <c r="E79" s="29" t="n">
        <f aca="false">INDEX(Z$40:Z$67,MATCH(C79,X$40:X$67,0))</f>
        <v>-2.25</v>
      </c>
      <c r="F79" s="82" t="n">
        <v>28</v>
      </c>
      <c r="G79" s="15" t="n">
        <f aca="false">F79-AVERAGE(F$77:F$80)</f>
        <v>-10.5</v>
      </c>
      <c r="H79" s="55" t="n">
        <f aca="false">RANK(F79,F$77:F$80)</f>
        <v>4</v>
      </c>
      <c r="I79" s="29" t="n">
        <f aca="false">IF(H79=1,10,IF(H79=2,6,IF(H79=3,3,1)))</f>
        <v>1</v>
      </c>
      <c r="J79" s="60" t="n">
        <v>4</v>
      </c>
      <c r="K79" s="61" t="n">
        <v>1</v>
      </c>
      <c r="M79" s="55" t="n">
        <f aca="false">D79+K79</f>
        <v>4</v>
      </c>
      <c r="N79" s="29" t="n">
        <f aca="false">E79+G79</f>
        <v>-12.75</v>
      </c>
      <c r="O79" s="15" t="n">
        <f aca="false">RANK(M79,M$73:M$100,0)</f>
        <v>24</v>
      </c>
      <c r="P79" s="61" t="n">
        <v>26</v>
      </c>
      <c r="Q79" s="4"/>
      <c r="R79" s="55" t="n">
        <f aca="false">P79</f>
        <v>26</v>
      </c>
      <c r="S79" s="59" t="str">
        <f aca="false">C79</f>
        <v>Spiller 02</v>
      </c>
      <c r="T79" s="59" t="n">
        <f aca="false">M79</f>
        <v>4</v>
      </c>
      <c r="U79" s="29" t="n">
        <f aca="false">N79</f>
        <v>-12.75</v>
      </c>
      <c r="W79" s="62" t="n">
        <v>14</v>
      </c>
      <c r="X79" s="63" t="s">
        <v>21</v>
      </c>
      <c r="Y79" s="63" t="n">
        <v>11</v>
      </c>
      <c r="Z79" s="61" t="n">
        <v>-1.5</v>
      </c>
      <c r="AB79" s="64" t="n">
        <v>7</v>
      </c>
      <c r="AC79" s="63" t="s">
        <v>26</v>
      </c>
      <c r="AD79" s="83" t="n">
        <v>16</v>
      </c>
      <c r="AE79" s="66" t="n">
        <v>5.5</v>
      </c>
    </row>
    <row r="80" customFormat="false" ht="14.25" hidden="false" customHeight="false" outlineLevel="0" collapsed="false">
      <c r="A80" s="67" t="n">
        <v>2</v>
      </c>
      <c r="B80" s="84" t="n">
        <v>22</v>
      </c>
      <c r="C80" s="23" t="str">
        <f aca="false">LOOKUP(B80,H$8:H$35,F$8:F$35)</f>
        <v>Spiller 21</v>
      </c>
      <c r="D80" s="70" t="n">
        <f aca="false">INDEX(Y$40:Y$67,MATCH(C80,X$40:X$67,0))</f>
        <v>10</v>
      </c>
      <c r="E80" s="31" t="n">
        <f aca="false">INDEX(Z$40:Z$67,MATCH(C80,X$40:X$67,0))</f>
        <v>4</v>
      </c>
      <c r="F80" s="85" t="n">
        <v>29</v>
      </c>
      <c r="G80" s="23" t="n">
        <f aca="false">F80-AVERAGE(F$77:F$80)</f>
        <v>-9.5</v>
      </c>
      <c r="H80" s="68" t="n">
        <f aca="false">RANK(F80,F$77:F$80)</f>
        <v>3</v>
      </c>
      <c r="I80" s="31" t="n">
        <f aca="false">IF(H80=1,10,IF(H80=2,6,IF(H80=3,3,1)))</f>
        <v>3</v>
      </c>
      <c r="J80" s="71" t="n">
        <v>3</v>
      </c>
      <c r="K80" s="72" t="n">
        <v>3</v>
      </c>
      <c r="M80" s="68" t="n">
        <f aca="false">D80+K80</f>
        <v>13</v>
      </c>
      <c r="N80" s="31" t="n">
        <f aca="false">E80+G80</f>
        <v>-5.5</v>
      </c>
      <c r="O80" s="23" t="n">
        <f aca="false">RANK(M80,M$73:M$100,0)</f>
        <v>8</v>
      </c>
      <c r="P80" s="72" t="n">
        <v>9</v>
      </c>
      <c r="Q80" s="4"/>
      <c r="R80" s="68" t="n">
        <f aca="false">P80</f>
        <v>9</v>
      </c>
      <c r="S80" s="70" t="str">
        <f aca="false">C80</f>
        <v>Spiller 21</v>
      </c>
      <c r="T80" s="70" t="n">
        <f aca="false">M80</f>
        <v>13</v>
      </c>
      <c r="U80" s="31" t="n">
        <f aca="false">N80</f>
        <v>-5.5</v>
      </c>
      <c r="W80" s="73" t="n">
        <v>28</v>
      </c>
      <c r="X80" s="74" t="s">
        <v>18</v>
      </c>
      <c r="Y80" s="74" t="n">
        <v>2</v>
      </c>
      <c r="Z80" s="72" t="n">
        <v>-11.5</v>
      </c>
      <c r="AB80" s="75" t="n">
        <v>8</v>
      </c>
      <c r="AC80" s="74" t="s">
        <v>37</v>
      </c>
      <c r="AD80" s="86" t="n">
        <v>13</v>
      </c>
      <c r="AE80" s="77" t="n">
        <v>14.5</v>
      </c>
    </row>
    <row r="81" customFormat="false" ht="14.25" hidden="false" customHeight="false" outlineLevel="0" collapsed="false">
      <c r="A81" s="4" t="n">
        <v>3</v>
      </c>
      <c r="B81" s="81" t="n">
        <v>2</v>
      </c>
      <c r="C81" s="15" t="str">
        <f aca="false">LOOKUP(B81,H$8:H$35,F$8:F$35)</f>
        <v>Spiller 22</v>
      </c>
      <c r="D81" s="59" t="n">
        <f aca="false">INDEX(Y$40:Y$67,MATCH(C81,X$40:X$67,0))</f>
        <v>10</v>
      </c>
      <c r="E81" s="29" t="n">
        <f aca="false">INDEX(Z$40:Z$67,MATCH(C81,X$40:X$67,0))</f>
        <v>11.75</v>
      </c>
      <c r="F81" s="82" t="n">
        <v>49</v>
      </c>
      <c r="G81" s="15" t="n">
        <f aca="false">F81-AVERAGE(F$81:F$84)</f>
        <v>1.75</v>
      </c>
      <c r="H81" s="55" t="n">
        <f aca="false">RANK(F81,F$81:F$84)</f>
        <v>2</v>
      </c>
      <c r="I81" s="29" t="n">
        <f aca="false">IF(H81=1,10,IF(H81=2,6,IF(H81=3,3,1)))</f>
        <v>6</v>
      </c>
      <c r="J81" s="60" t="n">
        <v>2</v>
      </c>
      <c r="K81" s="61" t="n">
        <v>6</v>
      </c>
      <c r="M81" s="55" t="n">
        <f aca="false">D81+K81</f>
        <v>16</v>
      </c>
      <c r="N81" s="29" t="n">
        <f aca="false">E81+G81</f>
        <v>13.5</v>
      </c>
      <c r="O81" s="15" t="n">
        <f aca="false">RANK(M81,M$73:M$100,0)</f>
        <v>3</v>
      </c>
      <c r="P81" s="61" t="n">
        <v>5</v>
      </c>
      <c r="Q81" s="4"/>
      <c r="R81" s="55" t="n">
        <f aca="false">P81</f>
        <v>5</v>
      </c>
      <c r="S81" s="59" t="str">
        <f aca="false">C81</f>
        <v>Spiller 22</v>
      </c>
      <c r="T81" s="59" t="n">
        <f aca="false">M81</f>
        <v>16</v>
      </c>
      <c r="U81" s="29" t="n">
        <f aca="false">N81</f>
        <v>13.5</v>
      </c>
      <c r="W81" s="62" t="n">
        <v>13</v>
      </c>
      <c r="X81" s="63" t="s">
        <v>24</v>
      </c>
      <c r="Y81" s="63" t="n">
        <v>11</v>
      </c>
      <c r="Z81" s="61" t="n">
        <v>4.5</v>
      </c>
      <c r="AB81" s="64" t="n">
        <v>9</v>
      </c>
      <c r="AC81" s="63" t="s">
        <v>35</v>
      </c>
      <c r="AD81" s="83" t="n">
        <v>13</v>
      </c>
      <c r="AE81" s="66" t="n">
        <v>-5.5</v>
      </c>
    </row>
    <row r="82" customFormat="false" ht="14.25" hidden="false" customHeight="false" outlineLevel="0" collapsed="false">
      <c r="A82" s="4" t="n">
        <v>3</v>
      </c>
      <c r="B82" s="81" t="n">
        <v>4</v>
      </c>
      <c r="C82" s="15" t="str">
        <f aca="false">LOOKUP(B82,H$8:H$35,F$8:F$35)</f>
        <v>Spiller 08</v>
      </c>
      <c r="D82" s="59" t="n">
        <f aca="false">INDEX(Y$40:Y$67,MATCH(C82,X$40:X$67,0))</f>
        <v>1</v>
      </c>
      <c r="E82" s="29" t="n">
        <f aca="false">INDEX(Z$40:Z$67,MATCH(C82,X$40:X$67,0))</f>
        <v>-7.25</v>
      </c>
      <c r="F82" s="82" t="n">
        <v>43</v>
      </c>
      <c r="G82" s="15" t="n">
        <f aca="false">F82-AVERAGE(F$81:F$84)</f>
        <v>-4.25</v>
      </c>
      <c r="H82" s="55" t="n">
        <f aca="false">RANK(F82,F$81:F$84)</f>
        <v>4</v>
      </c>
      <c r="I82" s="29" t="n">
        <f aca="false">IF(H82=1,10,IF(H82=2,6,IF(H82=3,3,1)))</f>
        <v>1</v>
      </c>
      <c r="J82" s="60" t="n">
        <v>4</v>
      </c>
      <c r="K82" s="61" t="n">
        <v>1</v>
      </c>
      <c r="M82" s="55" t="n">
        <f aca="false">D82+K82</f>
        <v>2</v>
      </c>
      <c r="N82" s="29" t="n">
        <f aca="false">E82+G82</f>
        <v>-11.5</v>
      </c>
      <c r="O82" s="15" t="n">
        <f aca="false">RANK(M82,M$73:M$100,0)</f>
        <v>28</v>
      </c>
      <c r="P82" s="61" t="n">
        <v>28</v>
      </c>
      <c r="Q82" s="4"/>
      <c r="R82" s="55" t="n">
        <f aca="false">P82</f>
        <v>28</v>
      </c>
      <c r="S82" s="59" t="str">
        <f aca="false">C82</f>
        <v>Spiller 08</v>
      </c>
      <c r="T82" s="59" t="n">
        <f aca="false">M82</f>
        <v>2</v>
      </c>
      <c r="U82" s="29" t="n">
        <f aca="false">N82</f>
        <v>-11.5</v>
      </c>
      <c r="W82" s="62" t="n">
        <v>3</v>
      </c>
      <c r="X82" s="63" t="s">
        <v>20</v>
      </c>
      <c r="Y82" s="63" t="n">
        <v>16</v>
      </c>
      <c r="Z82" s="61" t="n">
        <v>17.5</v>
      </c>
      <c r="AB82" s="64" t="n">
        <v>10</v>
      </c>
      <c r="AC82" s="63" t="s">
        <v>27</v>
      </c>
      <c r="AD82" s="83" t="n">
        <v>12</v>
      </c>
      <c r="AE82" s="66" t="n">
        <v>3.75</v>
      </c>
    </row>
    <row r="83" customFormat="false" ht="14.25" hidden="false" customHeight="false" outlineLevel="0" collapsed="false">
      <c r="A83" s="4" t="n">
        <v>3</v>
      </c>
      <c r="B83" s="81" t="n">
        <v>12</v>
      </c>
      <c r="C83" s="15" t="str">
        <f aca="false">LOOKUP(B83,H$8:H$35,F$8:F$35)</f>
        <v>Spiller 07</v>
      </c>
      <c r="D83" s="59" t="n">
        <f aca="false">INDEX(Y$40:Y$67,MATCH(C83,X$40:X$67,0))</f>
        <v>1</v>
      </c>
      <c r="E83" s="29" t="n">
        <f aca="false">INDEX(Z$40:Z$67,MATCH(C83,X$40:X$67,0))</f>
        <v>-7.25</v>
      </c>
      <c r="F83" s="82" t="n">
        <v>53</v>
      </c>
      <c r="G83" s="15" t="n">
        <f aca="false">F83-AVERAGE(F$81:F$84)</f>
        <v>5.75</v>
      </c>
      <c r="H83" s="55" t="n">
        <f aca="false">RANK(F83,F$81:F$84)</f>
        <v>1</v>
      </c>
      <c r="I83" s="29" t="n">
        <f aca="false">IF(H83=1,10,IF(H83=2,6,IF(H83=3,3,1)))</f>
        <v>10</v>
      </c>
      <c r="J83" s="60" t="n">
        <v>1</v>
      </c>
      <c r="K83" s="61" t="n">
        <v>10</v>
      </c>
      <c r="M83" s="55" t="n">
        <f aca="false">D83+K83</f>
        <v>11</v>
      </c>
      <c r="N83" s="29" t="n">
        <f aca="false">E83+G83</f>
        <v>-1.5</v>
      </c>
      <c r="O83" s="15" t="n">
        <f aca="false">RANK(M83,M$73:M$100,0)</f>
        <v>12</v>
      </c>
      <c r="P83" s="61" t="n">
        <v>14</v>
      </c>
      <c r="Q83" s="4"/>
      <c r="R83" s="55" t="n">
        <f aca="false">P83</f>
        <v>14</v>
      </c>
      <c r="S83" s="59" t="str">
        <f aca="false">C83</f>
        <v>Spiller 07</v>
      </c>
      <c r="T83" s="59" t="n">
        <f aca="false">M83</f>
        <v>11</v>
      </c>
      <c r="U83" s="29" t="n">
        <f aca="false">N83</f>
        <v>-1.5</v>
      </c>
      <c r="W83" s="62" t="n">
        <v>20</v>
      </c>
      <c r="X83" s="63" t="s">
        <v>16</v>
      </c>
      <c r="Y83" s="63" t="n">
        <v>7</v>
      </c>
      <c r="Z83" s="61" t="n">
        <v>-5.5</v>
      </c>
      <c r="AB83" s="64" t="n">
        <v>11</v>
      </c>
      <c r="AC83" s="63" t="s">
        <v>31</v>
      </c>
      <c r="AD83" s="83" t="n">
        <v>12</v>
      </c>
      <c r="AE83" s="66" t="n">
        <v>2.25</v>
      </c>
    </row>
    <row r="84" customFormat="false" ht="14.25" hidden="false" customHeight="false" outlineLevel="0" collapsed="false">
      <c r="A84" s="67" t="n">
        <v>3</v>
      </c>
      <c r="B84" s="84" t="n">
        <v>19</v>
      </c>
      <c r="C84" s="23" t="str">
        <f aca="false">LOOKUP(B84,H$8:H$35,F$8:F$35)</f>
        <v>Spiller 01</v>
      </c>
      <c r="D84" s="70" t="n">
        <f aca="false">INDEX(Y$40:Y$67,MATCH(C84,X$40:X$67,0))</f>
        <v>3</v>
      </c>
      <c r="E84" s="31" t="n">
        <f aca="false">INDEX(Z$40:Z$67,MATCH(C84,X$40:X$67,0))</f>
        <v>-5.25</v>
      </c>
      <c r="F84" s="85" t="n">
        <v>44</v>
      </c>
      <c r="G84" s="23" t="n">
        <f aca="false">F84-AVERAGE(F$81:F$84)</f>
        <v>-3.25</v>
      </c>
      <c r="H84" s="68" t="n">
        <f aca="false">RANK(F84,F$81:F$84)</f>
        <v>3</v>
      </c>
      <c r="I84" s="31" t="n">
        <f aca="false">IF(H84=1,10,IF(H84=2,6,IF(H84=3,3,1)))</f>
        <v>3</v>
      </c>
      <c r="J84" s="71" t="n">
        <v>3</v>
      </c>
      <c r="K84" s="72" t="n">
        <v>3</v>
      </c>
      <c r="M84" s="68" t="n">
        <f aca="false">D84+K84</f>
        <v>6</v>
      </c>
      <c r="N84" s="31" t="n">
        <f aca="false">E84+G84</f>
        <v>-8.5</v>
      </c>
      <c r="O84" s="23" t="n">
        <f aca="false">RANK(M84,M$73:M$100,0)</f>
        <v>23</v>
      </c>
      <c r="P84" s="72" t="n">
        <v>23</v>
      </c>
      <c r="Q84" s="4"/>
      <c r="R84" s="68" t="n">
        <f aca="false">P84</f>
        <v>23</v>
      </c>
      <c r="S84" s="70" t="str">
        <f aca="false">C84</f>
        <v>Spiller 01</v>
      </c>
      <c r="T84" s="70" t="n">
        <f aca="false">M84</f>
        <v>6</v>
      </c>
      <c r="U84" s="31" t="n">
        <f aca="false">N84</f>
        <v>-8.5</v>
      </c>
      <c r="W84" s="73" t="n">
        <v>17</v>
      </c>
      <c r="X84" s="74" t="s">
        <v>28</v>
      </c>
      <c r="Y84" s="74" t="n">
        <v>9</v>
      </c>
      <c r="Z84" s="72" t="n">
        <v>-4</v>
      </c>
      <c r="AB84" s="75" t="n">
        <v>12</v>
      </c>
      <c r="AC84" s="74" t="s">
        <v>12</v>
      </c>
      <c r="AD84" s="86" t="n">
        <v>11</v>
      </c>
      <c r="AE84" s="77" t="n">
        <v>12.5</v>
      </c>
    </row>
    <row r="85" customFormat="false" ht="14.25" hidden="false" customHeight="false" outlineLevel="0" collapsed="false">
      <c r="A85" s="4" t="n">
        <v>4</v>
      </c>
      <c r="B85" s="81" t="n">
        <v>8</v>
      </c>
      <c r="C85" s="15" t="str">
        <f aca="false">LOOKUP(B85,H$8:H$35,F$8:F$35)</f>
        <v>Spiller 27</v>
      </c>
      <c r="D85" s="59" t="n">
        <f aca="false">INDEX(Y$40:Y$67,MATCH(C85,X$40:X$67,0))</f>
        <v>6</v>
      </c>
      <c r="E85" s="29" t="n">
        <f aca="false">INDEX(Z$40:Z$67,MATCH(C85,X$40:X$67,0))</f>
        <v>2.75</v>
      </c>
      <c r="F85" s="82" t="n">
        <v>54</v>
      </c>
      <c r="G85" s="15" t="n">
        <f aca="false">F85-AVERAGE(F$85:F$88)</f>
        <v>10.5</v>
      </c>
      <c r="H85" s="55" t="n">
        <f aca="false">RANK(F85,F$85:F$88)</f>
        <v>1</v>
      </c>
      <c r="I85" s="29" t="n">
        <f aca="false">IF(H85=1,10,IF(H85=2,6,IF(H85=3,3,1)))</f>
        <v>10</v>
      </c>
      <c r="J85" s="60" t="n">
        <v>1</v>
      </c>
      <c r="K85" s="61" t="n">
        <v>10</v>
      </c>
      <c r="M85" s="55" t="n">
        <f aca="false">D85+K85</f>
        <v>16</v>
      </c>
      <c r="N85" s="29" t="n">
        <f aca="false">E85+G85</f>
        <v>13.25</v>
      </c>
      <c r="O85" s="15" t="n">
        <f aca="false">RANK(M85,M$73:M$100,0)</f>
        <v>3</v>
      </c>
      <c r="P85" s="61" t="n">
        <v>6</v>
      </c>
      <c r="Q85" s="4"/>
      <c r="R85" s="55" t="n">
        <f aca="false">P85</f>
        <v>6</v>
      </c>
      <c r="S85" s="59" t="str">
        <f aca="false">C85</f>
        <v>Spiller 27</v>
      </c>
      <c r="T85" s="59" t="n">
        <f aca="false">M85</f>
        <v>16</v>
      </c>
      <c r="U85" s="29" t="n">
        <f aca="false">N85</f>
        <v>13.25</v>
      </c>
      <c r="W85" s="62" t="n">
        <v>22</v>
      </c>
      <c r="X85" s="63" t="s">
        <v>29</v>
      </c>
      <c r="Y85" s="63" t="n">
        <v>7</v>
      </c>
      <c r="Z85" s="61" t="n">
        <v>-17.5</v>
      </c>
      <c r="AB85" s="64" t="n">
        <v>13</v>
      </c>
      <c r="AC85" s="63" t="s">
        <v>24</v>
      </c>
      <c r="AD85" s="83" t="n">
        <v>11</v>
      </c>
      <c r="AE85" s="66" t="n">
        <v>4.5</v>
      </c>
    </row>
    <row r="86" customFormat="false" ht="14.25" hidden="false" customHeight="false" outlineLevel="0" collapsed="false">
      <c r="A86" s="4" t="n">
        <v>4</v>
      </c>
      <c r="B86" s="81" t="n">
        <v>11</v>
      </c>
      <c r="C86" s="15" t="str">
        <f aca="false">LOOKUP(B86,H$8:H$35,F$8:F$35)</f>
        <v>Spiller 14</v>
      </c>
      <c r="D86" s="59" t="n">
        <f aca="false">INDEX(Y$40:Y$67,MATCH(C86,X$40:X$67,0))</f>
        <v>6</v>
      </c>
      <c r="E86" s="29" t="n">
        <f aca="false">INDEX(Z$40:Z$67,MATCH(C86,X$40:X$67,0))</f>
        <v>0.25</v>
      </c>
      <c r="F86" s="82" t="n">
        <v>47</v>
      </c>
      <c r="G86" s="15" t="n">
        <f aca="false">F86-AVERAGE(F$85:F$88)</f>
        <v>3.5</v>
      </c>
      <c r="H86" s="55" t="n">
        <f aca="false">RANK(F86,F$85:F$88)</f>
        <v>2</v>
      </c>
      <c r="I86" s="29" t="n">
        <f aca="false">IF(H86=1,10,IF(H86=2,6,IF(H86=3,3,1)))</f>
        <v>6</v>
      </c>
      <c r="J86" s="60" t="n">
        <v>2</v>
      </c>
      <c r="K86" s="61" t="n">
        <v>6</v>
      </c>
      <c r="M86" s="55" t="n">
        <f aca="false">D86+K86</f>
        <v>12</v>
      </c>
      <c r="N86" s="29" t="n">
        <f aca="false">E86+G86</f>
        <v>3.75</v>
      </c>
      <c r="O86" s="15" t="n">
        <f aca="false">RANK(M86,M$73:M$100,0)</f>
        <v>10</v>
      </c>
      <c r="P86" s="61" t="n">
        <v>10</v>
      </c>
      <c r="Q86" s="4"/>
      <c r="R86" s="55" t="n">
        <f aca="false">P86</f>
        <v>10</v>
      </c>
      <c r="S86" s="59" t="str">
        <f aca="false">C86</f>
        <v>Spiller 14</v>
      </c>
      <c r="T86" s="59" t="n">
        <f aca="false">M86</f>
        <v>12</v>
      </c>
      <c r="U86" s="29" t="n">
        <f aca="false">N86</f>
        <v>3.75</v>
      </c>
      <c r="W86" s="62" t="n">
        <v>10</v>
      </c>
      <c r="X86" s="63" t="s">
        <v>27</v>
      </c>
      <c r="Y86" s="63" t="n">
        <v>12</v>
      </c>
      <c r="Z86" s="61" t="n">
        <v>3.75</v>
      </c>
      <c r="AB86" s="64" t="n">
        <v>14</v>
      </c>
      <c r="AC86" s="63" t="s">
        <v>21</v>
      </c>
      <c r="AD86" s="83" t="n">
        <v>11</v>
      </c>
      <c r="AE86" s="66" t="n">
        <v>-1.5</v>
      </c>
    </row>
    <row r="87" customFormat="false" ht="14.25" hidden="false" customHeight="false" outlineLevel="0" collapsed="false">
      <c r="A87" s="4" t="n">
        <v>4</v>
      </c>
      <c r="B87" s="81" t="n">
        <v>16</v>
      </c>
      <c r="C87" s="15" t="str">
        <f aca="false">LOOKUP(B87,H$8:H$35,F$8:F$35)</f>
        <v>Spiller 13</v>
      </c>
      <c r="D87" s="59" t="n">
        <f aca="false">INDEX(Y$40:Y$67,MATCH(C87,X$40:X$67,0))</f>
        <v>6</v>
      </c>
      <c r="E87" s="29" t="n">
        <f aca="false">INDEX(Z$40:Z$67,MATCH(C87,X$40:X$67,0))</f>
        <v>0</v>
      </c>
      <c r="F87" s="82" t="n">
        <v>26</v>
      </c>
      <c r="G87" s="15" t="n">
        <f aca="false">F87-AVERAGE(F$85:F$88)</f>
        <v>-17.5</v>
      </c>
      <c r="H87" s="55" t="n">
        <f aca="false">RANK(F87,F$85:F$88)</f>
        <v>4</v>
      </c>
      <c r="I87" s="29" t="n">
        <f aca="false">IF(H87=1,10,IF(H87=2,6,IF(H87=3,3,1)))</f>
        <v>1</v>
      </c>
      <c r="J87" s="60" t="n">
        <v>4</v>
      </c>
      <c r="K87" s="61" t="n">
        <v>1</v>
      </c>
      <c r="M87" s="55" t="n">
        <f aca="false">D87+K87</f>
        <v>7</v>
      </c>
      <c r="N87" s="29" t="n">
        <f aca="false">E87+G87</f>
        <v>-17.5</v>
      </c>
      <c r="O87" s="15" t="n">
        <f aca="false">RANK(M87,M$73:M$100,0)</f>
        <v>20</v>
      </c>
      <c r="P87" s="61" t="n">
        <v>22</v>
      </c>
      <c r="Q87" s="4"/>
      <c r="R87" s="55" t="n">
        <f aca="false">P87</f>
        <v>22</v>
      </c>
      <c r="S87" s="59" t="str">
        <f aca="false">C87</f>
        <v>Spiller 13</v>
      </c>
      <c r="T87" s="59" t="n">
        <f aca="false">M87</f>
        <v>7</v>
      </c>
      <c r="U87" s="29" t="n">
        <f aca="false">N87</f>
        <v>-17.5</v>
      </c>
      <c r="W87" s="62" t="n">
        <v>2</v>
      </c>
      <c r="X87" s="63" t="s">
        <v>30</v>
      </c>
      <c r="Y87" s="63" t="n">
        <v>20</v>
      </c>
      <c r="Z87" s="61" t="n">
        <v>15.25</v>
      </c>
      <c r="AB87" s="64" t="n">
        <v>15</v>
      </c>
      <c r="AC87" s="63" t="s">
        <v>15</v>
      </c>
      <c r="AD87" s="83" t="n">
        <v>11</v>
      </c>
      <c r="AE87" s="66" t="n">
        <v>-12.75</v>
      </c>
    </row>
    <row r="88" customFormat="false" ht="14.25" hidden="false" customHeight="false" outlineLevel="0" collapsed="false">
      <c r="A88" s="67" t="n">
        <v>4</v>
      </c>
      <c r="B88" s="84" t="n">
        <v>17</v>
      </c>
      <c r="C88" s="23" t="str">
        <f aca="false">LOOKUP(B88,H$8:H$35,F$8:F$35)</f>
        <v>Spiller 06</v>
      </c>
      <c r="D88" s="70" t="n">
        <f aca="false">INDEX(Y$40:Y$67,MATCH(C88,X$40:X$67,0))</f>
        <v>3</v>
      </c>
      <c r="E88" s="31" t="n">
        <f aca="false">INDEX(Z$40:Z$67,MATCH(C88,X$40:X$67,0))</f>
        <v>-8</v>
      </c>
      <c r="F88" s="85" t="n">
        <v>47</v>
      </c>
      <c r="G88" s="23" t="n">
        <f aca="false">F88-AVERAGE(F$85:F$88)</f>
        <v>3.5</v>
      </c>
      <c r="H88" s="68" t="n">
        <f aca="false">RANK(F88,F$85:F$88)</f>
        <v>2</v>
      </c>
      <c r="I88" s="31" t="n">
        <f aca="false">IF(H88=1,10,IF(H88=2,6,IF(H88=3,3,1)))</f>
        <v>6</v>
      </c>
      <c r="J88" s="71" t="n">
        <v>2</v>
      </c>
      <c r="K88" s="72" t="n">
        <v>6</v>
      </c>
      <c r="M88" s="68" t="n">
        <f aca="false">D88+K88</f>
        <v>9</v>
      </c>
      <c r="N88" s="31" t="n">
        <f aca="false">E88+G88</f>
        <v>-4.5</v>
      </c>
      <c r="O88" s="23" t="n">
        <f aca="false">RANK(M88,M$73:M$100,0)</f>
        <v>16</v>
      </c>
      <c r="P88" s="72" t="n">
        <v>18</v>
      </c>
      <c r="Q88" s="4"/>
      <c r="R88" s="68" t="n">
        <f aca="false">P88</f>
        <v>18</v>
      </c>
      <c r="S88" s="70" t="str">
        <f aca="false">C88</f>
        <v>Spiller 06</v>
      </c>
      <c r="T88" s="70" t="n">
        <f aca="false">M88</f>
        <v>9</v>
      </c>
      <c r="U88" s="31" t="n">
        <f aca="false">N88</f>
        <v>-4.5</v>
      </c>
      <c r="W88" s="73" t="n">
        <v>11</v>
      </c>
      <c r="X88" s="74" t="s">
        <v>31</v>
      </c>
      <c r="Y88" s="74" t="n">
        <v>12</v>
      </c>
      <c r="Z88" s="72" t="n">
        <v>2.25</v>
      </c>
      <c r="AB88" s="75" t="n">
        <v>16</v>
      </c>
      <c r="AC88" s="74" t="s">
        <v>22</v>
      </c>
      <c r="AD88" s="86" t="n">
        <v>9</v>
      </c>
      <c r="AE88" s="77" t="n">
        <v>-2</v>
      </c>
    </row>
    <row r="89" customFormat="false" ht="14.25" hidden="false" customHeight="false" outlineLevel="0" collapsed="false">
      <c r="A89" s="4" t="n">
        <v>5</v>
      </c>
      <c r="B89" s="81" t="n">
        <v>5</v>
      </c>
      <c r="C89" s="15" t="str">
        <f aca="false">LOOKUP(B89,H$8:H$35,F$8:F$35)</f>
        <v>Spiller 04</v>
      </c>
      <c r="D89" s="59" t="n">
        <f aca="false">INDEX(Y$40:Y$67,MATCH(C89,X$40:X$67,0))</f>
        <v>1</v>
      </c>
      <c r="E89" s="29" t="n">
        <f aca="false">INDEX(Z$40:Z$67,MATCH(C89,X$40:X$67,0))</f>
        <v>-5.25</v>
      </c>
      <c r="F89" s="82" t="n">
        <v>32</v>
      </c>
      <c r="G89" s="15" t="n">
        <f aca="false">F89-AVERAGE(F$89:F$92)</f>
        <v>-5.75</v>
      </c>
      <c r="H89" s="55" t="n">
        <f aca="false">RANK(F89,F$89:F$92)</f>
        <v>3</v>
      </c>
      <c r="I89" s="29" t="n">
        <f aca="false">IF(H89=1,10,IF(H89=2,6,IF(H89=3,3,1)))</f>
        <v>3</v>
      </c>
      <c r="J89" s="60" t="n">
        <v>3</v>
      </c>
      <c r="K89" s="61" t="n">
        <v>3</v>
      </c>
      <c r="M89" s="55" t="n">
        <f aca="false">D89+K89</f>
        <v>4</v>
      </c>
      <c r="N89" s="29" t="n">
        <f aca="false">E89+G89</f>
        <v>-11</v>
      </c>
      <c r="O89" s="15" t="n">
        <f aca="false">RANK(M89,M$73:M$100,0)</f>
        <v>24</v>
      </c>
      <c r="P89" s="61" t="n">
        <v>25</v>
      </c>
      <c r="Q89" s="4"/>
      <c r="R89" s="55" t="n">
        <f aca="false">P89</f>
        <v>25</v>
      </c>
      <c r="S89" s="59" t="str">
        <f aca="false">C89</f>
        <v>Spiller 04</v>
      </c>
      <c r="T89" s="59" t="n">
        <f aca="false">M89</f>
        <v>4</v>
      </c>
      <c r="U89" s="29" t="n">
        <f aca="false">N89</f>
        <v>-11</v>
      </c>
      <c r="W89" s="62" t="n">
        <v>21</v>
      </c>
      <c r="X89" s="63" t="s">
        <v>25</v>
      </c>
      <c r="Y89" s="63" t="n">
        <v>7</v>
      </c>
      <c r="Z89" s="61" t="n">
        <v>-12</v>
      </c>
      <c r="AB89" s="64" t="n">
        <v>17</v>
      </c>
      <c r="AC89" s="63" t="s">
        <v>28</v>
      </c>
      <c r="AD89" s="83" t="n">
        <v>9</v>
      </c>
      <c r="AE89" s="66" t="n">
        <v>-4</v>
      </c>
    </row>
    <row r="90" customFormat="false" ht="14.25" hidden="false" customHeight="false" outlineLevel="0" collapsed="false">
      <c r="A90" s="4" t="n">
        <v>5</v>
      </c>
      <c r="B90" s="81" t="n">
        <v>10</v>
      </c>
      <c r="C90" s="15" t="str">
        <f aca="false">LOOKUP(B90,H$8:H$35,F$8:F$35)</f>
        <v>Spiller 25</v>
      </c>
      <c r="D90" s="59" t="n">
        <f aca="false">INDEX(Y$40:Y$67,MATCH(C90,X$40:X$67,0))</f>
        <v>10</v>
      </c>
      <c r="E90" s="29" t="n">
        <f aca="false">INDEX(Z$40:Z$67,MATCH(C90,X$40:X$67,0))</f>
        <v>8.25</v>
      </c>
      <c r="F90" s="82" t="n">
        <v>35</v>
      </c>
      <c r="G90" s="15" t="n">
        <f aca="false">F90-AVERAGE(F$89:F$92)</f>
        <v>-2.75</v>
      </c>
      <c r="H90" s="55" t="n">
        <f aca="false">RANK(F90,F$89:F$92)</f>
        <v>2</v>
      </c>
      <c r="I90" s="29" t="n">
        <f aca="false">IF(H90=1,10,IF(H90=2,6,IF(H90=3,3,1)))</f>
        <v>6</v>
      </c>
      <c r="J90" s="60" t="n">
        <v>2</v>
      </c>
      <c r="K90" s="61" t="n">
        <v>6</v>
      </c>
      <c r="M90" s="55" t="n">
        <f aca="false">D90+K90</f>
        <v>16</v>
      </c>
      <c r="N90" s="29" t="n">
        <f aca="false">E90+G90</f>
        <v>5.5</v>
      </c>
      <c r="O90" s="15" t="n">
        <f aca="false">RANK(M90,M$73:M$100,0)</f>
        <v>3</v>
      </c>
      <c r="P90" s="61" t="n">
        <v>7</v>
      </c>
      <c r="Q90" s="4"/>
      <c r="R90" s="55" t="n">
        <f aca="false">P90</f>
        <v>7</v>
      </c>
      <c r="S90" s="59" t="str">
        <f aca="false">C90</f>
        <v>Spiller 25</v>
      </c>
      <c r="T90" s="59" t="n">
        <f aca="false">M90</f>
        <v>16</v>
      </c>
      <c r="U90" s="29" t="n">
        <f aca="false">N90</f>
        <v>5.5</v>
      </c>
      <c r="W90" s="62" t="n">
        <v>4</v>
      </c>
      <c r="X90" s="63" t="s">
        <v>32</v>
      </c>
      <c r="Y90" s="63" t="n">
        <v>16</v>
      </c>
      <c r="Z90" s="61" t="n">
        <v>15.25</v>
      </c>
      <c r="AB90" s="64" t="n">
        <v>18</v>
      </c>
      <c r="AC90" s="63" t="s">
        <v>19</v>
      </c>
      <c r="AD90" s="83" t="n">
        <v>9</v>
      </c>
      <c r="AE90" s="66" t="n">
        <v>-4.5</v>
      </c>
    </row>
    <row r="91" customFormat="false" ht="14.25" hidden="false" customHeight="false" outlineLevel="0" collapsed="false">
      <c r="A91" s="4" t="n">
        <v>5</v>
      </c>
      <c r="B91" s="81" t="n">
        <v>20</v>
      </c>
      <c r="C91" s="15" t="str">
        <f aca="false">LOOKUP(B91,H$8:H$35,F$8:F$35)</f>
        <v>Spiller 20</v>
      </c>
      <c r="D91" s="59" t="n">
        <f aca="false">INDEX(Y$40:Y$67,MATCH(C91,X$40:X$67,0))</f>
        <v>3</v>
      </c>
      <c r="E91" s="29" t="n">
        <f aca="false">INDEX(Z$40:Z$67,MATCH(C91,X$40:X$67,0))</f>
        <v>-6.25</v>
      </c>
      <c r="F91" s="82" t="n">
        <v>28</v>
      </c>
      <c r="G91" s="15" t="n">
        <f aca="false">F91-AVERAGE(F$89:F$92)</f>
        <v>-9.75</v>
      </c>
      <c r="H91" s="55" t="n">
        <f aca="false">RANK(F91,F$89:F$92)</f>
        <v>4</v>
      </c>
      <c r="I91" s="29" t="n">
        <f aca="false">IF(H91=1,10,IF(H91=2,6,IF(H91=3,3,1)))</f>
        <v>1</v>
      </c>
      <c r="J91" s="60" t="n">
        <v>4</v>
      </c>
      <c r="K91" s="61" t="n">
        <v>1</v>
      </c>
      <c r="M91" s="55" t="n">
        <f aca="false">D91+K91</f>
        <v>4</v>
      </c>
      <c r="N91" s="29" t="n">
        <f aca="false">E91+G91</f>
        <v>-16</v>
      </c>
      <c r="O91" s="15" t="n">
        <f aca="false">RANK(M91,M$73:M$100,0)</f>
        <v>24</v>
      </c>
      <c r="P91" s="61" t="n">
        <v>27</v>
      </c>
      <c r="Q91" s="4"/>
      <c r="R91" s="55" t="n">
        <f aca="false">P91</f>
        <v>27</v>
      </c>
      <c r="S91" s="59" t="str">
        <f aca="false">C91</f>
        <v>Spiller 20</v>
      </c>
      <c r="T91" s="59" t="n">
        <f aca="false">M91</f>
        <v>4</v>
      </c>
      <c r="U91" s="29" t="n">
        <f aca="false">N91</f>
        <v>-16</v>
      </c>
      <c r="W91" s="62" t="n">
        <v>1</v>
      </c>
      <c r="X91" s="63" t="s">
        <v>33</v>
      </c>
      <c r="Y91" s="63" t="n">
        <v>20</v>
      </c>
      <c r="Z91" s="61" t="n">
        <v>22</v>
      </c>
      <c r="AB91" s="64" t="n">
        <v>19</v>
      </c>
      <c r="AC91" s="63" t="s">
        <v>36</v>
      </c>
      <c r="AD91" s="83" t="n">
        <v>9</v>
      </c>
      <c r="AE91" s="66" t="n">
        <v>-9.5</v>
      </c>
    </row>
    <row r="92" customFormat="false" ht="14.25" hidden="false" customHeight="false" outlineLevel="0" collapsed="false">
      <c r="A92" s="67" t="n">
        <v>5</v>
      </c>
      <c r="B92" s="84" t="n">
        <v>24</v>
      </c>
      <c r="C92" s="23" t="str">
        <f aca="false">LOOKUP(B92,H$8:H$35,F$8:F$35)</f>
        <v>Spiller 28</v>
      </c>
      <c r="D92" s="70" t="n">
        <f aca="false">INDEX(Y$40:Y$67,MATCH(C92,X$40:X$67,0))</f>
        <v>3</v>
      </c>
      <c r="E92" s="31" t="n">
        <f aca="false">INDEX(Z$40:Z$67,MATCH(C92,X$40:X$67,0))</f>
        <v>-3.75</v>
      </c>
      <c r="F92" s="85" t="n">
        <v>56</v>
      </c>
      <c r="G92" s="23" t="n">
        <f aca="false">F92-AVERAGE(F$89:F$92)</f>
        <v>18.25</v>
      </c>
      <c r="H92" s="68" t="n">
        <f aca="false">RANK(F92,F$89:F$92)</f>
        <v>1</v>
      </c>
      <c r="I92" s="31" t="n">
        <f aca="false">IF(H92=1,10,IF(H92=2,6,IF(H92=3,3,1)))</f>
        <v>10</v>
      </c>
      <c r="J92" s="71" t="n">
        <v>1</v>
      </c>
      <c r="K92" s="72" t="n">
        <v>10</v>
      </c>
      <c r="M92" s="68" t="n">
        <f aca="false">D92+K92</f>
        <v>13</v>
      </c>
      <c r="N92" s="31" t="n">
        <f aca="false">E92+G92</f>
        <v>14.5</v>
      </c>
      <c r="O92" s="23" t="n">
        <f aca="false">RANK(M92,M$73:M$100,0)</f>
        <v>8</v>
      </c>
      <c r="P92" s="72" t="n">
        <v>8</v>
      </c>
      <c r="Q92" s="4"/>
      <c r="R92" s="68" t="n">
        <f aca="false">P92</f>
        <v>8</v>
      </c>
      <c r="S92" s="70" t="str">
        <f aca="false">C92</f>
        <v>Spiller 28</v>
      </c>
      <c r="T92" s="70" t="n">
        <f aca="false">M92</f>
        <v>13</v>
      </c>
      <c r="U92" s="31" t="n">
        <f aca="false">N92</f>
        <v>14.5</v>
      </c>
      <c r="W92" s="73" t="n">
        <v>27</v>
      </c>
      <c r="X92" s="74" t="s">
        <v>34</v>
      </c>
      <c r="Y92" s="74" t="n">
        <v>4</v>
      </c>
      <c r="Z92" s="72" t="n">
        <v>-16</v>
      </c>
      <c r="AB92" s="75" t="n">
        <v>20</v>
      </c>
      <c r="AC92" s="74" t="s">
        <v>16</v>
      </c>
      <c r="AD92" s="86" t="n">
        <v>7</v>
      </c>
      <c r="AE92" s="77" t="n">
        <v>-5.5</v>
      </c>
    </row>
    <row r="93" customFormat="false" ht="14.25" hidden="false" customHeight="false" outlineLevel="0" collapsed="false">
      <c r="A93" s="4" t="n">
        <v>6</v>
      </c>
      <c r="B93" s="81" t="n">
        <v>3</v>
      </c>
      <c r="C93" s="15" t="str">
        <f aca="false">LOOKUP(B93,H$8:H$35,F$8:F$35)</f>
        <v>Spiller 11</v>
      </c>
      <c r="D93" s="59" t="n">
        <f aca="false">INDEX(Y$40:Y$67,MATCH(C93,X$40:X$67,0))</f>
        <v>6</v>
      </c>
      <c r="E93" s="29" t="n">
        <f aca="false">INDEX(Z$40:Z$67,MATCH(C93,X$40:X$67,0))</f>
        <v>0</v>
      </c>
      <c r="F93" s="82" t="n">
        <v>33</v>
      </c>
      <c r="G93" s="15" t="n">
        <f aca="false">F93-AVERAGE(F$93:F$96)</f>
        <v>-5.5</v>
      </c>
      <c r="H93" s="55" t="n">
        <f aca="false">RANK(F93,F$93:F$96)</f>
        <v>4</v>
      </c>
      <c r="I93" s="29" t="n">
        <f aca="false">IF(H93=1,10,IF(H93=2,6,IF(H93=3,3,1)))</f>
        <v>1</v>
      </c>
      <c r="J93" s="60" t="n">
        <v>4</v>
      </c>
      <c r="K93" s="61" t="n">
        <v>1</v>
      </c>
      <c r="M93" s="55" t="n">
        <f aca="false">D93+K93</f>
        <v>7</v>
      </c>
      <c r="N93" s="29" t="n">
        <f aca="false">E93+G93</f>
        <v>-5.5</v>
      </c>
      <c r="O93" s="15" t="n">
        <f aca="false">RANK(M93,M$73:M$100,0)</f>
        <v>20</v>
      </c>
      <c r="P93" s="61" t="n">
        <v>20</v>
      </c>
      <c r="Q93" s="4"/>
      <c r="R93" s="55" t="n">
        <f aca="false">P93</f>
        <v>20</v>
      </c>
      <c r="S93" s="59" t="str">
        <f aca="false">C93</f>
        <v>Spiller 11</v>
      </c>
      <c r="T93" s="59" t="n">
        <f aca="false">M93</f>
        <v>7</v>
      </c>
      <c r="U93" s="29" t="n">
        <f aca="false">N93</f>
        <v>-5.5</v>
      </c>
      <c r="W93" s="62" t="n">
        <v>9</v>
      </c>
      <c r="X93" s="63" t="s">
        <v>35</v>
      </c>
      <c r="Y93" s="63" t="n">
        <v>13</v>
      </c>
      <c r="Z93" s="61" t="n">
        <v>-5.5</v>
      </c>
      <c r="AB93" s="64" t="n">
        <v>21</v>
      </c>
      <c r="AC93" s="63" t="s">
        <v>25</v>
      </c>
      <c r="AD93" s="83" t="n">
        <v>7</v>
      </c>
      <c r="AE93" s="66" t="n">
        <v>-12</v>
      </c>
    </row>
    <row r="94" customFormat="false" ht="14.25" hidden="false" customHeight="false" outlineLevel="0" collapsed="false">
      <c r="A94" s="4" t="n">
        <v>6</v>
      </c>
      <c r="B94" s="81" t="n">
        <v>15</v>
      </c>
      <c r="C94" s="15" t="str">
        <f aca="false">LOOKUP(B94,H$8:H$35,F$8:F$35)</f>
        <v>Spiller 15</v>
      </c>
      <c r="D94" s="59" t="n">
        <f aca="false">INDEX(Y$40:Y$67,MATCH(C94,X$40:X$67,0))</f>
        <v>10</v>
      </c>
      <c r="E94" s="29" t="n">
        <f aca="false">INDEX(Z$40:Z$67,MATCH(C94,X$40:X$67,0))</f>
        <v>10.75</v>
      </c>
      <c r="F94" s="82" t="n">
        <v>43</v>
      </c>
      <c r="G94" s="15" t="n">
        <f aca="false">F94-AVERAGE(F$93:F$96)</f>
        <v>4.5</v>
      </c>
      <c r="H94" s="55" t="n">
        <f aca="false">RANK(F94,F$93:F$96)</f>
        <v>1</v>
      </c>
      <c r="I94" s="29" t="n">
        <f aca="false">IF(H94=1,10,IF(H94=2,6,IF(H94=3,3,1)))</f>
        <v>10</v>
      </c>
      <c r="J94" s="60" t="n">
        <v>1</v>
      </c>
      <c r="K94" s="61" t="n">
        <v>10</v>
      </c>
      <c r="M94" s="55" t="n">
        <f aca="false">D94+K94</f>
        <v>20</v>
      </c>
      <c r="N94" s="29" t="n">
        <f aca="false">E94+G94</f>
        <v>15.25</v>
      </c>
      <c r="O94" s="15" t="n">
        <f aca="false">RANK(M94,M$73:M$100,0)</f>
        <v>1</v>
      </c>
      <c r="P94" s="61" t="n">
        <v>2</v>
      </c>
      <c r="Q94" s="4"/>
      <c r="R94" s="55" t="n">
        <f aca="false">P94</f>
        <v>2</v>
      </c>
      <c r="S94" s="59" t="str">
        <f aca="false">C94</f>
        <v>Spiller 15</v>
      </c>
      <c r="T94" s="59" t="n">
        <f aca="false">M94</f>
        <v>20</v>
      </c>
      <c r="U94" s="29" t="n">
        <f aca="false">N94</f>
        <v>15.25</v>
      </c>
      <c r="W94" s="62" t="n">
        <v>5</v>
      </c>
      <c r="X94" s="63" t="s">
        <v>14</v>
      </c>
      <c r="Y94" s="63" t="n">
        <v>16</v>
      </c>
      <c r="Z94" s="61" t="n">
        <v>13.5</v>
      </c>
      <c r="AB94" s="64" t="n">
        <v>22</v>
      </c>
      <c r="AC94" s="63" t="s">
        <v>29</v>
      </c>
      <c r="AD94" s="83" t="n">
        <v>7</v>
      </c>
      <c r="AE94" s="66" t="n">
        <v>-17.5</v>
      </c>
    </row>
    <row r="95" customFormat="false" ht="14.25" hidden="false" customHeight="false" outlineLevel="0" collapsed="false">
      <c r="A95" s="4" t="n">
        <v>6</v>
      </c>
      <c r="B95" s="81" t="n">
        <v>26</v>
      </c>
      <c r="C95" s="15" t="str">
        <f aca="false">LOOKUP(B95,H$8:H$35,F$8:F$35)</f>
        <v>Spiller 26</v>
      </c>
      <c r="D95" s="59" t="n">
        <f aca="false">INDEX(Y$40:Y$67,MATCH(C95,X$40:X$67,0))</f>
        <v>1</v>
      </c>
      <c r="E95" s="29" t="n">
        <f aca="false">INDEX(Z$40:Z$67,MATCH(C95,X$40:X$67,0))</f>
        <v>-4.75</v>
      </c>
      <c r="F95" s="82" t="n">
        <v>38</v>
      </c>
      <c r="G95" s="15" t="n">
        <f aca="false">F95-AVERAGE(F$93:F$96)</f>
        <v>-0.5</v>
      </c>
      <c r="H95" s="55" t="n">
        <f aca="false">RANK(F95,F$93:F$96)</f>
        <v>3</v>
      </c>
      <c r="I95" s="29" t="n">
        <f aca="false">IF(H95=1,10,IF(H95=2,6,IF(H95=3,3,1)))</f>
        <v>3</v>
      </c>
      <c r="J95" s="60" t="n">
        <v>3</v>
      </c>
      <c r="K95" s="61" t="n">
        <v>3</v>
      </c>
      <c r="M95" s="55" t="n">
        <f aca="false">D95+K95</f>
        <v>4</v>
      </c>
      <c r="N95" s="29" t="n">
        <f aca="false">E95+G95</f>
        <v>-5.25</v>
      </c>
      <c r="O95" s="15" t="n">
        <f aca="false">RANK(M95,M$73:M$100,0)</f>
        <v>24</v>
      </c>
      <c r="P95" s="61" t="n">
        <v>24</v>
      </c>
      <c r="Q95" s="4"/>
      <c r="R95" s="55" t="n">
        <f aca="false">P95</f>
        <v>24</v>
      </c>
      <c r="S95" s="59" t="str">
        <f aca="false">C95</f>
        <v>Spiller 26</v>
      </c>
      <c r="T95" s="59" t="n">
        <f aca="false">M95</f>
        <v>4</v>
      </c>
      <c r="U95" s="29" t="n">
        <f aca="false">N95</f>
        <v>-5.25</v>
      </c>
      <c r="W95" s="62" t="n">
        <v>19</v>
      </c>
      <c r="X95" s="63" t="s">
        <v>36</v>
      </c>
      <c r="Y95" s="63" t="n">
        <v>9</v>
      </c>
      <c r="Z95" s="61" t="n">
        <v>-9.5</v>
      </c>
      <c r="AB95" s="64" t="n">
        <v>23</v>
      </c>
      <c r="AC95" s="63" t="s">
        <v>11</v>
      </c>
      <c r="AD95" s="83" t="n">
        <v>6</v>
      </c>
      <c r="AE95" s="66" t="n">
        <v>-8.5</v>
      </c>
    </row>
    <row r="96" customFormat="false" ht="14.25" hidden="false" customHeight="false" outlineLevel="0" collapsed="false">
      <c r="A96" s="67" t="n">
        <v>6</v>
      </c>
      <c r="B96" s="84" t="n">
        <v>28</v>
      </c>
      <c r="C96" s="23" t="str">
        <f aca="false">LOOKUP(B96,H$8:H$35,F$8:F$35)</f>
        <v>Spiller 16</v>
      </c>
      <c r="D96" s="70" t="n">
        <f aca="false">INDEX(Y$40:Y$67,MATCH(C96,X$40:X$67,0))</f>
        <v>6</v>
      </c>
      <c r="E96" s="31" t="n">
        <f aca="false">INDEX(Z$40:Z$67,MATCH(C96,X$40:X$67,0))</f>
        <v>0.75</v>
      </c>
      <c r="F96" s="85" t="n">
        <v>40</v>
      </c>
      <c r="G96" s="23" t="n">
        <f aca="false">F96-AVERAGE(F$93:F$96)</f>
        <v>1.5</v>
      </c>
      <c r="H96" s="68" t="n">
        <f aca="false">RANK(F96,F$93:F$96)</f>
        <v>2</v>
      </c>
      <c r="I96" s="31" t="n">
        <f aca="false">IF(H96=1,10,IF(H96=2,6,IF(H96=3,3,1)))</f>
        <v>6</v>
      </c>
      <c r="J96" s="71" t="n">
        <v>2</v>
      </c>
      <c r="K96" s="72" t="n">
        <v>6</v>
      </c>
      <c r="M96" s="68" t="n">
        <f aca="false">D96+K96</f>
        <v>12</v>
      </c>
      <c r="N96" s="31" t="n">
        <f aca="false">E96+G96</f>
        <v>2.25</v>
      </c>
      <c r="O96" s="23" t="n">
        <f aca="false">RANK(M96,M$73:M$100,0)</f>
        <v>10</v>
      </c>
      <c r="P96" s="72" t="n">
        <v>11</v>
      </c>
      <c r="Q96" s="4"/>
      <c r="R96" s="68" t="n">
        <f aca="false">P96</f>
        <v>11</v>
      </c>
      <c r="S96" s="70" t="str">
        <f aca="false">C96</f>
        <v>Spiller 16</v>
      </c>
      <c r="T96" s="70" t="n">
        <f aca="false">M96</f>
        <v>12</v>
      </c>
      <c r="U96" s="31" t="n">
        <f aca="false">N96</f>
        <v>2.25</v>
      </c>
      <c r="W96" s="73" t="n">
        <v>16</v>
      </c>
      <c r="X96" s="74" t="s">
        <v>22</v>
      </c>
      <c r="Y96" s="74" t="n">
        <v>9</v>
      </c>
      <c r="Z96" s="72" t="n">
        <v>-2</v>
      </c>
      <c r="AB96" s="75" t="n">
        <v>24</v>
      </c>
      <c r="AC96" s="74" t="s">
        <v>38</v>
      </c>
      <c r="AD96" s="86" t="n">
        <v>4</v>
      </c>
      <c r="AE96" s="77" t="n">
        <v>-5.25</v>
      </c>
    </row>
    <row r="97" customFormat="false" ht="14.25" hidden="false" customHeight="false" outlineLevel="0" collapsed="false">
      <c r="A97" s="4" t="n">
        <v>7</v>
      </c>
      <c r="B97" s="81" t="n">
        <v>6</v>
      </c>
      <c r="C97" s="15" t="str">
        <f aca="false">LOOKUP(B97,H$8:H$35,F$8:F$35)</f>
        <v>Spiller 10</v>
      </c>
      <c r="D97" s="59" t="n">
        <f aca="false">INDEX(Y$40:Y$67,MATCH(C97,X$40:X$67,0))</f>
        <v>10</v>
      </c>
      <c r="E97" s="29" t="n">
        <f aca="false">INDEX(Z$40:Z$67,MATCH(C97,X$40:X$67,0))</f>
        <v>14</v>
      </c>
      <c r="F97" s="82" t="n">
        <v>50</v>
      </c>
      <c r="G97" s="15" t="n">
        <f aca="false">F97-AVERAGE(F$97:F$100)</f>
        <v>3.5</v>
      </c>
      <c r="H97" s="55" t="n">
        <f aca="false">RANK(F97,F$97:F$100)</f>
        <v>2</v>
      </c>
      <c r="I97" s="29" t="n">
        <f aca="false">IF(H97=1,10,IF(H97=2,6,IF(H97=3,3,1)))</f>
        <v>6</v>
      </c>
      <c r="J97" s="60" t="n">
        <v>2</v>
      </c>
      <c r="K97" s="61" t="n">
        <v>6</v>
      </c>
      <c r="M97" s="55" t="n">
        <f aca="false">D97+K97</f>
        <v>16</v>
      </c>
      <c r="N97" s="29" t="n">
        <f aca="false">E97+G97</f>
        <v>17.5</v>
      </c>
      <c r="O97" s="15" t="n">
        <f aca="false">RANK(M97,M$73:M$100,0)</f>
        <v>3</v>
      </c>
      <c r="P97" s="61" t="n">
        <v>3</v>
      </c>
      <c r="Q97" s="4"/>
      <c r="R97" s="55" t="n">
        <f aca="false">P97</f>
        <v>3</v>
      </c>
      <c r="S97" s="59" t="str">
        <f aca="false">C97</f>
        <v>Spiller 10</v>
      </c>
      <c r="T97" s="59" t="n">
        <f aca="false">M97</f>
        <v>16</v>
      </c>
      <c r="U97" s="29" t="n">
        <f aca="false">N97</f>
        <v>17.5</v>
      </c>
      <c r="W97" s="62" t="n">
        <v>7</v>
      </c>
      <c r="X97" s="63" t="s">
        <v>26</v>
      </c>
      <c r="Y97" s="63" t="n">
        <v>16</v>
      </c>
      <c r="Z97" s="61" t="n">
        <v>5.5</v>
      </c>
      <c r="AB97" s="64" t="n">
        <v>25</v>
      </c>
      <c r="AC97" s="63" t="s">
        <v>17</v>
      </c>
      <c r="AD97" s="83" t="n">
        <v>4</v>
      </c>
      <c r="AE97" s="66" t="n">
        <v>-11</v>
      </c>
    </row>
    <row r="98" customFormat="false" ht="14.25" hidden="false" customHeight="false" outlineLevel="0" collapsed="false">
      <c r="A98" s="4" t="n">
        <v>7</v>
      </c>
      <c r="B98" s="81" t="n">
        <v>9</v>
      </c>
      <c r="C98" s="15" t="str">
        <f aca="false">LOOKUP(B98,H$8:H$35,F$8:F$35)</f>
        <v>Spiller 17</v>
      </c>
      <c r="D98" s="59" t="n">
        <f aca="false">INDEX(Y$40:Y$67,MATCH(C98,X$40:X$67,0))</f>
        <v>1</v>
      </c>
      <c r="E98" s="29" t="n">
        <f aca="false">INDEX(Z$40:Z$67,MATCH(C98,X$40:X$67,0))</f>
        <v>-15.5</v>
      </c>
      <c r="F98" s="82" t="n">
        <v>50</v>
      </c>
      <c r="G98" s="15" t="n">
        <f aca="false">F98-AVERAGE(F$97:F$100)</f>
        <v>3.5</v>
      </c>
      <c r="H98" s="55" t="n">
        <f aca="false">RANK(F98,F$97:F$100)</f>
        <v>2</v>
      </c>
      <c r="I98" s="29" t="n">
        <f aca="false">IF(H98=1,10,IF(H98=2,6,IF(H98=3,3,1)))</f>
        <v>6</v>
      </c>
      <c r="J98" s="60" t="n">
        <v>2</v>
      </c>
      <c r="K98" s="61" t="n">
        <v>6</v>
      </c>
      <c r="M98" s="55" t="n">
        <f aca="false">D98+K98</f>
        <v>7</v>
      </c>
      <c r="N98" s="29" t="n">
        <f aca="false">E98+G98</f>
        <v>-12</v>
      </c>
      <c r="O98" s="15" t="n">
        <f aca="false">RANK(M98,M$73:M$100,0)</f>
        <v>20</v>
      </c>
      <c r="P98" s="61" t="n">
        <v>21</v>
      </c>
      <c r="Q98" s="4"/>
      <c r="R98" s="55" t="n">
        <f aca="false">P98</f>
        <v>21</v>
      </c>
      <c r="S98" s="59" t="str">
        <f aca="false">C98</f>
        <v>Spiller 17</v>
      </c>
      <c r="T98" s="59" t="n">
        <f aca="false">M98</f>
        <v>7</v>
      </c>
      <c r="U98" s="29" t="n">
        <f aca="false">N98</f>
        <v>-12</v>
      </c>
      <c r="W98" s="62" t="n">
        <v>24</v>
      </c>
      <c r="X98" s="63" t="s">
        <v>38</v>
      </c>
      <c r="Y98" s="63" t="n">
        <v>4</v>
      </c>
      <c r="Z98" s="61" t="n">
        <v>-5.25</v>
      </c>
      <c r="AB98" s="64" t="n">
        <v>26</v>
      </c>
      <c r="AC98" s="63" t="s">
        <v>13</v>
      </c>
      <c r="AD98" s="83" t="n">
        <v>4</v>
      </c>
      <c r="AE98" s="66" t="n">
        <v>-12.75</v>
      </c>
    </row>
    <row r="99" customFormat="false" ht="14.25" hidden="false" customHeight="false" outlineLevel="0" collapsed="false">
      <c r="A99" s="4" t="n">
        <v>7</v>
      </c>
      <c r="B99" s="81" t="n">
        <v>14</v>
      </c>
      <c r="C99" s="15" t="str">
        <f aca="false">LOOKUP(B99,H$8:H$35,F$8:F$35)</f>
        <v>Spiller 03</v>
      </c>
      <c r="D99" s="59" t="n">
        <f aca="false">INDEX(Y$40:Y$67,MATCH(C99,X$40:X$67,0))</f>
        <v>10</v>
      </c>
      <c r="E99" s="29" t="n">
        <f aca="false">INDEX(Z$40:Z$67,MATCH(C99,X$40:X$67,0))</f>
        <v>3.75</v>
      </c>
      <c r="F99" s="82" t="n">
        <v>30</v>
      </c>
      <c r="G99" s="15" t="n">
        <f aca="false">F99-AVERAGE(F$97:F$100)</f>
        <v>-16.5</v>
      </c>
      <c r="H99" s="55" t="n">
        <f aca="false">RANK(F99,F$97:F$100)</f>
        <v>4</v>
      </c>
      <c r="I99" s="29" t="n">
        <f aca="false">IF(H99=1,10,IF(H99=2,6,IF(H99=3,3,1)))</f>
        <v>1</v>
      </c>
      <c r="J99" s="60" t="n">
        <v>4</v>
      </c>
      <c r="K99" s="61" t="n">
        <v>1</v>
      </c>
      <c r="M99" s="55" t="n">
        <f aca="false">D99+K99</f>
        <v>11</v>
      </c>
      <c r="N99" s="29" t="n">
        <f aca="false">E99+G99</f>
        <v>-12.75</v>
      </c>
      <c r="O99" s="15" t="n">
        <f aca="false">RANK(M99,M$73:M$100,0)</f>
        <v>12</v>
      </c>
      <c r="P99" s="61" t="n">
        <v>15</v>
      </c>
      <c r="Q99" s="4"/>
      <c r="R99" s="55" t="n">
        <f aca="false">P99</f>
        <v>15</v>
      </c>
      <c r="S99" s="59" t="str">
        <f aca="false">C99</f>
        <v>Spiller 03</v>
      </c>
      <c r="T99" s="59" t="n">
        <f aca="false">M99</f>
        <v>11</v>
      </c>
      <c r="U99" s="29" t="n">
        <f aca="false">N99</f>
        <v>-12.75</v>
      </c>
      <c r="W99" s="62" t="n">
        <v>6</v>
      </c>
      <c r="X99" s="63" t="s">
        <v>23</v>
      </c>
      <c r="Y99" s="63" t="n">
        <v>16</v>
      </c>
      <c r="Z99" s="61" t="n">
        <v>13.25</v>
      </c>
      <c r="AB99" s="64" t="n">
        <v>27</v>
      </c>
      <c r="AC99" s="63" t="s">
        <v>34</v>
      </c>
      <c r="AD99" s="83" t="n">
        <v>4</v>
      </c>
      <c r="AE99" s="66" t="n">
        <v>-16</v>
      </c>
    </row>
    <row r="100" customFormat="false" ht="14.25" hidden="false" customHeight="false" outlineLevel="0" collapsed="false">
      <c r="A100" s="67" t="n">
        <v>7</v>
      </c>
      <c r="B100" s="84" t="n">
        <v>23</v>
      </c>
      <c r="C100" s="23" t="str">
        <f aca="false">LOOKUP(B100,H$8:H$35,F$8:F$35)</f>
        <v>Spiller 19</v>
      </c>
      <c r="D100" s="70" t="n">
        <f aca="false">INDEX(Y$40:Y$67,MATCH(C100,X$40:X$67,0))</f>
        <v>10</v>
      </c>
      <c r="E100" s="31" t="n">
        <f aca="false">INDEX(Z$40:Z$67,MATCH(C100,X$40:X$67,0))</f>
        <v>12.5</v>
      </c>
      <c r="F100" s="85" t="n">
        <v>56</v>
      </c>
      <c r="G100" s="23" t="n">
        <f aca="false">F100-AVERAGE(F$97:F$100)</f>
        <v>9.5</v>
      </c>
      <c r="H100" s="68" t="n">
        <f aca="false">RANK(F100,F$97:F$100)</f>
        <v>1</v>
      </c>
      <c r="I100" s="31" t="n">
        <f aca="false">IF(H100=1,10,IF(H100=2,6,IF(H100=3,3,1)))</f>
        <v>10</v>
      </c>
      <c r="J100" s="71" t="n">
        <v>1</v>
      </c>
      <c r="K100" s="72" t="n">
        <v>10</v>
      </c>
      <c r="M100" s="68" t="n">
        <f aca="false">D100+K100</f>
        <v>20</v>
      </c>
      <c r="N100" s="31" t="n">
        <f aca="false">E100+G100</f>
        <v>22</v>
      </c>
      <c r="O100" s="23" t="n">
        <f aca="false">RANK(M100,M$73:M$100,0)</f>
        <v>1</v>
      </c>
      <c r="P100" s="72" t="n">
        <v>1</v>
      </c>
      <c r="Q100" s="4"/>
      <c r="R100" s="68" t="n">
        <f aca="false">P100</f>
        <v>1</v>
      </c>
      <c r="S100" s="70" t="str">
        <f aca="false">C100</f>
        <v>Spiller 19</v>
      </c>
      <c r="T100" s="70" t="n">
        <f aca="false">M100</f>
        <v>20</v>
      </c>
      <c r="U100" s="31" t="n">
        <f aca="false">N100</f>
        <v>22</v>
      </c>
      <c r="W100" s="73" t="n">
        <v>8</v>
      </c>
      <c r="X100" s="74" t="s">
        <v>37</v>
      </c>
      <c r="Y100" s="74" t="n">
        <v>13</v>
      </c>
      <c r="Z100" s="72" t="n">
        <v>14.5</v>
      </c>
      <c r="AB100" s="75" t="n">
        <v>28</v>
      </c>
      <c r="AC100" s="74" t="s">
        <v>18</v>
      </c>
      <c r="AD100" s="86" t="n">
        <v>2</v>
      </c>
      <c r="AE100" s="77" t="n">
        <v>-11.5</v>
      </c>
    </row>
    <row r="103" customFormat="false" ht="14.25" hidden="false" customHeight="false" outlineLevel="0" collapsed="false">
      <c r="A103" s="2" t="s">
        <v>75</v>
      </c>
      <c r="J103" s="3" t="s">
        <v>76</v>
      </c>
      <c r="P103" s="3" t="s">
        <v>77</v>
      </c>
      <c r="W103" s="3" t="s">
        <v>78</v>
      </c>
      <c r="AB103" s="3" t="s">
        <v>79</v>
      </c>
    </row>
    <row r="104" customFormat="false" ht="14.25" hidden="false" customHeight="false" outlineLevel="0" collapsed="false">
      <c r="A104" s="38" t="s">
        <v>61</v>
      </c>
      <c r="M104" s="38" t="s">
        <v>80</v>
      </c>
      <c r="P104" s="38"/>
      <c r="R104" s="38" t="s">
        <v>81</v>
      </c>
      <c r="W104" s="39" t="s">
        <v>82</v>
      </c>
      <c r="AB104" s="39" t="s">
        <v>83</v>
      </c>
    </row>
    <row r="105" customFormat="false" ht="14.25" hidden="false" customHeight="false" outlineLevel="0" collapsed="false">
      <c r="A105" s="4" t="s">
        <v>47</v>
      </c>
      <c r="B105" s="39" t="s">
        <v>9</v>
      </c>
      <c r="C105" s="4" t="s">
        <v>7</v>
      </c>
      <c r="D105" s="4" t="s">
        <v>71</v>
      </c>
      <c r="E105" s="4" t="s">
        <v>72</v>
      </c>
      <c r="F105" s="39" t="s">
        <v>84</v>
      </c>
      <c r="G105" s="39" t="s">
        <v>85</v>
      </c>
      <c r="H105" s="39" t="s">
        <v>86</v>
      </c>
      <c r="I105" s="39" t="s">
        <v>87</v>
      </c>
      <c r="J105" s="5" t="s">
        <v>86</v>
      </c>
      <c r="K105" s="5" t="s">
        <v>88</v>
      </c>
      <c r="M105" s="39" t="s">
        <v>89</v>
      </c>
      <c r="N105" s="39" t="s">
        <v>90</v>
      </c>
      <c r="O105" s="39" t="s">
        <v>91</v>
      </c>
      <c r="P105" s="39" t="s">
        <v>92</v>
      </c>
      <c r="R105" s="39" t="s">
        <v>92</v>
      </c>
      <c r="S105" s="39" t="s">
        <v>7</v>
      </c>
      <c r="T105" s="39" t="s">
        <v>89</v>
      </c>
      <c r="U105" s="39" t="s">
        <v>90</v>
      </c>
      <c r="W105" s="39" t="s">
        <v>92</v>
      </c>
      <c r="X105" s="39" t="s">
        <v>7</v>
      </c>
      <c r="Y105" s="39" t="s">
        <v>89</v>
      </c>
      <c r="Z105" s="39" t="s">
        <v>90</v>
      </c>
      <c r="AB105" s="39" t="s">
        <v>92</v>
      </c>
      <c r="AC105" s="39" t="s">
        <v>7</v>
      </c>
      <c r="AD105" s="39" t="s">
        <v>89</v>
      </c>
      <c r="AE105" s="39" t="s">
        <v>90</v>
      </c>
    </row>
    <row r="106" customFormat="false" ht="14.25" hidden="false" customHeight="false" outlineLevel="0" collapsed="false">
      <c r="A106" s="40" t="n">
        <v>1</v>
      </c>
      <c r="B106" s="78" t="n">
        <v>6</v>
      </c>
      <c r="C106" s="45" t="str">
        <f aca="false">LOOKUP(B106,H$8:H$35,F$8:F$35)</f>
        <v>Spiller 10</v>
      </c>
      <c r="D106" s="46" t="n">
        <f aca="false">INDEX(Y$73:Y$100,MATCH(C106,X$73:X$100,0))</f>
        <v>16</v>
      </c>
      <c r="E106" s="46" t="n">
        <f aca="false">INDEX(Z$73:Z$100,MATCH(C106,X$73:X$100,0))</f>
        <v>17.5</v>
      </c>
      <c r="F106" s="79" t="n">
        <v>34</v>
      </c>
      <c r="G106" s="45" t="n">
        <f aca="false">F106-AVERAGE(F$106:F$109)</f>
        <v>-10.5</v>
      </c>
      <c r="H106" s="41" t="n">
        <f aca="false">RANK(F106,F$106:F$109)</f>
        <v>4</v>
      </c>
      <c r="I106" s="49" t="n">
        <f aca="false">IF(H106=1,10,IF(H106=2,6,IF(H106=3,3,1)))</f>
        <v>1</v>
      </c>
      <c r="J106" s="47" t="n">
        <v>4</v>
      </c>
      <c r="K106" s="48" t="n">
        <v>1</v>
      </c>
      <c r="M106" s="41" t="n">
        <f aca="false">D106+K106</f>
        <v>17</v>
      </c>
      <c r="N106" s="49" t="n">
        <f aca="false">E106+G106</f>
        <v>7</v>
      </c>
      <c r="O106" s="45" t="n">
        <f aca="false">RANK(M106,M$106:M$133,0)</f>
        <v>12</v>
      </c>
      <c r="P106" s="48" t="n">
        <v>12</v>
      </c>
      <c r="Q106" s="4"/>
      <c r="R106" s="41" t="n">
        <f aca="false">P106</f>
        <v>12</v>
      </c>
      <c r="S106" s="46" t="str">
        <f aca="false">C106</f>
        <v>Spiller 10</v>
      </c>
      <c r="T106" s="46" t="n">
        <f aca="false">M106</f>
        <v>17</v>
      </c>
      <c r="U106" s="49" t="n">
        <f aca="false">N106</f>
        <v>7</v>
      </c>
      <c r="W106" s="50" t="n">
        <v>27</v>
      </c>
      <c r="X106" s="51" t="s">
        <v>11</v>
      </c>
      <c r="Y106" s="51" t="n">
        <v>7</v>
      </c>
      <c r="Z106" s="48" t="n">
        <v>-18.25</v>
      </c>
      <c r="AB106" s="52" t="n">
        <v>1</v>
      </c>
      <c r="AC106" s="51" t="s">
        <v>30</v>
      </c>
      <c r="AD106" s="80" t="n">
        <v>30</v>
      </c>
      <c r="AE106" s="54" t="n">
        <v>19</v>
      </c>
    </row>
    <row r="107" customFormat="false" ht="14.25" hidden="false" customHeight="false" outlineLevel="0" collapsed="false">
      <c r="A107" s="4" t="n">
        <v>1</v>
      </c>
      <c r="B107" s="81" t="n">
        <v>20</v>
      </c>
      <c r="C107" s="15" t="str">
        <f aca="false">LOOKUP(B107,H$8:H$35,F$8:F$35)</f>
        <v>Spiller 20</v>
      </c>
      <c r="D107" s="59" t="n">
        <f aca="false">INDEX(Y$73:Y$100,MATCH(C107,X$73:X$100,0))</f>
        <v>4</v>
      </c>
      <c r="E107" s="29" t="n">
        <f aca="false">INDEX(Z$73:Z$100,MATCH(C107,X$73:X$100,0))</f>
        <v>-16</v>
      </c>
      <c r="F107" s="82" t="n">
        <v>51</v>
      </c>
      <c r="G107" s="15" t="n">
        <f aca="false">F107-AVERAGE(F$106:F$109)</f>
        <v>6.5</v>
      </c>
      <c r="H107" s="55" t="n">
        <f aca="false">RANK(F107,F$106:F$109)</f>
        <v>1</v>
      </c>
      <c r="I107" s="29" t="n">
        <f aca="false">IF(H107=1,10,IF(H107=2,6,IF(H107=3,3,1)))</f>
        <v>10</v>
      </c>
      <c r="J107" s="60" t="n">
        <v>1</v>
      </c>
      <c r="K107" s="61" t="n">
        <v>10</v>
      </c>
      <c r="M107" s="55" t="n">
        <f aca="false">D107+K107</f>
        <v>14</v>
      </c>
      <c r="N107" s="29" t="n">
        <f aca="false">E107+G107</f>
        <v>-9.5</v>
      </c>
      <c r="O107" s="15" t="n">
        <f aca="false">RANK(M107,M$106:M$133,0)</f>
        <v>19</v>
      </c>
      <c r="P107" s="61" t="n">
        <v>21</v>
      </c>
      <c r="Q107" s="4"/>
      <c r="R107" s="55" t="n">
        <f aca="false">P107</f>
        <v>21</v>
      </c>
      <c r="S107" s="59" t="str">
        <f aca="false">C107</f>
        <v>Spiller 20</v>
      </c>
      <c r="T107" s="59" t="n">
        <f aca="false">M107</f>
        <v>14</v>
      </c>
      <c r="U107" s="29" t="n">
        <f aca="false">N107</f>
        <v>-9.5</v>
      </c>
      <c r="W107" s="62" t="n">
        <v>19</v>
      </c>
      <c r="X107" s="63" t="s">
        <v>13</v>
      </c>
      <c r="Y107" s="63" t="n">
        <v>14</v>
      </c>
      <c r="Z107" s="61" t="n">
        <v>1.25</v>
      </c>
      <c r="AB107" s="64" t="n">
        <v>2</v>
      </c>
      <c r="AC107" s="63" t="s">
        <v>33</v>
      </c>
      <c r="AD107" s="83" t="n">
        <v>23</v>
      </c>
      <c r="AE107" s="66" t="n">
        <v>12</v>
      </c>
    </row>
    <row r="108" customFormat="false" ht="14.25" hidden="false" customHeight="false" outlineLevel="0" collapsed="false">
      <c r="A108" s="4" t="n">
        <v>1</v>
      </c>
      <c r="B108" s="81" t="n">
        <v>22</v>
      </c>
      <c r="C108" s="15" t="str">
        <f aca="false">LOOKUP(B108,H$8:H$35,F$8:F$35)</f>
        <v>Spiller 21</v>
      </c>
      <c r="D108" s="59" t="n">
        <f aca="false">INDEX(Y$73:Y$100,MATCH(C108,X$73:X$100,0))</f>
        <v>13</v>
      </c>
      <c r="E108" s="29" t="n">
        <f aca="false">INDEX(Z$73:Z$100,MATCH(C108,X$73:X$100,0))</f>
        <v>-5.5</v>
      </c>
      <c r="F108" s="82" t="n">
        <v>45</v>
      </c>
      <c r="G108" s="15" t="n">
        <f aca="false">F108-AVERAGE(F$106:F$109)</f>
        <v>0.5</v>
      </c>
      <c r="H108" s="55" t="n">
        <f aca="false">RANK(F108,F$106:F$109)</f>
        <v>3</v>
      </c>
      <c r="I108" s="29" t="n">
        <f aca="false">IF(H108=1,10,IF(H108=2,6,IF(H108=3,3,1)))</f>
        <v>3</v>
      </c>
      <c r="J108" s="60" t="n">
        <v>3</v>
      </c>
      <c r="K108" s="61" t="n">
        <v>3</v>
      </c>
      <c r="M108" s="55" t="n">
        <f aca="false">D108+K108</f>
        <v>16</v>
      </c>
      <c r="N108" s="29" t="n">
        <f aca="false">E108+G108</f>
        <v>-5</v>
      </c>
      <c r="O108" s="15" t="n">
        <f aca="false">RANK(M108,M$106:M$133,0)</f>
        <v>16</v>
      </c>
      <c r="P108" s="61" t="n">
        <v>16</v>
      </c>
      <c r="Q108" s="4"/>
      <c r="R108" s="55" t="n">
        <f aca="false">P108</f>
        <v>16</v>
      </c>
      <c r="S108" s="59" t="str">
        <f aca="false">C108</f>
        <v>Spiller 21</v>
      </c>
      <c r="T108" s="59" t="n">
        <f aca="false">M108</f>
        <v>16</v>
      </c>
      <c r="U108" s="29" t="n">
        <f aca="false">N108</f>
        <v>-5</v>
      </c>
      <c r="W108" s="62" t="n">
        <v>14</v>
      </c>
      <c r="X108" s="63" t="s">
        <v>15</v>
      </c>
      <c r="Y108" s="63" t="n">
        <v>17</v>
      </c>
      <c r="Z108" s="61" t="n">
        <v>-3.75</v>
      </c>
      <c r="AB108" s="64" t="n">
        <v>3</v>
      </c>
      <c r="AC108" s="63" t="s">
        <v>32</v>
      </c>
      <c r="AD108" s="83" t="n">
        <v>22</v>
      </c>
      <c r="AE108" s="66" t="n">
        <v>16</v>
      </c>
    </row>
    <row r="109" customFormat="false" ht="14.25" hidden="false" customHeight="false" outlineLevel="0" collapsed="false">
      <c r="A109" s="67" t="n">
        <v>1</v>
      </c>
      <c r="B109" s="84" t="n">
        <v>24</v>
      </c>
      <c r="C109" s="23" t="str">
        <f aca="false">LOOKUP(B109,H$8:H$35,F$8:F$35)</f>
        <v>Spiller 28</v>
      </c>
      <c r="D109" s="70" t="n">
        <f aca="false">INDEX(Y$73:Y$100,MATCH(C109,X$73:X$100,0))</f>
        <v>13</v>
      </c>
      <c r="E109" s="31" t="n">
        <f aca="false">INDEX(Z$73:Z$100,MATCH(C109,X$73:X$100,0))</f>
        <v>14.5</v>
      </c>
      <c r="F109" s="85" t="n">
        <v>48</v>
      </c>
      <c r="G109" s="23" t="n">
        <f aca="false">F109-AVERAGE(F$106:F$109)</f>
        <v>3.5</v>
      </c>
      <c r="H109" s="68" t="n">
        <f aca="false">RANK(F109,F$106:F$109)</f>
        <v>2</v>
      </c>
      <c r="I109" s="31" t="n">
        <f aca="false">IF(H109=1,10,IF(H109=2,6,IF(H109=3,3,1)))</f>
        <v>6</v>
      </c>
      <c r="J109" s="71" t="n">
        <v>2</v>
      </c>
      <c r="K109" s="72" t="n">
        <v>6</v>
      </c>
      <c r="M109" s="68" t="n">
        <f aca="false">D109+K109</f>
        <v>19</v>
      </c>
      <c r="N109" s="31" t="n">
        <f aca="false">E109+G109</f>
        <v>18</v>
      </c>
      <c r="O109" s="23" t="n">
        <f aca="false">RANK(M109,M$106:M$133,0)</f>
        <v>7</v>
      </c>
      <c r="P109" s="72" t="n">
        <v>7</v>
      </c>
      <c r="Q109" s="4"/>
      <c r="R109" s="68" t="n">
        <f aca="false">P109</f>
        <v>7</v>
      </c>
      <c r="S109" s="70" t="str">
        <f aca="false">C109</f>
        <v>Spiller 28</v>
      </c>
      <c r="T109" s="70" t="n">
        <f aca="false">M109</f>
        <v>19</v>
      </c>
      <c r="U109" s="31" t="n">
        <f aca="false">N109</f>
        <v>18</v>
      </c>
      <c r="W109" s="73" t="n">
        <v>20</v>
      </c>
      <c r="X109" s="74" t="s">
        <v>17</v>
      </c>
      <c r="Y109" s="74" t="n">
        <v>14</v>
      </c>
      <c r="Z109" s="72" t="n">
        <v>-7.75</v>
      </c>
      <c r="AB109" s="75" t="n">
        <v>4</v>
      </c>
      <c r="AC109" s="74" t="s">
        <v>14</v>
      </c>
      <c r="AD109" s="86" t="n">
        <v>22</v>
      </c>
      <c r="AE109" s="77" t="n">
        <v>12.25</v>
      </c>
    </row>
    <row r="110" customFormat="false" ht="14.25" hidden="false" customHeight="false" outlineLevel="0" collapsed="false">
      <c r="A110" s="4" t="n">
        <v>2</v>
      </c>
      <c r="B110" s="81" t="n">
        <v>12</v>
      </c>
      <c r="C110" s="15" t="str">
        <f aca="false">LOOKUP(B110,H$8:H$35,F$8:F$35)</f>
        <v>Spiller 07</v>
      </c>
      <c r="D110" s="59" t="n">
        <f aca="false">INDEX(Y$73:Y$100,MATCH(C110,X$73:X$100,0))</f>
        <v>11</v>
      </c>
      <c r="E110" s="29" t="n">
        <f aca="false">INDEX(Z$73:Z$100,MATCH(C110,X$73:X$100,0))</f>
        <v>-1.5</v>
      </c>
      <c r="F110" s="82" t="n">
        <v>28</v>
      </c>
      <c r="G110" s="15" t="n">
        <f aca="false">F110-AVERAGE(F$110:F$113)</f>
        <v>-15</v>
      </c>
      <c r="H110" s="55" t="n">
        <f aca="false">RANK(F110,F$110:F$113)</f>
        <v>4</v>
      </c>
      <c r="I110" s="29" t="n">
        <f aca="false">IF(H110=1,10,IF(H110=2,6,IF(H110=3,3,1)))</f>
        <v>1</v>
      </c>
      <c r="J110" s="60" t="n">
        <v>4</v>
      </c>
      <c r="K110" s="61" t="n">
        <v>1</v>
      </c>
      <c r="M110" s="55" t="n">
        <f aca="false">D110+K110</f>
        <v>12</v>
      </c>
      <c r="N110" s="29" t="n">
        <f aca="false">E110+G110</f>
        <v>-16.5</v>
      </c>
      <c r="O110" s="15" t="n">
        <f aca="false">RANK(M110,M$106:M$133,0)</f>
        <v>22</v>
      </c>
      <c r="P110" s="61" t="n">
        <v>23</v>
      </c>
      <c r="Q110" s="4"/>
      <c r="R110" s="55" t="n">
        <f aca="false">P110</f>
        <v>23</v>
      </c>
      <c r="S110" s="59" t="str">
        <f aca="false">C110</f>
        <v>Spiller 07</v>
      </c>
      <c r="T110" s="59" t="n">
        <f aca="false">M110</f>
        <v>12</v>
      </c>
      <c r="U110" s="29" t="n">
        <f aca="false">N110</f>
        <v>-16.5</v>
      </c>
      <c r="W110" s="62" t="n">
        <v>6</v>
      </c>
      <c r="X110" s="63" t="s">
        <v>12</v>
      </c>
      <c r="Y110" s="63" t="n">
        <v>21</v>
      </c>
      <c r="Z110" s="61" t="n">
        <v>23.25</v>
      </c>
      <c r="AB110" s="64" t="n">
        <v>5</v>
      </c>
      <c r="AC110" s="63" t="s">
        <v>26</v>
      </c>
      <c r="AD110" s="83" t="n">
        <v>22</v>
      </c>
      <c r="AE110" s="66" t="n">
        <v>5.25</v>
      </c>
    </row>
    <row r="111" customFormat="false" ht="14.25" hidden="false" customHeight="false" outlineLevel="0" collapsed="false">
      <c r="A111" s="4" t="n">
        <v>2</v>
      </c>
      <c r="B111" s="81" t="n">
        <v>23</v>
      </c>
      <c r="C111" s="15" t="str">
        <f aca="false">LOOKUP(B111,H$8:H$35,F$8:F$35)</f>
        <v>Spiller 19</v>
      </c>
      <c r="D111" s="59" t="n">
        <f aca="false">INDEX(Y$73:Y$100,MATCH(C111,X$73:X$100,0))</f>
        <v>20</v>
      </c>
      <c r="E111" s="29" t="n">
        <f aca="false">INDEX(Z$73:Z$100,MATCH(C111,X$73:X$100,0))</f>
        <v>22</v>
      </c>
      <c r="F111" s="82" t="n">
        <v>33</v>
      </c>
      <c r="G111" s="15" t="n">
        <f aca="false">F111-AVERAGE(F$110:F$113)</f>
        <v>-10</v>
      </c>
      <c r="H111" s="55" t="n">
        <f aca="false">RANK(F111,F$110:F$113)</f>
        <v>3</v>
      </c>
      <c r="I111" s="29" t="n">
        <f aca="false">IF(H111=1,10,IF(H111=2,6,IF(H111=3,3,1)))</f>
        <v>3</v>
      </c>
      <c r="J111" s="60" t="n">
        <v>3</v>
      </c>
      <c r="K111" s="61" t="n">
        <v>3</v>
      </c>
      <c r="M111" s="55" t="n">
        <f aca="false">D111+K111</f>
        <v>23</v>
      </c>
      <c r="N111" s="29" t="n">
        <f aca="false">E111+G111</f>
        <v>12</v>
      </c>
      <c r="O111" s="15" t="n">
        <f aca="false">RANK(M111,M$106:M$133,0)</f>
        <v>2</v>
      </c>
      <c r="P111" s="61" t="n">
        <v>2</v>
      </c>
      <c r="Q111" s="4"/>
      <c r="R111" s="55" t="n">
        <f aca="false">P111</f>
        <v>2</v>
      </c>
      <c r="S111" s="59" t="str">
        <f aca="false">C111</f>
        <v>Spiller 19</v>
      </c>
      <c r="T111" s="59" t="n">
        <f aca="false">M111</f>
        <v>23</v>
      </c>
      <c r="U111" s="29" t="n">
        <f aca="false">N111</f>
        <v>12</v>
      </c>
      <c r="W111" s="62" t="n">
        <v>18</v>
      </c>
      <c r="X111" s="63" t="s">
        <v>19</v>
      </c>
      <c r="Y111" s="63" t="n">
        <v>15</v>
      </c>
      <c r="Z111" s="61" t="n">
        <v>-3.75</v>
      </c>
      <c r="AB111" s="64" t="n">
        <v>6</v>
      </c>
      <c r="AC111" s="63" t="s">
        <v>12</v>
      </c>
      <c r="AD111" s="83" t="n">
        <v>21</v>
      </c>
      <c r="AE111" s="66" t="n">
        <v>23.25</v>
      </c>
    </row>
    <row r="112" customFormat="false" ht="14.25" hidden="false" customHeight="false" outlineLevel="0" collapsed="false">
      <c r="A112" s="4" t="n">
        <v>2</v>
      </c>
      <c r="B112" s="81" t="n">
        <v>27</v>
      </c>
      <c r="C112" s="15" t="str">
        <f aca="false">LOOKUP(B112,H$8:H$35,F$8:F$35)</f>
        <v>Spiller 23</v>
      </c>
      <c r="D112" s="59" t="n">
        <f aca="false">INDEX(Y$73:Y$100,MATCH(C112,X$73:X$100,0))</f>
        <v>9</v>
      </c>
      <c r="E112" s="29" t="n">
        <f aca="false">INDEX(Z$73:Z$100,MATCH(C112,X$73:X$100,0))</f>
        <v>-9.5</v>
      </c>
      <c r="F112" s="82" t="n">
        <v>57</v>
      </c>
      <c r="G112" s="15" t="n">
        <f aca="false">F112-AVERAGE(F$110:F$113)</f>
        <v>14</v>
      </c>
      <c r="H112" s="55" t="n">
        <f aca="false">RANK(F112,F$110:F$113)</f>
        <v>1</v>
      </c>
      <c r="I112" s="29" t="n">
        <f aca="false">IF(H112=1,10,IF(H112=2,6,IF(H112=3,3,1)))</f>
        <v>10</v>
      </c>
      <c r="J112" s="60" t="n">
        <v>1</v>
      </c>
      <c r="K112" s="61" t="n">
        <v>10</v>
      </c>
      <c r="M112" s="55" t="n">
        <f aca="false">D112+K112</f>
        <v>19</v>
      </c>
      <c r="N112" s="29" t="n">
        <f aca="false">E112+G112</f>
        <v>4.5</v>
      </c>
      <c r="O112" s="15" t="n">
        <f aca="false">RANK(M112,M$106:M$133,0)</f>
        <v>7</v>
      </c>
      <c r="P112" s="61" t="n">
        <v>9</v>
      </c>
      <c r="Q112" s="4"/>
      <c r="R112" s="55" t="n">
        <f aca="false">P112</f>
        <v>9</v>
      </c>
      <c r="S112" s="59" t="str">
        <f aca="false">C112</f>
        <v>Spiller 23</v>
      </c>
      <c r="T112" s="59" t="n">
        <f aca="false">M112</f>
        <v>19</v>
      </c>
      <c r="U112" s="29" t="n">
        <f aca="false">N112</f>
        <v>4.5</v>
      </c>
      <c r="W112" s="62" t="n">
        <v>23</v>
      </c>
      <c r="X112" s="63" t="s">
        <v>21</v>
      </c>
      <c r="Y112" s="63" t="n">
        <v>12</v>
      </c>
      <c r="Z112" s="61" t="n">
        <v>-16.5</v>
      </c>
      <c r="AB112" s="64" t="n">
        <v>7</v>
      </c>
      <c r="AC112" s="63" t="s">
        <v>37</v>
      </c>
      <c r="AD112" s="83" t="n">
        <v>19</v>
      </c>
      <c r="AE112" s="66" t="n">
        <v>18</v>
      </c>
    </row>
    <row r="113" customFormat="false" ht="14.25" hidden="false" customHeight="false" outlineLevel="0" collapsed="false">
      <c r="A113" s="67" t="n">
        <v>2</v>
      </c>
      <c r="B113" s="84" t="n">
        <v>28</v>
      </c>
      <c r="C113" s="23" t="str">
        <f aca="false">LOOKUP(B113,H$8:H$35,F$8:F$35)</f>
        <v>Spiller 16</v>
      </c>
      <c r="D113" s="70" t="n">
        <f aca="false">INDEX(Y$73:Y$100,MATCH(C113,X$73:X$100,0))</f>
        <v>12</v>
      </c>
      <c r="E113" s="31" t="n">
        <f aca="false">INDEX(Z$73:Z$100,MATCH(C113,X$73:X$100,0))</f>
        <v>2.25</v>
      </c>
      <c r="F113" s="85" t="n">
        <v>54</v>
      </c>
      <c r="G113" s="23" t="n">
        <f aca="false">F113-AVERAGE(F$110:F$113)</f>
        <v>11</v>
      </c>
      <c r="H113" s="68" t="n">
        <f aca="false">RANK(F113,F$110:F$113)</f>
        <v>2</v>
      </c>
      <c r="I113" s="31" t="n">
        <f aca="false">IF(H113=1,10,IF(H113=2,6,IF(H113=3,3,1)))</f>
        <v>6</v>
      </c>
      <c r="J113" s="71" t="n">
        <v>2</v>
      </c>
      <c r="K113" s="72" t="n">
        <v>6</v>
      </c>
      <c r="M113" s="68" t="n">
        <f aca="false">D113+K113</f>
        <v>18</v>
      </c>
      <c r="N113" s="31" t="n">
        <f aca="false">E113+G113</f>
        <v>13.25</v>
      </c>
      <c r="O113" s="23" t="n">
        <f aca="false">RANK(M113,M$106:M$133,0)</f>
        <v>11</v>
      </c>
      <c r="P113" s="72" t="n">
        <v>11</v>
      </c>
      <c r="Q113" s="4"/>
      <c r="R113" s="68" t="n">
        <f aca="false">P113</f>
        <v>11</v>
      </c>
      <c r="S113" s="70" t="str">
        <f aca="false">C113</f>
        <v>Spiller 16</v>
      </c>
      <c r="T113" s="70" t="n">
        <f aca="false">M113</f>
        <v>18</v>
      </c>
      <c r="U113" s="31" t="n">
        <f aca="false">N113</f>
        <v>13.25</v>
      </c>
      <c r="W113" s="73" t="n">
        <v>28</v>
      </c>
      <c r="X113" s="74" t="s">
        <v>18</v>
      </c>
      <c r="Y113" s="74" t="n">
        <v>3</v>
      </c>
      <c r="Z113" s="72" t="n">
        <v>-24.5</v>
      </c>
      <c r="AB113" s="75" t="n">
        <v>8</v>
      </c>
      <c r="AC113" s="74" t="s">
        <v>22</v>
      </c>
      <c r="AD113" s="86" t="n">
        <v>19</v>
      </c>
      <c r="AE113" s="77" t="n">
        <v>11.75</v>
      </c>
    </row>
    <row r="114" customFormat="false" ht="14.25" hidden="false" customHeight="false" outlineLevel="0" collapsed="false">
      <c r="A114" s="4" t="n">
        <v>3</v>
      </c>
      <c r="B114" s="81" t="n">
        <v>3</v>
      </c>
      <c r="C114" s="15" t="str">
        <f aca="false">LOOKUP(B114,H$8:H$35,F$8:F$35)</f>
        <v>Spiller 11</v>
      </c>
      <c r="D114" s="59" t="n">
        <f aca="false">INDEX(Y$73:Y$100,MATCH(C114,X$73:X$100,0))</f>
        <v>7</v>
      </c>
      <c r="E114" s="29" t="n">
        <f aca="false">INDEX(Z$73:Z$100,MATCH(C114,X$73:X$100,0))</f>
        <v>-5.5</v>
      </c>
      <c r="F114" s="82" t="n">
        <v>50</v>
      </c>
      <c r="G114" s="15" t="n">
        <f aca="false">F114-AVERAGE(F$114:F$117)</f>
        <v>3.25</v>
      </c>
      <c r="H114" s="55" t="n">
        <f aca="false">RANK(F114,F$114:F$117)</f>
        <v>1</v>
      </c>
      <c r="I114" s="29" t="n">
        <f aca="false">IF(H114=1,10,IF(H114=2,6,IF(H114=3,3,1)))</f>
        <v>10</v>
      </c>
      <c r="J114" s="60" t="n">
        <v>1</v>
      </c>
      <c r="K114" s="61" t="n">
        <v>10</v>
      </c>
      <c r="M114" s="55" t="n">
        <f aca="false">D114+K114</f>
        <v>17</v>
      </c>
      <c r="N114" s="29" t="n">
        <f aca="false">E114+G114</f>
        <v>-2.25</v>
      </c>
      <c r="O114" s="15" t="n">
        <f aca="false">RANK(M114,M$106:M$133,0)</f>
        <v>12</v>
      </c>
      <c r="P114" s="61" t="n">
        <v>13</v>
      </c>
      <c r="Q114" s="4"/>
      <c r="R114" s="55" t="n">
        <f aca="false">P114</f>
        <v>13</v>
      </c>
      <c r="S114" s="59" t="str">
        <f aca="false">C114</f>
        <v>Spiller 11</v>
      </c>
      <c r="T114" s="59" t="n">
        <f aca="false">M114</f>
        <v>17</v>
      </c>
      <c r="U114" s="29" t="n">
        <f aca="false">N114</f>
        <v>-2.25</v>
      </c>
      <c r="W114" s="62" t="n">
        <v>22</v>
      </c>
      <c r="X114" s="63" t="s">
        <v>24</v>
      </c>
      <c r="Y114" s="63" t="n">
        <v>12</v>
      </c>
      <c r="Z114" s="61" t="n">
        <v>-2.75</v>
      </c>
      <c r="AB114" s="64" t="n">
        <v>9</v>
      </c>
      <c r="AC114" s="63" t="s">
        <v>36</v>
      </c>
      <c r="AD114" s="83" t="n">
        <v>19</v>
      </c>
      <c r="AE114" s="66" t="n">
        <v>4.5</v>
      </c>
    </row>
    <row r="115" customFormat="false" ht="14.25" hidden="false" customHeight="false" outlineLevel="0" collapsed="false">
      <c r="A115" s="4" t="n">
        <v>3</v>
      </c>
      <c r="B115" s="81" t="n">
        <v>5</v>
      </c>
      <c r="C115" s="15" t="str">
        <f aca="false">LOOKUP(B115,H$8:H$35,F$8:F$35)</f>
        <v>Spiller 04</v>
      </c>
      <c r="D115" s="59" t="n">
        <f aca="false">INDEX(Y$73:Y$100,MATCH(C115,X$73:X$100,0))</f>
        <v>4</v>
      </c>
      <c r="E115" s="29" t="n">
        <f aca="false">INDEX(Z$73:Z$100,MATCH(C115,X$73:X$100,0))</f>
        <v>-11</v>
      </c>
      <c r="F115" s="82" t="n">
        <v>50</v>
      </c>
      <c r="G115" s="15" t="n">
        <f aca="false">F115-AVERAGE(F$114:F$117)</f>
        <v>3.25</v>
      </c>
      <c r="H115" s="55" t="n">
        <f aca="false">RANK(F115,F$114:F$117)</f>
        <v>1</v>
      </c>
      <c r="I115" s="29" t="n">
        <f aca="false">IF(H115=1,10,IF(H115=2,6,IF(H115=3,3,1)))</f>
        <v>10</v>
      </c>
      <c r="J115" s="60" t="n">
        <v>1</v>
      </c>
      <c r="K115" s="61" t="n">
        <v>10</v>
      </c>
      <c r="M115" s="55" t="n">
        <f aca="false">D115+K115</f>
        <v>14</v>
      </c>
      <c r="N115" s="29" t="n">
        <f aca="false">E115+G115</f>
        <v>-7.75</v>
      </c>
      <c r="O115" s="15" t="n">
        <f aca="false">RANK(M115,M$106:M$133,0)</f>
        <v>19</v>
      </c>
      <c r="P115" s="61" t="n">
        <v>20</v>
      </c>
      <c r="Q115" s="4"/>
      <c r="R115" s="55" t="n">
        <f aca="false">P115</f>
        <v>20</v>
      </c>
      <c r="S115" s="59" t="str">
        <f aca="false">C115</f>
        <v>Spiller 04</v>
      </c>
      <c r="T115" s="59" t="n">
        <f aca="false">M115</f>
        <v>14</v>
      </c>
      <c r="U115" s="29" t="n">
        <f aca="false">N115</f>
        <v>-7.75</v>
      </c>
      <c r="W115" s="62" t="n">
        <v>12</v>
      </c>
      <c r="X115" s="63" t="s">
        <v>20</v>
      </c>
      <c r="Y115" s="63" t="n">
        <v>17</v>
      </c>
      <c r="Z115" s="61" t="n">
        <v>7</v>
      </c>
      <c r="AB115" s="64" t="n">
        <v>10</v>
      </c>
      <c r="AC115" s="63" t="s">
        <v>23</v>
      </c>
      <c r="AD115" s="83" t="n">
        <v>19</v>
      </c>
      <c r="AE115" s="66" t="n">
        <v>3.25</v>
      </c>
    </row>
    <row r="116" customFormat="false" ht="14.25" hidden="false" customHeight="false" outlineLevel="0" collapsed="false">
      <c r="A116" s="4" t="n">
        <v>3</v>
      </c>
      <c r="B116" s="81" t="n">
        <v>9</v>
      </c>
      <c r="C116" s="15" t="str">
        <f aca="false">LOOKUP(B116,H$8:H$35,F$8:F$35)</f>
        <v>Spiller 17</v>
      </c>
      <c r="D116" s="59" t="n">
        <f aca="false">INDEX(Y$73:Y$100,MATCH(C116,X$73:X$100,0))</f>
        <v>7</v>
      </c>
      <c r="E116" s="29" t="n">
        <f aca="false">INDEX(Z$73:Z$100,MATCH(C116,X$73:X$100,0))</f>
        <v>-12</v>
      </c>
      <c r="F116" s="82" t="n">
        <v>50</v>
      </c>
      <c r="G116" s="15" t="n">
        <f aca="false">F116-AVERAGE(F$114:F$117)</f>
        <v>3.25</v>
      </c>
      <c r="H116" s="55" t="n">
        <f aca="false">RANK(F116,F$114:F$117)</f>
        <v>1</v>
      </c>
      <c r="I116" s="29" t="n">
        <f aca="false">IF(H116=1,10,IF(H116=2,6,IF(H116=3,3,1)))</f>
        <v>10</v>
      </c>
      <c r="J116" s="60" t="n">
        <v>1</v>
      </c>
      <c r="K116" s="61" t="n">
        <v>10</v>
      </c>
      <c r="M116" s="55" t="n">
        <f aca="false">D116+K116</f>
        <v>17</v>
      </c>
      <c r="N116" s="29" t="n">
        <f aca="false">E116+G116</f>
        <v>-8.75</v>
      </c>
      <c r="O116" s="15" t="n">
        <f aca="false">RANK(M116,M$106:M$133,0)</f>
        <v>12</v>
      </c>
      <c r="P116" s="61" t="n">
        <v>15</v>
      </c>
      <c r="Q116" s="4"/>
      <c r="R116" s="55" t="n">
        <f aca="false">P116</f>
        <v>15</v>
      </c>
      <c r="S116" s="59" t="str">
        <f aca="false">C116</f>
        <v>Spiller 17</v>
      </c>
      <c r="T116" s="59" t="n">
        <f aca="false">M116</f>
        <v>17</v>
      </c>
      <c r="U116" s="29" t="n">
        <f aca="false">N116</f>
        <v>-8.75</v>
      </c>
      <c r="W116" s="62" t="n">
        <v>13</v>
      </c>
      <c r="X116" s="63" t="s">
        <v>16</v>
      </c>
      <c r="Y116" s="63" t="n">
        <v>17</v>
      </c>
      <c r="Z116" s="61" t="n">
        <v>-2.25</v>
      </c>
      <c r="AB116" s="64" t="n">
        <v>11</v>
      </c>
      <c r="AC116" s="63" t="s">
        <v>31</v>
      </c>
      <c r="AD116" s="83" t="n">
        <v>18</v>
      </c>
      <c r="AE116" s="66" t="n">
        <v>13.25</v>
      </c>
    </row>
    <row r="117" customFormat="false" ht="14.25" hidden="false" customHeight="false" outlineLevel="0" collapsed="false">
      <c r="A117" s="67" t="n">
        <v>3</v>
      </c>
      <c r="B117" s="84" t="n">
        <v>19</v>
      </c>
      <c r="C117" s="23" t="str">
        <f aca="false">LOOKUP(B117,H$8:H$35,F$8:F$35)</f>
        <v>Spiller 01</v>
      </c>
      <c r="D117" s="70" t="n">
        <f aca="false">INDEX(Y$73:Y$100,MATCH(C117,X$73:X$100,0))</f>
        <v>6</v>
      </c>
      <c r="E117" s="31" t="n">
        <f aca="false">INDEX(Z$73:Z$100,MATCH(C117,X$73:X$100,0))</f>
        <v>-8.5</v>
      </c>
      <c r="F117" s="85" t="n">
        <v>37</v>
      </c>
      <c r="G117" s="23" t="n">
        <f aca="false">F117-AVERAGE(F$114:F$117)</f>
        <v>-9.75</v>
      </c>
      <c r="H117" s="68" t="n">
        <f aca="false">RANK(F117,F$114:F$117)</f>
        <v>4</v>
      </c>
      <c r="I117" s="31" t="n">
        <f aca="false">IF(H117=1,10,IF(H117=2,6,IF(H117=3,3,1)))</f>
        <v>1</v>
      </c>
      <c r="J117" s="71" t="n">
        <v>4</v>
      </c>
      <c r="K117" s="72" t="n">
        <v>1</v>
      </c>
      <c r="M117" s="68" t="n">
        <f aca="false">D117+K117</f>
        <v>7</v>
      </c>
      <c r="N117" s="31" t="n">
        <f aca="false">E117+G117</f>
        <v>-18.25</v>
      </c>
      <c r="O117" s="23" t="n">
        <f aca="false">RANK(M117,M$106:M$133,0)</f>
        <v>26</v>
      </c>
      <c r="P117" s="72" t="n">
        <v>27</v>
      </c>
      <c r="Q117" s="4"/>
      <c r="R117" s="68" t="n">
        <f aca="false">P117</f>
        <v>27</v>
      </c>
      <c r="S117" s="70" t="str">
        <f aca="false">C117</f>
        <v>Spiller 01</v>
      </c>
      <c r="T117" s="70" t="n">
        <f aca="false">M117</f>
        <v>7</v>
      </c>
      <c r="U117" s="31" t="n">
        <f aca="false">N117</f>
        <v>-18.25</v>
      </c>
      <c r="W117" s="73" t="n">
        <v>24</v>
      </c>
      <c r="X117" s="74" t="s">
        <v>28</v>
      </c>
      <c r="Y117" s="74" t="n">
        <v>10</v>
      </c>
      <c r="Z117" s="72" t="n">
        <v>-14.25</v>
      </c>
      <c r="AB117" s="75" t="n">
        <v>12</v>
      </c>
      <c r="AC117" s="74" t="s">
        <v>20</v>
      </c>
      <c r="AD117" s="86" t="n">
        <v>17</v>
      </c>
      <c r="AE117" s="77" t="n">
        <v>7</v>
      </c>
    </row>
    <row r="118" customFormat="false" ht="14.25" hidden="false" customHeight="false" outlineLevel="0" collapsed="false">
      <c r="A118" s="4" t="n">
        <v>4</v>
      </c>
      <c r="B118" s="81" t="n">
        <v>4</v>
      </c>
      <c r="C118" s="15" t="str">
        <f aca="false">LOOKUP(B118,H$8:H$35,F$8:F$35)</f>
        <v>Spiller 08</v>
      </c>
      <c r="D118" s="59" t="n">
        <f aca="false">INDEX(Y$73:Y$100,MATCH(C118,X$73:X$100,0))</f>
        <v>2</v>
      </c>
      <c r="E118" s="29" t="n">
        <f aca="false">INDEX(Z$73:Z$100,MATCH(C118,X$73:X$100,0))</f>
        <v>-11.5</v>
      </c>
      <c r="F118" s="82" t="n">
        <v>28</v>
      </c>
      <c r="G118" s="15" t="n">
        <f aca="false">F118-AVERAGE(F$118:F$121)</f>
        <v>-13</v>
      </c>
      <c r="H118" s="55" t="n">
        <f aca="false">RANK(F118,F$118:F$121)</f>
        <v>4</v>
      </c>
      <c r="I118" s="29" t="n">
        <f aca="false">IF(H118=1,10,IF(H118=2,6,IF(H118=3,3,1)))</f>
        <v>1</v>
      </c>
      <c r="J118" s="60" t="n">
        <v>4</v>
      </c>
      <c r="K118" s="61" t="n">
        <v>1</v>
      </c>
      <c r="M118" s="55" t="n">
        <f aca="false">D118+K118</f>
        <v>3</v>
      </c>
      <c r="N118" s="29" t="n">
        <f aca="false">E118+G118</f>
        <v>-24.5</v>
      </c>
      <c r="O118" s="15" t="n">
        <f aca="false">RANK(M118,M$106:M$133,0)</f>
        <v>28</v>
      </c>
      <c r="P118" s="61" t="n">
        <v>28</v>
      </c>
      <c r="Q118" s="4"/>
      <c r="R118" s="55" t="n">
        <f aca="false">P118</f>
        <v>28</v>
      </c>
      <c r="S118" s="59" t="str">
        <f aca="false">C118</f>
        <v>Spiller 08</v>
      </c>
      <c r="T118" s="59" t="n">
        <f aca="false">M118</f>
        <v>3</v>
      </c>
      <c r="U118" s="29" t="n">
        <f aca="false">N118</f>
        <v>-24.5</v>
      </c>
      <c r="W118" s="62" t="n">
        <v>25</v>
      </c>
      <c r="X118" s="63" t="s">
        <v>29</v>
      </c>
      <c r="Y118" s="63" t="n">
        <v>8</v>
      </c>
      <c r="Z118" s="61" t="n">
        <v>-22.75</v>
      </c>
      <c r="AB118" s="64" t="n">
        <v>13</v>
      </c>
      <c r="AC118" s="63" t="s">
        <v>16</v>
      </c>
      <c r="AD118" s="83" t="n">
        <v>17</v>
      </c>
      <c r="AE118" s="66" t="n">
        <v>-2.25</v>
      </c>
    </row>
    <row r="119" customFormat="false" ht="14.25" hidden="false" customHeight="false" outlineLevel="0" collapsed="false">
      <c r="A119" s="4" t="n">
        <v>4</v>
      </c>
      <c r="B119" s="81" t="n">
        <v>8</v>
      </c>
      <c r="C119" s="15" t="str">
        <f aca="false">LOOKUP(B119,H$8:H$35,F$8:F$35)</f>
        <v>Spiller 27</v>
      </c>
      <c r="D119" s="59" t="n">
        <f aca="false">INDEX(Y$73:Y$100,MATCH(C119,X$73:X$100,0))</f>
        <v>16</v>
      </c>
      <c r="E119" s="29" t="n">
        <f aca="false">INDEX(Z$73:Z$100,MATCH(C119,X$73:X$100,0))</f>
        <v>13.25</v>
      </c>
      <c r="F119" s="82" t="n">
        <v>31</v>
      </c>
      <c r="G119" s="15" t="n">
        <f aca="false">F119-AVERAGE(F$118:F$121)</f>
        <v>-10</v>
      </c>
      <c r="H119" s="55" t="n">
        <f aca="false">RANK(F119,F$118:F$121)</f>
        <v>3</v>
      </c>
      <c r="I119" s="29" t="n">
        <f aca="false">IF(H119=1,10,IF(H119=2,6,IF(H119=3,3,1)))</f>
        <v>3</v>
      </c>
      <c r="J119" s="60" t="n">
        <v>3</v>
      </c>
      <c r="K119" s="61" t="n">
        <v>3</v>
      </c>
      <c r="M119" s="55" t="n">
        <f aca="false">D119+K119</f>
        <v>19</v>
      </c>
      <c r="N119" s="29" t="n">
        <f aca="false">E119+G119</f>
        <v>3.25</v>
      </c>
      <c r="O119" s="15" t="n">
        <f aca="false">RANK(M119,M$106:M$133,0)</f>
        <v>7</v>
      </c>
      <c r="P119" s="61" t="n">
        <v>10</v>
      </c>
      <c r="Q119" s="4"/>
      <c r="R119" s="55" t="n">
        <f aca="false">P119</f>
        <v>10</v>
      </c>
      <c r="S119" s="59" t="str">
        <f aca="false">C119</f>
        <v>Spiller 27</v>
      </c>
      <c r="T119" s="59" t="n">
        <f aca="false">M119</f>
        <v>19</v>
      </c>
      <c r="U119" s="29" t="n">
        <f aca="false">N119</f>
        <v>3.25</v>
      </c>
      <c r="W119" s="62" t="n">
        <v>17</v>
      </c>
      <c r="X119" s="63" t="s">
        <v>27</v>
      </c>
      <c r="Y119" s="63" t="n">
        <v>15</v>
      </c>
      <c r="Z119" s="61" t="n">
        <v>0.5</v>
      </c>
      <c r="AB119" s="64" t="n">
        <v>14</v>
      </c>
      <c r="AC119" s="63" t="s">
        <v>15</v>
      </c>
      <c r="AD119" s="83" t="n">
        <v>17</v>
      </c>
      <c r="AE119" s="66" t="n">
        <v>-3.75</v>
      </c>
    </row>
    <row r="120" customFormat="false" ht="14.25" hidden="false" customHeight="false" outlineLevel="0" collapsed="false">
      <c r="A120" s="4" t="n">
        <v>4</v>
      </c>
      <c r="B120" s="81" t="n">
        <v>13</v>
      </c>
      <c r="C120" s="15" t="str">
        <f aca="false">LOOKUP(B120,H$8:H$35,F$8:F$35)</f>
        <v>Spiller 02</v>
      </c>
      <c r="D120" s="59" t="n">
        <f aca="false">INDEX(Y$73:Y$100,MATCH(C120,X$73:X$100,0))</f>
        <v>4</v>
      </c>
      <c r="E120" s="29" t="n">
        <f aca="false">INDEX(Z$73:Z$100,MATCH(C120,X$73:X$100,0))</f>
        <v>-12.75</v>
      </c>
      <c r="F120" s="82" t="n">
        <v>55</v>
      </c>
      <c r="G120" s="15" t="n">
        <f aca="false">F120-AVERAGE(F$118:F$121)</f>
        <v>14</v>
      </c>
      <c r="H120" s="55" t="n">
        <f aca="false">RANK(F120,F$118:F$121)</f>
        <v>1</v>
      </c>
      <c r="I120" s="29" t="n">
        <f aca="false">IF(H120=1,10,IF(H120=2,6,IF(H120=3,3,1)))</f>
        <v>10</v>
      </c>
      <c r="J120" s="60" t="n">
        <v>1</v>
      </c>
      <c r="K120" s="61" t="n">
        <v>10</v>
      </c>
      <c r="M120" s="55" t="n">
        <f aca="false">D120+K120</f>
        <v>14</v>
      </c>
      <c r="N120" s="29" t="n">
        <f aca="false">E120+G120</f>
        <v>1.25</v>
      </c>
      <c r="O120" s="15" t="n">
        <f aca="false">RANK(M120,M$106:M$133,0)</f>
        <v>19</v>
      </c>
      <c r="P120" s="61" t="n">
        <v>19</v>
      </c>
      <c r="Q120" s="4"/>
      <c r="R120" s="55" t="n">
        <f aca="false">P120</f>
        <v>19</v>
      </c>
      <c r="S120" s="59" t="str">
        <f aca="false">C120</f>
        <v>Spiller 02</v>
      </c>
      <c r="T120" s="59" t="n">
        <f aca="false">M120</f>
        <v>14</v>
      </c>
      <c r="U120" s="29" t="n">
        <f aca="false">N120</f>
        <v>1.25</v>
      </c>
      <c r="W120" s="62" t="n">
        <v>1</v>
      </c>
      <c r="X120" s="63" t="s">
        <v>30</v>
      </c>
      <c r="Y120" s="63" t="n">
        <v>30</v>
      </c>
      <c r="Z120" s="61" t="n">
        <v>19</v>
      </c>
      <c r="AB120" s="64" t="n">
        <v>15</v>
      </c>
      <c r="AC120" s="63" t="s">
        <v>25</v>
      </c>
      <c r="AD120" s="83" t="n">
        <v>17</v>
      </c>
      <c r="AE120" s="66" t="n">
        <v>-8.75</v>
      </c>
    </row>
    <row r="121" customFormat="false" ht="14.25" hidden="false" customHeight="false" outlineLevel="0" collapsed="false">
      <c r="A121" s="67" t="n">
        <v>4</v>
      </c>
      <c r="B121" s="84" t="n">
        <v>14</v>
      </c>
      <c r="C121" s="23" t="str">
        <f aca="false">LOOKUP(B121,H$8:H$35,F$8:F$35)</f>
        <v>Spiller 03</v>
      </c>
      <c r="D121" s="70" t="n">
        <f aca="false">INDEX(Y$73:Y$100,MATCH(C121,X$73:X$100,0))</f>
        <v>11</v>
      </c>
      <c r="E121" s="31" t="n">
        <f aca="false">INDEX(Z$73:Z$100,MATCH(C121,X$73:X$100,0))</f>
        <v>-12.75</v>
      </c>
      <c r="F121" s="85" t="n">
        <v>50</v>
      </c>
      <c r="G121" s="23" t="n">
        <f aca="false">F121-AVERAGE(F$118:F$121)</f>
        <v>9</v>
      </c>
      <c r="H121" s="68" t="n">
        <f aca="false">RANK(F121,F$118:F$121)</f>
        <v>2</v>
      </c>
      <c r="I121" s="31" t="n">
        <f aca="false">IF(H121=1,10,IF(H121=2,6,IF(H121=3,3,1)))</f>
        <v>6</v>
      </c>
      <c r="J121" s="71" t="n">
        <v>2</v>
      </c>
      <c r="K121" s="72" t="n">
        <v>6</v>
      </c>
      <c r="M121" s="68" t="n">
        <f aca="false">D121+K121</f>
        <v>17</v>
      </c>
      <c r="N121" s="31" t="n">
        <f aca="false">E121+G121</f>
        <v>-3.75</v>
      </c>
      <c r="O121" s="23" t="n">
        <f aca="false">RANK(M121,M$106:M$133,0)</f>
        <v>12</v>
      </c>
      <c r="P121" s="72" t="n">
        <v>14</v>
      </c>
      <c r="Q121" s="4"/>
      <c r="R121" s="68" t="n">
        <f aca="false">P121</f>
        <v>14</v>
      </c>
      <c r="S121" s="70" t="str">
        <f aca="false">C121</f>
        <v>Spiller 03</v>
      </c>
      <c r="T121" s="70" t="n">
        <f aca="false">M121</f>
        <v>17</v>
      </c>
      <c r="U121" s="31" t="n">
        <f aca="false">N121</f>
        <v>-3.75</v>
      </c>
      <c r="W121" s="73" t="n">
        <v>11</v>
      </c>
      <c r="X121" s="74" t="s">
        <v>31</v>
      </c>
      <c r="Y121" s="74" t="n">
        <v>18</v>
      </c>
      <c r="Z121" s="72" t="n">
        <v>13.25</v>
      </c>
      <c r="AB121" s="75" t="n">
        <v>16</v>
      </c>
      <c r="AC121" s="74" t="s">
        <v>35</v>
      </c>
      <c r="AD121" s="86" t="n">
        <v>16</v>
      </c>
      <c r="AE121" s="77" t="n">
        <v>-5</v>
      </c>
    </row>
    <row r="122" customFormat="false" ht="14.25" hidden="false" customHeight="false" outlineLevel="0" collapsed="false">
      <c r="A122" s="4" t="n">
        <v>5</v>
      </c>
      <c r="B122" s="81" t="n">
        <v>2</v>
      </c>
      <c r="C122" s="15" t="str">
        <f aca="false">LOOKUP(B122,H$8:H$35,F$8:F$35)</f>
        <v>Spiller 22</v>
      </c>
      <c r="D122" s="59" t="n">
        <f aca="false">INDEX(Y$73:Y$100,MATCH(C122,X$73:X$100,0))</f>
        <v>16</v>
      </c>
      <c r="E122" s="29" t="n">
        <f aca="false">INDEX(Z$73:Z$100,MATCH(C122,X$73:X$100,0))</f>
        <v>13.5</v>
      </c>
      <c r="F122" s="82" t="n">
        <v>38</v>
      </c>
      <c r="G122" s="15" t="n">
        <f aca="false">F122-AVERAGE(F$122:F$125)</f>
        <v>-1.25</v>
      </c>
      <c r="H122" s="55" t="n">
        <f aca="false">RANK(F122,F$122:F$125)</f>
        <v>2</v>
      </c>
      <c r="I122" s="29" t="n">
        <f aca="false">IF(H122=1,10,IF(H122=2,6,IF(H122=3,3,1)))</f>
        <v>6</v>
      </c>
      <c r="J122" s="60" t="n">
        <v>2</v>
      </c>
      <c r="K122" s="61" t="n">
        <v>6</v>
      </c>
      <c r="M122" s="55" t="n">
        <f aca="false">D122+K122</f>
        <v>22</v>
      </c>
      <c r="N122" s="29" t="n">
        <f aca="false">E122+G122</f>
        <v>12.25</v>
      </c>
      <c r="O122" s="15" t="n">
        <f aca="false">RANK(M122,M$106:M$133,0)</f>
        <v>3</v>
      </c>
      <c r="P122" s="61" t="n">
        <v>4</v>
      </c>
      <c r="Q122" s="4"/>
      <c r="R122" s="55" t="n">
        <f aca="false">P122</f>
        <v>4</v>
      </c>
      <c r="S122" s="59" t="str">
        <f aca="false">C122</f>
        <v>Spiller 22</v>
      </c>
      <c r="T122" s="59" t="n">
        <f aca="false">M122</f>
        <v>22</v>
      </c>
      <c r="U122" s="29" t="n">
        <f aca="false">N122</f>
        <v>12.25</v>
      </c>
      <c r="W122" s="62" t="n">
        <v>15</v>
      </c>
      <c r="X122" s="63" t="s">
        <v>25</v>
      </c>
      <c r="Y122" s="63" t="n">
        <v>17</v>
      </c>
      <c r="Z122" s="61" t="n">
        <v>-8.75</v>
      </c>
      <c r="AB122" s="64" t="n">
        <v>17</v>
      </c>
      <c r="AC122" s="63" t="s">
        <v>27</v>
      </c>
      <c r="AD122" s="83" t="n">
        <v>15</v>
      </c>
      <c r="AE122" s="66" t="n">
        <v>0.5</v>
      </c>
    </row>
    <row r="123" customFormat="false" ht="14.25" hidden="false" customHeight="false" outlineLevel="0" collapsed="false">
      <c r="A123" s="4" t="n">
        <v>5</v>
      </c>
      <c r="B123" s="81" t="n">
        <v>7</v>
      </c>
      <c r="C123" s="15" t="str">
        <f aca="false">LOOKUP(B123,H$8:H$35,F$8:F$35)</f>
        <v>Spiller 24</v>
      </c>
      <c r="D123" s="59" t="n">
        <f aca="false">INDEX(Y$73:Y$100,MATCH(C123,X$73:X$100,0))</f>
        <v>9</v>
      </c>
      <c r="E123" s="29" t="n">
        <f aca="false">INDEX(Z$73:Z$100,MATCH(C123,X$73:X$100,0))</f>
        <v>-2</v>
      </c>
      <c r="F123" s="82" t="n">
        <v>53</v>
      </c>
      <c r="G123" s="15" t="n">
        <f aca="false">F123-AVERAGE(F$122:F$125)</f>
        <v>13.75</v>
      </c>
      <c r="H123" s="55" t="n">
        <f aca="false">RANK(F123,F$122:F$125)</f>
        <v>1</v>
      </c>
      <c r="I123" s="29" t="n">
        <f aca="false">IF(H123=1,10,IF(H123=2,6,IF(H123=3,3,1)))</f>
        <v>10</v>
      </c>
      <c r="J123" s="60" t="n">
        <v>1</v>
      </c>
      <c r="K123" s="61" t="n">
        <v>10</v>
      </c>
      <c r="M123" s="55" t="n">
        <f aca="false">D123+K123</f>
        <v>19</v>
      </c>
      <c r="N123" s="29" t="n">
        <f aca="false">E123+G123</f>
        <v>11.75</v>
      </c>
      <c r="O123" s="15" t="n">
        <f aca="false">RANK(M123,M$106:M$133,0)</f>
        <v>7</v>
      </c>
      <c r="P123" s="61" t="n">
        <v>8</v>
      </c>
      <c r="Q123" s="4"/>
      <c r="R123" s="55" t="n">
        <f aca="false">P123</f>
        <v>8</v>
      </c>
      <c r="S123" s="59" t="str">
        <f aca="false">C123</f>
        <v>Spiller 24</v>
      </c>
      <c r="T123" s="59" t="n">
        <f aca="false">M123</f>
        <v>19</v>
      </c>
      <c r="U123" s="29" t="n">
        <f aca="false">N123</f>
        <v>11.75</v>
      </c>
      <c r="W123" s="62" t="n">
        <v>3</v>
      </c>
      <c r="X123" s="63" t="s">
        <v>32</v>
      </c>
      <c r="Y123" s="63" t="n">
        <v>22</v>
      </c>
      <c r="Z123" s="61" t="n">
        <v>16</v>
      </c>
      <c r="AB123" s="64" t="n">
        <v>18</v>
      </c>
      <c r="AC123" s="63" t="s">
        <v>19</v>
      </c>
      <c r="AD123" s="83" t="n">
        <v>15</v>
      </c>
      <c r="AE123" s="66" t="n">
        <v>-3.75</v>
      </c>
    </row>
    <row r="124" customFormat="false" ht="14.25" hidden="false" customHeight="false" outlineLevel="0" collapsed="false">
      <c r="A124" s="4" t="n">
        <v>5</v>
      </c>
      <c r="B124" s="81" t="n">
        <v>21</v>
      </c>
      <c r="C124" s="15" t="str">
        <f aca="false">LOOKUP(B124,H$8:H$35,F$8:F$35)</f>
        <v>Spiller 12</v>
      </c>
      <c r="D124" s="59" t="n">
        <f aca="false">INDEX(Y$73:Y$100,MATCH(C124,X$73:X$100,0))</f>
        <v>9</v>
      </c>
      <c r="E124" s="29" t="n">
        <f aca="false">INDEX(Z$73:Z$100,MATCH(C124,X$73:X$100,0))</f>
        <v>-4</v>
      </c>
      <c r="F124" s="82" t="n">
        <v>29</v>
      </c>
      <c r="G124" s="15" t="n">
        <f aca="false">F124-AVERAGE(F$122:F$125)</f>
        <v>-10.25</v>
      </c>
      <c r="H124" s="55" t="n">
        <f aca="false">RANK(F124,F$122:F$125)</f>
        <v>4</v>
      </c>
      <c r="I124" s="29" t="n">
        <f aca="false">IF(H124=1,10,IF(H124=2,6,IF(H124=3,3,1)))</f>
        <v>1</v>
      </c>
      <c r="J124" s="60" t="n">
        <v>4</v>
      </c>
      <c r="K124" s="61" t="n">
        <v>1</v>
      </c>
      <c r="M124" s="55" t="n">
        <f aca="false">D124+K124</f>
        <v>10</v>
      </c>
      <c r="N124" s="29" t="n">
        <f aca="false">E124+G124</f>
        <v>-14.25</v>
      </c>
      <c r="O124" s="15" t="n">
        <f aca="false">RANK(M124,M$106:M$133,0)</f>
        <v>24</v>
      </c>
      <c r="P124" s="61" t="n">
        <v>24</v>
      </c>
      <c r="Q124" s="4"/>
      <c r="R124" s="55" t="n">
        <f aca="false">P124</f>
        <v>24</v>
      </c>
      <c r="S124" s="59" t="str">
        <f aca="false">C124</f>
        <v>Spiller 12</v>
      </c>
      <c r="T124" s="59" t="n">
        <f aca="false">M124</f>
        <v>10</v>
      </c>
      <c r="U124" s="29" t="n">
        <f aca="false">N124</f>
        <v>-14.25</v>
      </c>
      <c r="W124" s="62" t="n">
        <v>2</v>
      </c>
      <c r="X124" s="63" t="s">
        <v>33</v>
      </c>
      <c r="Y124" s="63" t="n">
        <v>23</v>
      </c>
      <c r="Z124" s="61" t="n">
        <v>12</v>
      </c>
      <c r="AB124" s="64" t="n">
        <v>19</v>
      </c>
      <c r="AC124" s="63" t="s">
        <v>13</v>
      </c>
      <c r="AD124" s="83" t="n">
        <v>14</v>
      </c>
      <c r="AE124" s="66" t="n">
        <v>1.25</v>
      </c>
    </row>
    <row r="125" customFormat="false" ht="14.25" hidden="false" customHeight="false" outlineLevel="0" collapsed="false">
      <c r="A125" s="67" t="n">
        <v>5</v>
      </c>
      <c r="B125" s="84" t="n">
        <v>26</v>
      </c>
      <c r="C125" s="23" t="str">
        <f aca="false">LOOKUP(B125,H$8:H$35,F$8:F$35)</f>
        <v>Spiller 26</v>
      </c>
      <c r="D125" s="70" t="n">
        <f aca="false">INDEX(Y$73:Y$100,MATCH(C125,X$73:X$100,0))</f>
        <v>4</v>
      </c>
      <c r="E125" s="31" t="n">
        <f aca="false">INDEX(Z$73:Z$100,MATCH(C125,X$73:X$100,0))</f>
        <v>-5.25</v>
      </c>
      <c r="F125" s="85" t="n">
        <v>37</v>
      </c>
      <c r="G125" s="23" t="n">
        <f aca="false">F125-AVERAGE(F$122:F$125)</f>
        <v>-2.25</v>
      </c>
      <c r="H125" s="68" t="n">
        <f aca="false">RANK(F125,F$122:F$125)</f>
        <v>3</v>
      </c>
      <c r="I125" s="31" t="n">
        <f aca="false">IF(H125=1,10,IF(H125=2,6,IF(H125=3,3,1)))</f>
        <v>3</v>
      </c>
      <c r="J125" s="71" t="n">
        <v>3</v>
      </c>
      <c r="K125" s="72" t="n">
        <v>3</v>
      </c>
      <c r="M125" s="68" t="n">
        <f aca="false">D125+K125</f>
        <v>7</v>
      </c>
      <c r="N125" s="31" t="n">
        <f aca="false">E125+G125</f>
        <v>-7.5</v>
      </c>
      <c r="O125" s="23" t="n">
        <f aca="false">RANK(M125,M$106:M$133,0)</f>
        <v>26</v>
      </c>
      <c r="P125" s="72" t="n">
        <v>26</v>
      </c>
      <c r="Q125" s="4"/>
      <c r="R125" s="68" t="n">
        <f aca="false">P125</f>
        <v>26</v>
      </c>
      <c r="S125" s="70" t="str">
        <f aca="false">C125</f>
        <v>Spiller 26</v>
      </c>
      <c r="T125" s="70" t="n">
        <f aca="false">M125</f>
        <v>7</v>
      </c>
      <c r="U125" s="31" t="n">
        <f aca="false">N125</f>
        <v>-7.5</v>
      </c>
      <c r="W125" s="73" t="n">
        <v>21</v>
      </c>
      <c r="X125" s="74" t="s">
        <v>34</v>
      </c>
      <c r="Y125" s="74" t="n">
        <v>14</v>
      </c>
      <c r="Z125" s="72" t="n">
        <v>-9.5</v>
      </c>
      <c r="AB125" s="75" t="n">
        <v>20</v>
      </c>
      <c r="AC125" s="74" t="s">
        <v>17</v>
      </c>
      <c r="AD125" s="86" t="n">
        <v>14</v>
      </c>
      <c r="AE125" s="77" t="n">
        <v>-7.75</v>
      </c>
    </row>
    <row r="126" customFormat="false" ht="14.25" hidden="false" customHeight="false" outlineLevel="0" collapsed="false">
      <c r="A126" s="4" t="n">
        <v>6</v>
      </c>
      <c r="B126" s="81" t="n">
        <v>1</v>
      </c>
      <c r="C126" s="15" t="str">
        <f aca="false">LOOKUP(B126,H$8:H$35,F$8:F$35)</f>
        <v>Spiller 05</v>
      </c>
      <c r="D126" s="59" t="n">
        <f aca="false">INDEX(Y$73:Y$100,MATCH(C126,X$73:X$100,0))</f>
        <v>11</v>
      </c>
      <c r="E126" s="29" t="n">
        <f aca="false">INDEX(Z$73:Z$100,MATCH(C126,X$73:X$100,0))</f>
        <v>12.5</v>
      </c>
      <c r="F126" s="82" t="n">
        <v>46</v>
      </c>
      <c r="G126" s="15" t="n">
        <f aca="false">F126-AVERAGE(F$126:F$129)</f>
        <v>10.75</v>
      </c>
      <c r="H126" s="55" t="n">
        <f aca="false">RANK(F126,F$126:F$129)</f>
        <v>1</v>
      </c>
      <c r="I126" s="29" t="n">
        <f aca="false">IF(H126=1,10,IF(H126=2,6,IF(H126=3,3,1)))</f>
        <v>10</v>
      </c>
      <c r="J126" s="60" t="n">
        <v>1</v>
      </c>
      <c r="K126" s="61" t="n">
        <v>10</v>
      </c>
      <c r="M126" s="55" t="n">
        <f aca="false">D126+K126</f>
        <v>21</v>
      </c>
      <c r="N126" s="29" t="n">
        <f aca="false">E126+G126</f>
        <v>23.25</v>
      </c>
      <c r="O126" s="15" t="n">
        <f aca="false">RANK(M126,M$106:M$133,0)</f>
        <v>6</v>
      </c>
      <c r="P126" s="61" t="n">
        <v>6</v>
      </c>
      <c r="Q126" s="4"/>
      <c r="R126" s="55" t="n">
        <f aca="false">P126</f>
        <v>6</v>
      </c>
      <c r="S126" s="59" t="str">
        <f aca="false">C126</f>
        <v>Spiller 05</v>
      </c>
      <c r="T126" s="59" t="n">
        <f aca="false">M126</f>
        <v>21</v>
      </c>
      <c r="U126" s="29" t="n">
        <f aca="false">N126</f>
        <v>23.25</v>
      </c>
      <c r="W126" s="62" t="n">
        <v>16</v>
      </c>
      <c r="X126" s="63" t="s">
        <v>35</v>
      </c>
      <c r="Y126" s="63" t="n">
        <v>16</v>
      </c>
      <c r="Z126" s="61" t="n">
        <v>-5</v>
      </c>
      <c r="AB126" s="64" t="n">
        <v>21</v>
      </c>
      <c r="AC126" s="63" t="s">
        <v>34</v>
      </c>
      <c r="AD126" s="83" t="n">
        <v>14</v>
      </c>
      <c r="AE126" s="66" t="n">
        <v>-9.5</v>
      </c>
    </row>
    <row r="127" customFormat="false" ht="14.25" hidden="false" customHeight="false" outlineLevel="0" collapsed="false">
      <c r="A127" s="4" t="n">
        <v>6</v>
      </c>
      <c r="B127" s="81" t="n">
        <v>10</v>
      </c>
      <c r="C127" s="15" t="str">
        <f aca="false">LOOKUP(B127,H$8:H$35,F$8:F$35)</f>
        <v>Spiller 25</v>
      </c>
      <c r="D127" s="59" t="n">
        <f aca="false">INDEX(Y$73:Y$100,MATCH(C127,X$73:X$100,0))</f>
        <v>16</v>
      </c>
      <c r="E127" s="29" t="n">
        <f aca="false">INDEX(Z$73:Z$100,MATCH(C127,X$73:X$100,0))</f>
        <v>5.5</v>
      </c>
      <c r="F127" s="82" t="n">
        <v>35</v>
      </c>
      <c r="G127" s="15" t="n">
        <f aca="false">F127-AVERAGE(F$126:F$129)</f>
        <v>-0.25</v>
      </c>
      <c r="H127" s="55" t="n">
        <f aca="false">RANK(F127,F$126:F$129)</f>
        <v>2</v>
      </c>
      <c r="I127" s="29" t="n">
        <f aca="false">IF(H127=1,10,IF(H127=2,6,IF(H127=3,3,1)))</f>
        <v>6</v>
      </c>
      <c r="J127" s="60" t="n">
        <v>2</v>
      </c>
      <c r="K127" s="61" t="n">
        <v>6</v>
      </c>
      <c r="M127" s="55" t="n">
        <f aca="false">D127+K127</f>
        <v>22</v>
      </c>
      <c r="N127" s="29" t="n">
        <f aca="false">E127+G127</f>
        <v>5.25</v>
      </c>
      <c r="O127" s="15" t="n">
        <f aca="false">RANK(M127,M$106:M$133,0)</f>
        <v>3</v>
      </c>
      <c r="P127" s="61" t="n">
        <v>5</v>
      </c>
      <c r="Q127" s="4"/>
      <c r="R127" s="55" t="n">
        <f aca="false">P127</f>
        <v>5</v>
      </c>
      <c r="S127" s="59" t="str">
        <f aca="false">C127</f>
        <v>Spiller 25</v>
      </c>
      <c r="T127" s="59" t="n">
        <f aca="false">M127</f>
        <v>22</v>
      </c>
      <c r="U127" s="29" t="n">
        <f aca="false">N127</f>
        <v>5.25</v>
      </c>
      <c r="W127" s="62" t="n">
        <v>4</v>
      </c>
      <c r="X127" s="63" t="s">
        <v>14</v>
      </c>
      <c r="Y127" s="63" t="n">
        <v>22</v>
      </c>
      <c r="Z127" s="61" t="n">
        <v>12.25</v>
      </c>
      <c r="AB127" s="64" t="n">
        <v>22</v>
      </c>
      <c r="AC127" s="63" t="s">
        <v>24</v>
      </c>
      <c r="AD127" s="83" t="n">
        <v>12</v>
      </c>
      <c r="AE127" s="66" t="n">
        <v>-2.75</v>
      </c>
    </row>
    <row r="128" customFormat="false" ht="14.25" hidden="false" customHeight="false" outlineLevel="0" collapsed="false">
      <c r="A128" s="4" t="n">
        <v>6</v>
      </c>
      <c r="B128" s="81" t="n">
        <v>11</v>
      </c>
      <c r="C128" s="15" t="str">
        <f aca="false">LOOKUP(B128,H$8:H$35,F$8:F$35)</f>
        <v>Spiller 14</v>
      </c>
      <c r="D128" s="59" t="n">
        <f aca="false">INDEX(Y$73:Y$100,MATCH(C128,X$73:X$100,0))</f>
        <v>12</v>
      </c>
      <c r="E128" s="29" t="n">
        <f aca="false">INDEX(Z$73:Z$100,MATCH(C128,X$73:X$100,0))</f>
        <v>3.75</v>
      </c>
      <c r="F128" s="82" t="n">
        <v>32</v>
      </c>
      <c r="G128" s="15" t="n">
        <f aca="false">F128-AVERAGE(F$126:F$129)</f>
        <v>-3.25</v>
      </c>
      <c r="H128" s="55" t="n">
        <f aca="false">RANK(F128,F$126:F$129)</f>
        <v>3</v>
      </c>
      <c r="I128" s="29" t="n">
        <f aca="false">IF(H128=1,10,IF(H128=2,6,IF(H128=3,3,1)))</f>
        <v>3</v>
      </c>
      <c r="J128" s="60" t="n">
        <v>3</v>
      </c>
      <c r="K128" s="61" t="n">
        <v>3</v>
      </c>
      <c r="M128" s="55" t="n">
        <f aca="false">D128+K128</f>
        <v>15</v>
      </c>
      <c r="N128" s="29" t="n">
        <f aca="false">E128+G128</f>
        <v>0.5</v>
      </c>
      <c r="O128" s="15" t="n">
        <f aca="false">RANK(M128,M$106:M$133,0)</f>
        <v>17</v>
      </c>
      <c r="P128" s="61" t="n">
        <v>17</v>
      </c>
      <c r="Q128" s="4"/>
      <c r="R128" s="55" t="n">
        <f aca="false">P128</f>
        <v>17</v>
      </c>
      <c r="S128" s="59" t="str">
        <f aca="false">C128</f>
        <v>Spiller 14</v>
      </c>
      <c r="T128" s="59" t="n">
        <f aca="false">M128</f>
        <v>15</v>
      </c>
      <c r="U128" s="29" t="n">
        <f aca="false">N128</f>
        <v>0.5</v>
      </c>
      <c r="W128" s="62" t="n">
        <v>9</v>
      </c>
      <c r="X128" s="63" t="s">
        <v>36</v>
      </c>
      <c r="Y128" s="63" t="n">
        <v>19</v>
      </c>
      <c r="Z128" s="61" t="n">
        <v>4.5</v>
      </c>
      <c r="AB128" s="64" t="n">
        <v>23</v>
      </c>
      <c r="AC128" s="63" t="s">
        <v>21</v>
      </c>
      <c r="AD128" s="83" t="n">
        <v>12</v>
      </c>
      <c r="AE128" s="66" t="n">
        <v>-16.5</v>
      </c>
    </row>
    <row r="129" customFormat="false" ht="14.25" hidden="false" customHeight="false" outlineLevel="0" collapsed="false">
      <c r="A129" s="67" t="n">
        <v>6</v>
      </c>
      <c r="B129" s="84" t="n">
        <v>18</v>
      </c>
      <c r="C129" s="23" t="str">
        <f aca="false">LOOKUP(B129,H$8:H$35,F$8:F$35)</f>
        <v>Spiller 09</v>
      </c>
      <c r="D129" s="70" t="n">
        <f aca="false">INDEX(Y$73:Y$100,MATCH(C129,X$73:X$100,0))</f>
        <v>11</v>
      </c>
      <c r="E129" s="31" t="n">
        <f aca="false">INDEX(Z$73:Z$100,MATCH(C129,X$73:X$100,0))</f>
        <v>4.5</v>
      </c>
      <c r="F129" s="85" t="n">
        <v>28</v>
      </c>
      <c r="G129" s="23" t="n">
        <f aca="false">F129-AVERAGE(F$126:F$129)</f>
        <v>-7.25</v>
      </c>
      <c r="H129" s="68" t="n">
        <f aca="false">RANK(F129,F$126:F$129)</f>
        <v>4</v>
      </c>
      <c r="I129" s="31" t="n">
        <f aca="false">IF(H129=1,10,IF(H129=2,6,IF(H129=3,3,1)))</f>
        <v>1</v>
      </c>
      <c r="J129" s="71" t="n">
        <v>4</v>
      </c>
      <c r="K129" s="72" t="n">
        <v>1</v>
      </c>
      <c r="M129" s="68" t="n">
        <f aca="false">D129+K129</f>
        <v>12</v>
      </c>
      <c r="N129" s="31" t="n">
        <f aca="false">E129+G129</f>
        <v>-2.75</v>
      </c>
      <c r="O129" s="23" t="n">
        <f aca="false">RANK(M129,M$106:M$133,0)</f>
        <v>22</v>
      </c>
      <c r="P129" s="72" t="n">
        <v>22</v>
      </c>
      <c r="Q129" s="4"/>
      <c r="R129" s="68" t="n">
        <f aca="false">P129</f>
        <v>22</v>
      </c>
      <c r="S129" s="70" t="str">
        <f aca="false">C129</f>
        <v>Spiller 09</v>
      </c>
      <c r="T129" s="70" t="n">
        <f aca="false">M129</f>
        <v>12</v>
      </c>
      <c r="U129" s="31" t="n">
        <f aca="false">N129</f>
        <v>-2.75</v>
      </c>
      <c r="W129" s="73" t="n">
        <v>8</v>
      </c>
      <c r="X129" s="74" t="s">
        <v>22</v>
      </c>
      <c r="Y129" s="74" t="n">
        <v>19</v>
      </c>
      <c r="Z129" s="72" t="n">
        <v>11.75</v>
      </c>
      <c r="AB129" s="75" t="n">
        <v>24</v>
      </c>
      <c r="AC129" s="74" t="s">
        <v>28</v>
      </c>
      <c r="AD129" s="86" t="n">
        <v>10</v>
      </c>
      <c r="AE129" s="77" t="n">
        <v>-14.25</v>
      </c>
    </row>
    <row r="130" customFormat="false" ht="14.25" hidden="false" customHeight="false" outlineLevel="0" collapsed="false">
      <c r="A130" s="4" t="n">
        <v>7</v>
      </c>
      <c r="B130" s="81" t="n">
        <v>15</v>
      </c>
      <c r="C130" s="15" t="str">
        <f aca="false">LOOKUP(B130,H$8:H$35,F$8:F$35)</f>
        <v>Spiller 15</v>
      </c>
      <c r="D130" s="59" t="n">
        <f aca="false">INDEX(Y$73:Y$100,MATCH(C130,X$73:X$100,0))</f>
        <v>20</v>
      </c>
      <c r="E130" s="29" t="n">
        <f aca="false">INDEX(Z$73:Z$100,MATCH(C130,X$73:X$100,0))</f>
        <v>15.25</v>
      </c>
      <c r="F130" s="82" t="n">
        <v>34</v>
      </c>
      <c r="G130" s="15" t="n">
        <f aca="false">F130-AVERAGE(F$130:F$133)</f>
        <v>3.75</v>
      </c>
      <c r="H130" s="55" t="n">
        <f aca="false">RANK(F130,F$130:F$133)</f>
        <v>1</v>
      </c>
      <c r="I130" s="29" t="n">
        <f aca="false">IF(H130=1,10,IF(H130=2,6,IF(H130=3,3,1)))</f>
        <v>10</v>
      </c>
      <c r="J130" s="60" t="n">
        <v>1</v>
      </c>
      <c r="K130" s="61" t="n">
        <v>10</v>
      </c>
      <c r="M130" s="55" t="n">
        <f aca="false">D130+K130</f>
        <v>30</v>
      </c>
      <c r="N130" s="29" t="n">
        <f aca="false">E130+G130</f>
        <v>19</v>
      </c>
      <c r="O130" s="15" t="n">
        <f aca="false">RANK(M130,M$106:M$133,0)</f>
        <v>1</v>
      </c>
      <c r="P130" s="61" t="n">
        <v>1</v>
      </c>
      <c r="Q130" s="4"/>
      <c r="R130" s="55" t="n">
        <f aca="false">P130</f>
        <v>1</v>
      </c>
      <c r="S130" s="59" t="str">
        <f aca="false">C130</f>
        <v>Spiller 15</v>
      </c>
      <c r="T130" s="59" t="n">
        <f aca="false">M130</f>
        <v>30</v>
      </c>
      <c r="U130" s="29" t="n">
        <f aca="false">N130</f>
        <v>19</v>
      </c>
      <c r="W130" s="62" t="n">
        <v>5</v>
      </c>
      <c r="X130" s="63" t="s">
        <v>26</v>
      </c>
      <c r="Y130" s="63" t="n">
        <v>22</v>
      </c>
      <c r="Z130" s="61" t="n">
        <v>5.25</v>
      </c>
      <c r="AB130" s="64" t="n">
        <v>25</v>
      </c>
      <c r="AC130" s="63" t="s">
        <v>29</v>
      </c>
      <c r="AD130" s="83" t="n">
        <v>8</v>
      </c>
      <c r="AE130" s="66" t="n">
        <v>-22.75</v>
      </c>
    </row>
    <row r="131" customFormat="false" ht="14.25" hidden="false" customHeight="false" outlineLevel="0" collapsed="false">
      <c r="A131" s="4" t="n">
        <v>7</v>
      </c>
      <c r="B131" s="81" t="n">
        <v>16</v>
      </c>
      <c r="C131" s="15" t="str">
        <f aca="false">LOOKUP(B131,H$8:H$35,F$8:F$35)</f>
        <v>Spiller 13</v>
      </c>
      <c r="D131" s="59" t="n">
        <f aca="false">INDEX(Y$73:Y$100,MATCH(C131,X$73:X$100,0))</f>
        <v>7</v>
      </c>
      <c r="E131" s="29" t="n">
        <f aca="false">INDEX(Z$73:Z$100,MATCH(C131,X$73:X$100,0))</f>
        <v>-17.5</v>
      </c>
      <c r="F131" s="82" t="n">
        <v>25</v>
      </c>
      <c r="G131" s="15" t="n">
        <f aca="false">F131-AVERAGE(F$130:F$133)</f>
        <v>-5.25</v>
      </c>
      <c r="H131" s="55" t="n">
        <f aca="false">RANK(F131,F$130:F$133)</f>
        <v>4</v>
      </c>
      <c r="I131" s="29" t="n">
        <f aca="false">IF(H131=1,10,IF(H131=2,6,IF(H131=3,3,1)))</f>
        <v>1</v>
      </c>
      <c r="J131" s="60" t="n">
        <v>4</v>
      </c>
      <c r="K131" s="61" t="n">
        <v>1</v>
      </c>
      <c r="M131" s="55" t="n">
        <f aca="false">D131+K131</f>
        <v>8</v>
      </c>
      <c r="N131" s="29" t="n">
        <f aca="false">E131+G131</f>
        <v>-22.75</v>
      </c>
      <c r="O131" s="15" t="n">
        <f aca="false">RANK(M131,M$106:M$133,0)</f>
        <v>25</v>
      </c>
      <c r="P131" s="61" t="n">
        <v>25</v>
      </c>
      <c r="Q131" s="4"/>
      <c r="R131" s="55" t="n">
        <f aca="false">P131</f>
        <v>25</v>
      </c>
      <c r="S131" s="59" t="str">
        <f aca="false">C131</f>
        <v>Spiller 13</v>
      </c>
      <c r="T131" s="59" t="n">
        <f aca="false">M131</f>
        <v>8</v>
      </c>
      <c r="U131" s="29" t="n">
        <f aca="false">N131</f>
        <v>-22.75</v>
      </c>
      <c r="W131" s="62" t="n">
        <v>26</v>
      </c>
      <c r="X131" s="63" t="s">
        <v>38</v>
      </c>
      <c r="Y131" s="63" t="n">
        <v>7</v>
      </c>
      <c r="Z131" s="61" t="n">
        <v>-7.5</v>
      </c>
      <c r="AB131" s="64" t="n">
        <v>26</v>
      </c>
      <c r="AC131" s="63" t="s">
        <v>38</v>
      </c>
      <c r="AD131" s="83" t="n">
        <v>7</v>
      </c>
      <c r="AE131" s="66" t="n">
        <v>-7.5</v>
      </c>
    </row>
    <row r="132" customFormat="false" ht="14.25" hidden="false" customHeight="false" outlineLevel="0" collapsed="false">
      <c r="A132" s="4" t="n">
        <v>7</v>
      </c>
      <c r="B132" s="81" t="n">
        <v>17</v>
      </c>
      <c r="C132" s="15" t="str">
        <f aca="false">LOOKUP(B132,H$8:H$35,F$8:F$35)</f>
        <v>Spiller 06</v>
      </c>
      <c r="D132" s="59" t="n">
        <f aca="false">INDEX(Y$73:Y$100,MATCH(C132,X$73:X$100,0))</f>
        <v>9</v>
      </c>
      <c r="E132" s="29" t="n">
        <f aca="false">INDEX(Z$73:Z$100,MATCH(C132,X$73:X$100,0))</f>
        <v>-4.5</v>
      </c>
      <c r="F132" s="82" t="n">
        <v>31</v>
      </c>
      <c r="G132" s="15" t="n">
        <f aca="false">F132-AVERAGE(F$130:F$133)</f>
        <v>0.75</v>
      </c>
      <c r="H132" s="55" t="n">
        <f aca="false">RANK(F132,F$130:F$133)</f>
        <v>2</v>
      </c>
      <c r="I132" s="29" t="n">
        <f aca="false">IF(H132=1,10,IF(H132=2,6,IF(H132=3,3,1)))</f>
        <v>6</v>
      </c>
      <c r="J132" s="60" t="n">
        <v>2</v>
      </c>
      <c r="K132" s="61" t="n">
        <v>6</v>
      </c>
      <c r="M132" s="55" t="n">
        <f aca="false">D132+K132</f>
        <v>15</v>
      </c>
      <c r="N132" s="29" t="n">
        <f aca="false">E132+G132</f>
        <v>-3.75</v>
      </c>
      <c r="O132" s="15" t="n">
        <f aca="false">RANK(M132,M$106:M$133,0)</f>
        <v>17</v>
      </c>
      <c r="P132" s="61" t="n">
        <v>18</v>
      </c>
      <c r="Q132" s="4"/>
      <c r="R132" s="55" t="n">
        <f aca="false">P132</f>
        <v>18</v>
      </c>
      <c r="S132" s="59" t="str">
        <f aca="false">C132</f>
        <v>Spiller 06</v>
      </c>
      <c r="T132" s="59" t="n">
        <f aca="false">M132</f>
        <v>15</v>
      </c>
      <c r="U132" s="29" t="n">
        <f aca="false">N132</f>
        <v>-3.75</v>
      </c>
      <c r="W132" s="62" t="n">
        <v>10</v>
      </c>
      <c r="X132" s="63" t="s">
        <v>23</v>
      </c>
      <c r="Y132" s="63" t="n">
        <v>19</v>
      </c>
      <c r="Z132" s="61" t="n">
        <v>3.25</v>
      </c>
      <c r="AB132" s="64" t="n">
        <v>27</v>
      </c>
      <c r="AC132" s="63" t="s">
        <v>11</v>
      </c>
      <c r="AD132" s="83" t="n">
        <v>7</v>
      </c>
      <c r="AE132" s="66" t="n">
        <v>-18.25</v>
      </c>
    </row>
    <row r="133" customFormat="false" ht="14.25" hidden="false" customHeight="false" outlineLevel="0" collapsed="false">
      <c r="A133" s="67" t="n">
        <v>7</v>
      </c>
      <c r="B133" s="84" t="n">
        <v>25</v>
      </c>
      <c r="C133" s="23" t="str">
        <f aca="false">LOOKUP(B133,H$8:H$35,F$8:F$35)</f>
        <v>Spiller 18</v>
      </c>
      <c r="D133" s="70" t="n">
        <f aca="false">INDEX(Y$73:Y$100,MATCH(C133,X$73:X$100,0))</f>
        <v>16</v>
      </c>
      <c r="E133" s="31" t="n">
        <f aca="false">INDEX(Z$73:Z$100,MATCH(C133,X$73:X$100,0))</f>
        <v>15.25</v>
      </c>
      <c r="F133" s="85" t="n">
        <v>31</v>
      </c>
      <c r="G133" s="23" t="n">
        <f aca="false">F133-AVERAGE(F$130:F$133)</f>
        <v>0.75</v>
      </c>
      <c r="H133" s="68" t="n">
        <f aca="false">RANK(F133,F$130:F$133)</f>
        <v>2</v>
      </c>
      <c r="I133" s="31" t="n">
        <f aca="false">IF(H133=1,10,IF(H133=2,6,IF(H133=3,3,1)))</f>
        <v>6</v>
      </c>
      <c r="J133" s="71" t="n">
        <v>2</v>
      </c>
      <c r="K133" s="72" t="n">
        <v>6</v>
      </c>
      <c r="M133" s="68" t="n">
        <f aca="false">D133+K133</f>
        <v>22</v>
      </c>
      <c r="N133" s="31" t="n">
        <f aca="false">E133+G133</f>
        <v>16</v>
      </c>
      <c r="O133" s="23" t="n">
        <f aca="false">RANK(M133,M$106:M$133,0)</f>
        <v>3</v>
      </c>
      <c r="P133" s="72" t="n">
        <v>3</v>
      </c>
      <c r="Q133" s="4"/>
      <c r="R133" s="68" t="n">
        <f aca="false">P133</f>
        <v>3</v>
      </c>
      <c r="S133" s="70" t="str">
        <f aca="false">C133</f>
        <v>Spiller 18</v>
      </c>
      <c r="T133" s="70" t="n">
        <f aca="false">M133</f>
        <v>22</v>
      </c>
      <c r="U133" s="31" t="n">
        <f aca="false">N133</f>
        <v>16</v>
      </c>
      <c r="W133" s="73" t="n">
        <v>7</v>
      </c>
      <c r="X133" s="74" t="s">
        <v>37</v>
      </c>
      <c r="Y133" s="74" t="n">
        <v>19</v>
      </c>
      <c r="Z133" s="72" t="n">
        <v>18</v>
      </c>
      <c r="AB133" s="75" t="n">
        <v>28</v>
      </c>
      <c r="AC133" s="74" t="s">
        <v>18</v>
      </c>
      <c r="AD133" s="86" t="n">
        <v>3</v>
      </c>
      <c r="AE133" s="77" t="n">
        <v>-24.5</v>
      </c>
    </row>
    <row r="136" customFormat="false" ht="14.25" hidden="false" customHeight="false" outlineLevel="0" collapsed="false">
      <c r="A136" s="2" t="s">
        <v>93</v>
      </c>
      <c r="J136" s="3" t="s">
        <v>94</v>
      </c>
      <c r="P136" s="3" t="s">
        <v>95</v>
      </c>
      <c r="W136" s="3" t="s">
        <v>96</v>
      </c>
      <c r="AB136" s="3" t="s">
        <v>97</v>
      </c>
    </row>
    <row r="137" customFormat="false" ht="14.25" hidden="false" customHeight="false" outlineLevel="0" collapsed="false">
      <c r="A137" s="38" t="s">
        <v>61</v>
      </c>
      <c r="M137" s="38" t="s">
        <v>98</v>
      </c>
      <c r="P137" s="38"/>
      <c r="R137" s="38" t="s">
        <v>99</v>
      </c>
      <c r="W137" s="39" t="s">
        <v>100</v>
      </c>
      <c r="AB137" s="39" t="s">
        <v>101</v>
      </c>
    </row>
    <row r="138" customFormat="false" ht="14.25" hidden="false" customHeight="false" outlineLevel="0" collapsed="false">
      <c r="A138" s="4" t="s">
        <v>47</v>
      </c>
      <c r="B138" s="39" t="s">
        <v>9</v>
      </c>
      <c r="C138" s="4" t="s">
        <v>7</v>
      </c>
      <c r="D138" s="4" t="s">
        <v>89</v>
      </c>
      <c r="E138" s="4" t="s">
        <v>90</v>
      </c>
      <c r="F138" s="39" t="s">
        <v>102</v>
      </c>
      <c r="G138" s="39" t="s">
        <v>103</v>
      </c>
      <c r="H138" s="39" t="s">
        <v>104</v>
      </c>
      <c r="I138" s="39" t="s">
        <v>105</v>
      </c>
      <c r="J138" s="5" t="s">
        <v>104</v>
      </c>
      <c r="K138" s="5" t="s">
        <v>106</v>
      </c>
      <c r="M138" s="39" t="s">
        <v>107</v>
      </c>
      <c r="N138" s="39" t="s">
        <v>108</v>
      </c>
      <c r="O138" s="39" t="s">
        <v>109</v>
      </c>
      <c r="P138" s="39" t="s">
        <v>110</v>
      </c>
      <c r="R138" s="39" t="s">
        <v>110</v>
      </c>
      <c r="S138" s="39" t="s">
        <v>7</v>
      </c>
      <c r="T138" s="39" t="s">
        <v>107</v>
      </c>
      <c r="U138" s="39" t="s">
        <v>108</v>
      </c>
      <c r="W138" s="39" t="s">
        <v>110</v>
      </c>
      <c r="X138" s="39" t="s">
        <v>7</v>
      </c>
      <c r="Y138" s="39" t="s">
        <v>107</v>
      </c>
      <c r="Z138" s="39" t="s">
        <v>108</v>
      </c>
      <c r="AB138" s="39" t="s">
        <v>110</v>
      </c>
      <c r="AC138" s="39" t="s">
        <v>7</v>
      </c>
      <c r="AD138" s="39" t="s">
        <v>107</v>
      </c>
      <c r="AE138" s="39" t="s">
        <v>108</v>
      </c>
    </row>
    <row r="139" customFormat="false" ht="14.25" hidden="false" customHeight="false" outlineLevel="0" collapsed="false">
      <c r="A139" s="40" t="n">
        <v>1</v>
      </c>
      <c r="B139" s="78" t="n">
        <v>7</v>
      </c>
      <c r="C139" s="45" t="str">
        <f aca="false">LOOKUP(B139,H$8:H$35,F$8:F$35)</f>
        <v>Spiller 24</v>
      </c>
      <c r="D139" s="46" t="n">
        <f aca="false">INDEX(Y$106:Y$133,MATCH(C139,X$106:X$133,0))</f>
        <v>19</v>
      </c>
      <c r="E139" s="46" t="n">
        <f aca="false">INDEX(Z$106:Z$133,MATCH(C139,X$106:X$133,0))</f>
        <v>11.75</v>
      </c>
      <c r="F139" s="79" t="n">
        <v>38</v>
      </c>
      <c r="G139" s="45" t="n">
        <f aca="false">F139-AVERAGE(F$139:F$142)</f>
        <v>-7</v>
      </c>
      <c r="H139" s="41" t="n">
        <f aca="false">RANK(F139,F$139:F$142)</f>
        <v>3</v>
      </c>
      <c r="I139" s="49" t="n">
        <f aca="false">IF(H139=1,10,IF(H139=2,6,IF(H139=3,3,1)))</f>
        <v>3</v>
      </c>
      <c r="J139" s="47" t="n">
        <v>3</v>
      </c>
      <c r="K139" s="48" t="n">
        <v>3</v>
      </c>
      <c r="M139" s="41" t="n">
        <f aca="false">D139+K139</f>
        <v>22</v>
      </c>
      <c r="N139" s="49" t="n">
        <f aca="false">E139+G139</f>
        <v>4.75</v>
      </c>
      <c r="O139" s="45" t="n">
        <f aca="false">RANK(M139,M$139:M$166,0)</f>
        <v>11</v>
      </c>
      <c r="P139" s="48" t="n">
        <v>12</v>
      </c>
      <c r="Q139" s="4"/>
      <c r="R139" s="41" t="n">
        <f aca="false">P139</f>
        <v>12</v>
      </c>
      <c r="S139" s="46" t="str">
        <f aca="false">C139</f>
        <v>Spiller 24</v>
      </c>
      <c r="T139" s="46" t="n">
        <f aca="false">M139</f>
        <v>22</v>
      </c>
      <c r="U139" s="49" t="n">
        <f aca="false">N139</f>
        <v>4.75</v>
      </c>
      <c r="W139" s="50" t="n">
        <v>23</v>
      </c>
      <c r="X139" s="51" t="s">
        <v>11</v>
      </c>
      <c r="Y139" s="51" t="n">
        <v>13</v>
      </c>
      <c r="Z139" s="48" t="n">
        <v>-9</v>
      </c>
      <c r="AB139" s="52" t="n">
        <v>1</v>
      </c>
      <c r="AC139" s="51" t="s">
        <v>30</v>
      </c>
      <c r="AD139" s="80" t="n">
        <v>40</v>
      </c>
      <c r="AE139" s="54" t="n">
        <v>35.5</v>
      </c>
    </row>
    <row r="140" customFormat="false" ht="14.25" hidden="false" customHeight="false" outlineLevel="0" collapsed="false">
      <c r="A140" s="4" t="n">
        <v>1</v>
      </c>
      <c r="B140" s="81" t="n">
        <v>9</v>
      </c>
      <c r="C140" s="15" t="str">
        <f aca="false">LOOKUP(B140,H$8:H$35,F$8:F$35)</f>
        <v>Spiller 17</v>
      </c>
      <c r="D140" s="59" t="n">
        <f aca="false">INDEX(Y$106:Y$133,MATCH(C140,X$106:X$133,0))</f>
        <v>17</v>
      </c>
      <c r="E140" s="29" t="n">
        <f aca="false">INDEX(Z$106:Z$133,MATCH(C140,X$106:X$133,0))</f>
        <v>-8.75</v>
      </c>
      <c r="F140" s="82" t="n">
        <v>58</v>
      </c>
      <c r="G140" s="15" t="n">
        <f aca="false">F140-AVERAGE(F$139:F$142)</f>
        <v>13</v>
      </c>
      <c r="H140" s="55" t="n">
        <f aca="false">RANK(F140,F$139:F$142)</f>
        <v>1</v>
      </c>
      <c r="I140" s="29" t="n">
        <f aca="false">IF(H140=1,10,IF(H140=2,6,IF(H140=3,3,1)))</f>
        <v>10</v>
      </c>
      <c r="J140" s="60" t="n">
        <v>1</v>
      </c>
      <c r="K140" s="61" t="n">
        <v>10</v>
      </c>
      <c r="M140" s="55" t="n">
        <f aca="false">D140+K140</f>
        <v>27</v>
      </c>
      <c r="N140" s="29" t="n">
        <f aca="false">E140+G140</f>
        <v>4.25</v>
      </c>
      <c r="O140" s="15" t="n">
        <f aca="false">RANK(M140,M$139:M$166,0)</f>
        <v>7</v>
      </c>
      <c r="P140" s="61" t="n">
        <v>9</v>
      </c>
      <c r="Q140" s="4"/>
      <c r="R140" s="55" t="n">
        <f aca="false">P140</f>
        <v>9</v>
      </c>
      <c r="S140" s="59" t="str">
        <f aca="false">C140</f>
        <v>Spiller 17</v>
      </c>
      <c r="T140" s="59" t="n">
        <f aca="false">M140</f>
        <v>27</v>
      </c>
      <c r="U140" s="29" t="n">
        <f aca="false">N140</f>
        <v>4.25</v>
      </c>
      <c r="W140" s="62" t="n">
        <v>15</v>
      </c>
      <c r="X140" s="63" t="s">
        <v>13</v>
      </c>
      <c r="Y140" s="63" t="n">
        <v>20</v>
      </c>
      <c r="Z140" s="61" t="n">
        <v>6</v>
      </c>
      <c r="AB140" s="64" t="n">
        <v>2</v>
      </c>
      <c r="AC140" s="63" t="s">
        <v>14</v>
      </c>
      <c r="AD140" s="83" t="n">
        <v>32</v>
      </c>
      <c r="AE140" s="66" t="n">
        <v>27</v>
      </c>
    </row>
    <row r="141" customFormat="false" ht="14.25" hidden="false" customHeight="false" outlineLevel="0" collapsed="false">
      <c r="A141" s="4" t="n">
        <v>1</v>
      </c>
      <c r="B141" s="81" t="n">
        <v>17</v>
      </c>
      <c r="C141" s="15" t="str">
        <f aca="false">LOOKUP(B141,H$8:H$35,F$8:F$35)</f>
        <v>Spiller 06</v>
      </c>
      <c r="D141" s="59" t="n">
        <f aca="false">INDEX(Y$106:Y$133,MATCH(C141,X$106:X$133,0))</f>
        <v>15</v>
      </c>
      <c r="E141" s="29" t="n">
        <f aca="false">INDEX(Z$106:Z$133,MATCH(C141,X$106:X$133,0))</f>
        <v>-3.75</v>
      </c>
      <c r="F141" s="82" t="n">
        <v>26</v>
      </c>
      <c r="G141" s="15" t="n">
        <f aca="false">F141-AVERAGE(F$139:F$142)</f>
        <v>-19</v>
      </c>
      <c r="H141" s="55" t="n">
        <f aca="false">RANK(F141,F$139:F$142)</f>
        <v>4</v>
      </c>
      <c r="I141" s="29" t="n">
        <f aca="false">IF(H141=1,10,IF(H141=2,6,IF(H141=3,3,1)))</f>
        <v>1</v>
      </c>
      <c r="J141" s="60" t="n">
        <v>4</v>
      </c>
      <c r="K141" s="61" t="n">
        <v>1</v>
      </c>
      <c r="M141" s="55" t="n">
        <f aca="false">D141+K141</f>
        <v>16</v>
      </c>
      <c r="N141" s="29" t="n">
        <f aca="false">E141+G141</f>
        <v>-22.75</v>
      </c>
      <c r="O141" s="15" t="n">
        <f aca="false">RANK(M141,M$139:M$166,0)</f>
        <v>21</v>
      </c>
      <c r="P141" s="61" t="n">
        <v>22</v>
      </c>
      <c r="Q141" s="4"/>
      <c r="R141" s="55" t="n">
        <f aca="false">P141</f>
        <v>22</v>
      </c>
      <c r="S141" s="59" t="str">
        <f aca="false">C141</f>
        <v>Spiller 06</v>
      </c>
      <c r="T141" s="59" t="n">
        <f aca="false">M141</f>
        <v>16</v>
      </c>
      <c r="U141" s="29" t="n">
        <f aca="false">N141</f>
        <v>-22.75</v>
      </c>
      <c r="W141" s="62" t="n">
        <v>8</v>
      </c>
      <c r="X141" s="63" t="s">
        <v>15</v>
      </c>
      <c r="Y141" s="63" t="n">
        <v>27</v>
      </c>
      <c r="Z141" s="61" t="n">
        <v>7.5</v>
      </c>
      <c r="AB141" s="64" t="n">
        <v>3</v>
      </c>
      <c r="AC141" s="63" t="s">
        <v>36</v>
      </c>
      <c r="AD141" s="83" t="n">
        <v>29</v>
      </c>
      <c r="AE141" s="66" t="n">
        <v>17.5</v>
      </c>
    </row>
    <row r="142" customFormat="false" ht="14.25" hidden="false" customHeight="false" outlineLevel="0" collapsed="false">
      <c r="A142" s="67" t="n">
        <v>1</v>
      </c>
      <c r="B142" s="84" t="n">
        <v>27</v>
      </c>
      <c r="C142" s="23" t="str">
        <f aca="false">LOOKUP(B142,H$8:H$35,F$8:F$35)</f>
        <v>Spiller 23</v>
      </c>
      <c r="D142" s="70" t="n">
        <f aca="false">INDEX(Y$106:Y$133,MATCH(C142,X$106:X$133,0))</f>
        <v>19</v>
      </c>
      <c r="E142" s="31" t="n">
        <f aca="false">INDEX(Z$106:Z$133,MATCH(C142,X$106:X$133,0))</f>
        <v>4.5</v>
      </c>
      <c r="F142" s="85" t="n">
        <v>58</v>
      </c>
      <c r="G142" s="23" t="n">
        <f aca="false">F142-AVERAGE(F$139:F$142)</f>
        <v>13</v>
      </c>
      <c r="H142" s="68" t="n">
        <f aca="false">RANK(F142,F$139:F$142)</f>
        <v>1</v>
      </c>
      <c r="I142" s="31" t="n">
        <f aca="false">IF(H142=1,10,IF(H142=2,6,IF(H142=3,3,1)))</f>
        <v>10</v>
      </c>
      <c r="J142" s="71" t="n">
        <v>1</v>
      </c>
      <c r="K142" s="72" t="n">
        <v>10</v>
      </c>
      <c r="M142" s="68" t="n">
        <f aca="false">D142+K142</f>
        <v>29</v>
      </c>
      <c r="N142" s="31" t="n">
        <f aca="false">E142+G142</f>
        <v>17.5</v>
      </c>
      <c r="O142" s="23" t="n">
        <f aca="false">RANK(M142,M$139:M$166,0)</f>
        <v>3</v>
      </c>
      <c r="P142" s="72" t="n">
        <v>3</v>
      </c>
      <c r="Q142" s="4"/>
      <c r="R142" s="68" t="n">
        <f aca="false">P142</f>
        <v>3</v>
      </c>
      <c r="S142" s="70" t="str">
        <f aca="false">C142</f>
        <v>Spiller 23</v>
      </c>
      <c r="T142" s="70" t="n">
        <f aca="false">M142</f>
        <v>29</v>
      </c>
      <c r="U142" s="31" t="n">
        <f aca="false">N142</f>
        <v>17.5</v>
      </c>
      <c r="W142" s="73" t="n">
        <v>20</v>
      </c>
      <c r="X142" s="74" t="s">
        <v>17</v>
      </c>
      <c r="Y142" s="74" t="n">
        <v>17</v>
      </c>
      <c r="Z142" s="72" t="n">
        <v>-11</v>
      </c>
      <c r="AB142" s="75" t="n">
        <v>4</v>
      </c>
      <c r="AC142" s="74" t="s">
        <v>33</v>
      </c>
      <c r="AD142" s="86" t="n">
        <v>29</v>
      </c>
      <c r="AE142" s="77" t="n">
        <v>13.25</v>
      </c>
    </row>
    <row r="143" customFormat="false" ht="14.25" hidden="false" customHeight="false" outlineLevel="0" collapsed="false">
      <c r="A143" s="4" t="n">
        <v>2</v>
      </c>
      <c r="B143" s="81" t="n">
        <v>6</v>
      </c>
      <c r="C143" s="15" t="str">
        <f aca="false">LOOKUP(B143,H$8:H$35,F$8:F$35)</f>
        <v>Spiller 10</v>
      </c>
      <c r="D143" s="59" t="n">
        <f aca="false">INDEX(Y$106:Y$133,MATCH(C143,X$106:X$133,0))</f>
        <v>17</v>
      </c>
      <c r="E143" s="29" t="n">
        <f aca="false">INDEX(Z$106:Z$133,MATCH(C143,X$106:X$133,0))</f>
        <v>7</v>
      </c>
      <c r="F143" s="82" t="n">
        <v>26</v>
      </c>
      <c r="G143" s="15" t="n">
        <f aca="false">F143-AVERAGE(F$143:F$146)</f>
        <v>-15.5</v>
      </c>
      <c r="H143" s="55" t="n">
        <f aca="false">RANK(F143,F$143:F$146)</f>
        <v>4</v>
      </c>
      <c r="I143" s="29" t="n">
        <f aca="false">IF(H143=1,10,IF(H143=2,6,IF(H143=3,3,1)))</f>
        <v>1</v>
      </c>
      <c r="J143" s="60" t="n">
        <v>4</v>
      </c>
      <c r="K143" s="61" t="n">
        <v>1</v>
      </c>
      <c r="M143" s="55" t="n">
        <f aca="false">D143+K143</f>
        <v>18</v>
      </c>
      <c r="N143" s="29" t="n">
        <f aca="false">E143+G143</f>
        <v>-8.5</v>
      </c>
      <c r="O143" s="15" t="n">
        <f aca="false">RANK(M143,M$139:M$166,0)</f>
        <v>16</v>
      </c>
      <c r="P143" s="61" t="n">
        <v>16</v>
      </c>
      <c r="Q143" s="4"/>
      <c r="R143" s="55" t="n">
        <f aca="false">P143</f>
        <v>16</v>
      </c>
      <c r="S143" s="59" t="str">
        <f aca="false">C143</f>
        <v>Spiller 10</v>
      </c>
      <c r="T143" s="59" t="n">
        <f aca="false">M143</f>
        <v>18</v>
      </c>
      <c r="U143" s="29" t="n">
        <f aca="false">N143</f>
        <v>-8.5</v>
      </c>
      <c r="W143" s="62" t="n">
        <v>7</v>
      </c>
      <c r="X143" s="63" t="s">
        <v>12</v>
      </c>
      <c r="Y143" s="63" t="n">
        <v>27</v>
      </c>
      <c r="Z143" s="61" t="n">
        <v>21.75</v>
      </c>
      <c r="AB143" s="64" t="n">
        <v>5</v>
      </c>
      <c r="AC143" s="63" t="s">
        <v>31</v>
      </c>
      <c r="AD143" s="83" t="n">
        <v>28</v>
      </c>
      <c r="AE143" s="66" t="n">
        <v>25.5</v>
      </c>
    </row>
    <row r="144" customFormat="false" ht="14.25" hidden="false" customHeight="false" outlineLevel="0" collapsed="false">
      <c r="A144" s="4" t="n">
        <v>2</v>
      </c>
      <c r="B144" s="81" t="n">
        <v>10</v>
      </c>
      <c r="C144" s="15" t="str">
        <f aca="false">LOOKUP(B144,H$8:H$35,F$8:F$35)</f>
        <v>Spiller 25</v>
      </c>
      <c r="D144" s="59" t="n">
        <f aca="false">INDEX(Y$106:Y$133,MATCH(C144,X$106:X$133,0))</f>
        <v>22</v>
      </c>
      <c r="E144" s="29" t="n">
        <f aca="false">INDEX(Z$106:Z$133,MATCH(C144,X$106:X$133,0))</f>
        <v>5.25</v>
      </c>
      <c r="F144" s="82" t="n">
        <v>48</v>
      </c>
      <c r="G144" s="15" t="n">
        <f aca="false">F144-AVERAGE(F$143:F$146)</f>
        <v>6.5</v>
      </c>
      <c r="H144" s="55" t="n">
        <f aca="false">RANK(F144,F$143:F$146)</f>
        <v>2</v>
      </c>
      <c r="I144" s="29" t="n">
        <f aca="false">IF(H144=1,10,IF(H144=2,6,IF(H144=3,3,1)))</f>
        <v>6</v>
      </c>
      <c r="J144" s="60" t="n">
        <v>2</v>
      </c>
      <c r="K144" s="61" t="n">
        <v>6</v>
      </c>
      <c r="M144" s="55" t="n">
        <f aca="false">D144+K144</f>
        <v>28</v>
      </c>
      <c r="N144" s="29" t="n">
        <f aca="false">E144+G144</f>
        <v>11.75</v>
      </c>
      <c r="O144" s="15" t="n">
        <f aca="false">RANK(M144,M$139:M$166,0)</f>
        <v>5</v>
      </c>
      <c r="P144" s="61" t="n">
        <v>6</v>
      </c>
      <c r="Q144" s="4"/>
      <c r="R144" s="55" t="n">
        <f aca="false">P144</f>
        <v>6</v>
      </c>
      <c r="S144" s="59" t="str">
        <f aca="false">C144</f>
        <v>Spiller 25</v>
      </c>
      <c r="T144" s="59" t="n">
        <f aca="false">M144</f>
        <v>28</v>
      </c>
      <c r="U144" s="29" t="n">
        <f aca="false">N144</f>
        <v>11.75</v>
      </c>
      <c r="W144" s="62" t="n">
        <v>22</v>
      </c>
      <c r="X144" s="63" t="s">
        <v>19</v>
      </c>
      <c r="Y144" s="63" t="n">
        <v>16</v>
      </c>
      <c r="Z144" s="61" t="n">
        <v>-22.75</v>
      </c>
      <c r="AB144" s="64" t="n">
        <v>6</v>
      </c>
      <c r="AC144" s="63" t="s">
        <v>26</v>
      </c>
      <c r="AD144" s="83" t="n">
        <v>28</v>
      </c>
      <c r="AE144" s="66" t="n">
        <v>11.75</v>
      </c>
    </row>
    <row r="145" customFormat="false" ht="14.25" hidden="false" customHeight="false" outlineLevel="0" collapsed="false">
      <c r="A145" s="4" t="n">
        <v>2</v>
      </c>
      <c r="B145" s="81" t="n">
        <v>15</v>
      </c>
      <c r="C145" s="15" t="str">
        <f aca="false">LOOKUP(B145,H$8:H$35,F$8:F$35)</f>
        <v>Spiller 15</v>
      </c>
      <c r="D145" s="59" t="n">
        <f aca="false">INDEX(Y$106:Y$133,MATCH(C145,X$106:X$133,0))</f>
        <v>30</v>
      </c>
      <c r="E145" s="29" t="n">
        <f aca="false">INDEX(Z$106:Z$133,MATCH(C145,X$106:X$133,0))</f>
        <v>19</v>
      </c>
      <c r="F145" s="82" t="n">
        <v>58</v>
      </c>
      <c r="G145" s="15" t="n">
        <f aca="false">F145-AVERAGE(F$143:F$146)</f>
        <v>16.5</v>
      </c>
      <c r="H145" s="55" t="n">
        <f aca="false">RANK(F145,F$143:F$146)</f>
        <v>1</v>
      </c>
      <c r="I145" s="29" t="n">
        <f aca="false">IF(H145=1,10,IF(H145=2,6,IF(H145=3,3,1)))</f>
        <v>10</v>
      </c>
      <c r="J145" s="60" t="n">
        <v>1</v>
      </c>
      <c r="K145" s="61" t="n">
        <v>10</v>
      </c>
      <c r="M145" s="55" t="n">
        <f aca="false">D145+K145</f>
        <v>40</v>
      </c>
      <c r="N145" s="29" t="n">
        <f aca="false">E145+G145</f>
        <v>35.5</v>
      </c>
      <c r="O145" s="15" t="n">
        <f aca="false">RANK(M145,M$139:M$166,0)</f>
        <v>1</v>
      </c>
      <c r="P145" s="61" t="n">
        <v>1</v>
      </c>
      <c r="Q145" s="4"/>
      <c r="R145" s="55" t="n">
        <f aca="false">P145</f>
        <v>1</v>
      </c>
      <c r="S145" s="59" t="str">
        <f aca="false">C145</f>
        <v>Spiller 15</v>
      </c>
      <c r="T145" s="59" t="n">
        <f aca="false">M145</f>
        <v>40</v>
      </c>
      <c r="U145" s="29" t="n">
        <f aca="false">N145</f>
        <v>35.5</v>
      </c>
      <c r="W145" s="62" t="n">
        <v>26</v>
      </c>
      <c r="X145" s="63" t="s">
        <v>21</v>
      </c>
      <c r="Y145" s="63" t="n">
        <v>13</v>
      </c>
      <c r="Z145" s="61" t="n">
        <v>-21</v>
      </c>
      <c r="AB145" s="64" t="n">
        <v>7</v>
      </c>
      <c r="AC145" s="63" t="s">
        <v>12</v>
      </c>
      <c r="AD145" s="83" t="n">
        <v>27</v>
      </c>
      <c r="AE145" s="66" t="n">
        <v>21.75</v>
      </c>
    </row>
    <row r="146" customFormat="false" ht="14.25" hidden="false" customHeight="false" outlineLevel="0" collapsed="false">
      <c r="A146" s="67" t="n">
        <v>2</v>
      </c>
      <c r="B146" s="84" t="n">
        <v>26</v>
      </c>
      <c r="C146" s="23" t="str">
        <f aca="false">LOOKUP(B146,H$8:H$35,F$8:F$35)</f>
        <v>Spiller 26</v>
      </c>
      <c r="D146" s="70" t="n">
        <f aca="false">INDEX(Y$106:Y$133,MATCH(C146,X$106:X$133,0))</f>
        <v>7</v>
      </c>
      <c r="E146" s="31" t="n">
        <f aca="false">INDEX(Z$106:Z$133,MATCH(C146,X$106:X$133,0))</f>
        <v>-7.5</v>
      </c>
      <c r="F146" s="85" t="n">
        <v>34</v>
      </c>
      <c r="G146" s="23" t="n">
        <f aca="false">F146-AVERAGE(F$143:F$146)</f>
        <v>-7.5</v>
      </c>
      <c r="H146" s="68" t="n">
        <f aca="false">RANK(F146,F$143:F$146)</f>
        <v>3</v>
      </c>
      <c r="I146" s="31" t="n">
        <f aca="false">IF(H146=1,10,IF(H146=2,6,IF(H146=3,3,1)))</f>
        <v>3</v>
      </c>
      <c r="J146" s="71" t="n">
        <v>3</v>
      </c>
      <c r="K146" s="72" t="n">
        <v>3</v>
      </c>
      <c r="M146" s="68" t="n">
        <f aca="false">D146+K146</f>
        <v>10</v>
      </c>
      <c r="N146" s="31" t="n">
        <f aca="false">E146+G146</f>
        <v>-15</v>
      </c>
      <c r="O146" s="23" t="n">
        <f aca="false">RANK(M146,M$139:M$166,0)</f>
        <v>28</v>
      </c>
      <c r="P146" s="72" t="n">
        <v>28</v>
      </c>
      <c r="Q146" s="4"/>
      <c r="R146" s="68" t="n">
        <f aca="false">P146</f>
        <v>28</v>
      </c>
      <c r="S146" s="70" t="str">
        <f aca="false">C146</f>
        <v>Spiller 26</v>
      </c>
      <c r="T146" s="70" t="n">
        <f aca="false">M146</f>
        <v>10</v>
      </c>
      <c r="U146" s="31" t="n">
        <f aca="false">N146</f>
        <v>-15</v>
      </c>
      <c r="W146" s="73" t="n">
        <v>25</v>
      </c>
      <c r="X146" s="74" t="s">
        <v>18</v>
      </c>
      <c r="Y146" s="74" t="n">
        <v>13</v>
      </c>
      <c r="Z146" s="72" t="n">
        <v>-18.75</v>
      </c>
      <c r="AB146" s="75" t="n">
        <v>8</v>
      </c>
      <c r="AC146" s="74" t="s">
        <v>15</v>
      </c>
      <c r="AD146" s="86" t="n">
        <v>27</v>
      </c>
      <c r="AE146" s="77" t="n">
        <v>7.5</v>
      </c>
    </row>
    <row r="147" customFormat="false" ht="14.25" hidden="false" customHeight="false" outlineLevel="0" collapsed="false">
      <c r="A147" s="4" t="n">
        <v>3</v>
      </c>
      <c r="B147" s="81" t="n">
        <v>2</v>
      </c>
      <c r="C147" s="15" t="str">
        <f aca="false">LOOKUP(B147,H$8:H$35,F$8:F$35)</f>
        <v>Spiller 22</v>
      </c>
      <c r="D147" s="59" t="n">
        <f aca="false">INDEX(Y$106:Y$133,MATCH(C147,X$106:X$133,0))</f>
        <v>22</v>
      </c>
      <c r="E147" s="29" t="n">
        <f aca="false">INDEX(Z$106:Z$133,MATCH(C147,X$106:X$133,0))</f>
        <v>12.25</v>
      </c>
      <c r="F147" s="82" t="n">
        <v>58</v>
      </c>
      <c r="G147" s="15" t="n">
        <f aca="false">F147-AVERAGE(F$147:F$150)</f>
        <v>14.75</v>
      </c>
      <c r="H147" s="55" t="n">
        <f aca="false">RANK(F147,F$147:F$150)</f>
        <v>1</v>
      </c>
      <c r="I147" s="29" t="n">
        <f aca="false">IF(H147=1,10,IF(H147=2,6,IF(H147=3,3,1)))</f>
        <v>10</v>
      </c>
      <c r="J147" s="60" t="n">
        <v>1</v>
      </c>
      <c r="K147" s="61" t="n">
        <v>10</v>
      </c>
      <c r="M147" s="55" t="n">
        <f aca="false">D147+K147</f>
        <v>32</v>
      </c>
      <c r="N147" s="29" t="n">
        <f aca="false">E147+G147</f>
        <v>27</v>
      </c>
      <c r="O147" s="15" t="n">
        <f aca="false">RANK(M147,M$139:M$166,0)</f>
        <v>2</v>
      </c>
      <c r="P147" s="61" t="n">
        <v>2</v>
      </c>
      <c r="Q147" s="4"/>
      <c r="R147" s="55" t="n">
        <f aca="false">P147</f>
        <v>2</v>
      </c>
      <c r="S147" s="59" t="str">
        <f aca="false">C147</f>
        <v>Spiller 22</v>
      </c>
      <c r="T147" s="59" t="n">
        <f aca="false">M147</f>
        <v>32</v>
      </c>
      <c r="U147" s="29" t="n">
        <f aca="false">N147</f>
        <v>27</v>
      </c>
      <c r="W147" s="62" t="n">
        <v>24</v>
      </c>
      <c r="X147" s="63" t="s">
        <v>24</v>
      </c>
      <c r="Y147" s="63" t="n">
        <v>13</v>
      </c>
      <c r="Z147" s="61" t="n">
        <v>-10.5</v>
      </c>
      <c r="AB147" s="64" t="n">
        <v>9</v>
      </c>
      <c r="AC147" s="63" t="s">
        <v>25</v>
      </c>
      <c r="AD147" s="83" t="n">
        <v>27</v>
      </c>
      <c r="AE147" s="66" t="n">
        <v>4.25</v>
      </c>
    </row>
    <row r="148" customFormat="false" ht="14.25" hidden="false" customHeight="false" outlineLevel="0" collapsed="false">
      <c r="A148" s="4" t="n">
        <v>3</v>
      </c>
      <c r="B148" s="81" t="n">
        <v>3</v>
      </c>
      <c r="C148" s="15" t="str">
        <f aca="false">LOOKUP(B148,H$8:H$35,F$8:F$35)</f>
        <v>Spiller 11</v>
      </c>
      <c r="D148" s="59" t="n">
        <f aca="false">INDEX(Y$106:Y$133,MATCH(C148,X$106:X$133,0))</f>
        <v>17</v>
      </c>
      <c r="E148" s="29" t="n">
        <f aca="false">INDEX(Z$106:Z$133,MATCH(C148,X$106:X$133,0))</f>
        <v>-2.25</v>
      </c>
      <c r="F148" s="82" t="n">
        <v>30</v>
      </c>
      <c r="G148" s="15" t="n">
        <f aca="false">F148-AVERAGE(F$147:F$150)</f>
        <v>-13.25</v>
      </c>
      <c r="H148" s="55" t="n">
        <f aca="false">RANK(F148,F$147:F$150)</f>
        <v>4</v>
      </c>
      <c r="I148" s="29" t="n">
        <f aca="false">IF(H148=1,10,IF(H148=2,6,IF(H148=3,3,1)))</f>
        <v>1</v>
      </c>
      <c r="J148" s="60" t="n">
        <v>4</v>
      </c>
      <c r="K148" s="61" t="n">
        <v>1</v>
      </c>
      <c r="M148" s="55" t="n">
        <f aca="false">D148+K148</f>
        <v>18</v>
      </c>
      <c r="N148" s="29" t="n">
        <f aca="false">E148+G148</f>
        <v>-15.5</v>
      </c>
      <c r="O148" s="15" t="n">
        <f aca="false">RANK(M148,M$139:M$166,0)</f>
        <v>16</v>
      </c>
      <c r="P148" s="61" t="n">
        <v>18</v>
      </c>
      <c r="Q148" s="4"/>
      <c r="R148" s="55" t="n">
        <f aca="false">P148</f>
        <v>18</v>
      </c>
      <c r="S148" s="59" t="str">
        <f aca="false">C148</f>
        <v>Spiller 11</v>
      </c>
      <c r="T148" s="59" t="n">
        <f aca="false">M148</f>
        <v>18</v>
      </c>
      <c r="U148" s="29" t="n">
        <f aca="false">N148</f>
        <v>-15.5</v>
      </c>
      <c r="W148" s="62" t="n">
        <v>16</v>
      </c>
      <c r="X148" s="63" t="s">
        <v>20</v>
      </c>
      <c r="Y148" s="63" t="n">
        <v>18</v>
      </c>
      <c r="Z148" s="61" t="n">
        <v>-8.5</v>
      </c>
      <c r="AB148" s="64" t="n">
        <v>10</v>
      </c>
      <c r="AC148" s="63" t="s">
        <v>32</v>
      </c>
      <c r="AD148" s="83" t="n">
        <v>25</v>
      </c>
      <c r="AE148" s="66" t="n">
        <v>13.75</v>
      </c>
    </row>
    <row r="149" customFormat="false" ht="14.25" hidden="false" customHeight="false" outlineLevel="0" collapsed="false">
      <c r="A149" s="4" t="n">
        <v>3</v>
      </c>
      <c r="B149" s="81" t="n">
        <v>22</v>
      </c>
      <c r="C149" s="15" t="str">
        <f aca="false">LOOKUP(B149,H$8:H$35,F$8:F$35)</f>
        <v>Spiller 21</v>
      </c>
      <c r="D149" s="59" t="n">
        <f aca="false">INDEX(Y$106:Y$133,MATCH(C149,X$106:X$133,0))</f>
        <v>16</v>
      </c>
      <c r="E149" s="29" t="n">
        <f aca="false">INDEX(Z$106:Z$133,MATCH(C149,X$106:X$133,0))</f>
        <v>-5</v>
      </c>
      <c r="F149" s="82" t="n">
        <v>44</v>
      </c>
      <c r="G149" s="15" t="n">
        <f aca="false">F149-AVERAGE(F$147:F$150)</f>
        <v>0.75</v>
      </c>
      <c r="H149" s="55" t="n">
        <f aca="false">RANK(F149,F$147:F$150)</f>
        <v>2</v>
      </c>
      <c r="I149" s="29" t="n">
        <f aca="false">IF(H149=1,10,IF(H149=2,6,IF(H149=3,3,1)))</f>
        <v>6</v>
      </c>
      <c r="J149" s="60" t="n">
        <v>2</v>
      </c>
      <c r="K149" s="61" t="n">
        <v>6</v>
      </c>
      <c r="M149" s="55" t="n">
        <f aca="false">D149+K149</f>
        <v>22</v>
      </c>
      <c r="N149" s="29" t="n">
        <f aca="false">E149+G149</f>
        <v>-4.25</v>
      </c>
      <c r="O149" s="15" t="n">
        <f aca="false">RANK(M149,M$139:M$166,0)</f>
        <v>11</v>
      </c>
      <c r="P149" s="61" t="n">
        <v>14</v>
      </c>
      <c r="Q149" s="4"/>
      <c r="R149" s="55" t="n">
        <f aca="false">P149</f>
        <v>14</v>
      </c>
      <c r="S149" s="59" t="str">
        <f aca="false">C149</f>
        <v>Spiller 21</v>
      </c>
      <c r="T149" s="59" t="n">
        <f aca="false">M149</f>
        <v>22</v>
      </c>
      <c r="U149" s="29" t="n">
        <f aca="false">N149</f>
        <v>-4.25</v>
      </c>
      <c r="W149" s="62" t="n">
        <v>18</v>
      </c>
      <c r="X149" s="63" t="s">
        <v>16</v>
      </c>
      <c r="Y149" s="63" t="n">
        <v>18</v>
      </c>
      <c r="Z149" s="61" t="n">
        <v>-15.5</v>
      </c>
      <c r="AB149" s="64" t="n">
        <v>11</v>
      </c>
      <c r="AC149" s="63" t="s">
        <v>37</v>
      </c>
      <c r="AD149" s="83" t="n">
        <v>22</v>
      </c>
      <c r="AE149" s="66" t="n">
        <v>12.25</v>
      </c>
    </row>
    <row r="150" customFormat="false" ht="14.25" hidden="false" customHeight="false" outlineLevel="0" collapsed="false">
      <c r="A150" s="67" t="n">
        <v>3</v>
      </c>
      <c r="B150" s="84" t="n">
        <v>25</v>
      </c>
      <c r="C150" s="23" t="str">
        <f aca="false">LOOKUP(B150,H$8:H$35,F$8:F$35)</f>
        <v>Spiller 18</v>
      </c>
      <c r="D150" s="70" t="n">
        <f aca="false">INDEX(Y$106:Y$133,MATCH(C150,X$106:X$133,0))</f>
        <v>22</v>
      </c>
      <c r="E150" s="31" t="n">
        <f aca="false">INDEX(Z$106:Z$133,MATCH(C150,X$106:X$133,0))</f>
        <v>16</v>
      </c>
      <c r="F150" s="85" t="n">
        <v>41</v>
      </c>
      <c r="G150" s="23" t="n">
        <f aca="false">F150-AVERAGE(F$147:F$150)</f>
        <v>-2.25</v>
      </c>
      <c r="H150" s="68" t="n">
        <f aca="false">RANK(F150,F$147:F$150)</f>
        <v>3</v>
      </c>
      <c r="I150" s="31" t="n">
        <f aca="false">IF(H150=1,10,IF(H150=2,6,IF(H150=3,3,1)))</f>
        <v>3</v>
      </c>
      <c r="J150" s="71" t="n">
        <v>3</v>
      </c>
      <c r="K150" s="72" t="n">
        <v>3</v>
      </c>
      <c r="M150" s="68" t="n">
        <f aca="false">D150+K150</f>
        <v>25</v>
      </c>
      <c r="N150" s="31" t="n">
        <f aca="false">E150+G150</f>
        <v>13.75</v>
      </c>
      <c r="O150" s="23" t="n">
        <f aca="false">RANK(M150,M$139:M$166,0)</f>
        <v>10</v>
      </c>
      <c r="P150" s="72" t="n">
        <v>10</v>
      </c>
      <c r="Q150" s="4"/>
      <c r="R150" s="68" t="n">
        <f aca="false">P150</f>
        <v>10</v>
      </c>
      <c r="S150" s="70" t="str">
        <f aca="false">C150</f>
        <v>Spiller 18</v>
      </c>
      <c r="T150" s="70" t="n">
        <f aca="false">M150</f>
        <v>25</v>
      </c>
      <c r="U150" s="31" t="n">
        <f aca="false">N150</f>
        <v>13.75</v>
      </c>
      <c r="W150" s="73" t="n">
        <v>27</v>
      </c>
      <c r="X150" s="74" t="s">
        <v>28</v>
      </c>
      <c r="Y150" s="74" t="n">
        <v>11</v>
      </c>
      <c r="Z150" s="72" t="n">
        <v>-35</v>
      </c>
      <c r="AB150" s="75" t="n">
        <v>12</v>
      </c>
      <c r="AC150" s="74" t="s">
        <v>22</v>
      </c>
      <c r="AD150" s="86" t="n">
        <v>22</v>
      </c>
      <c r="AE150" s="77" t="n">
        <v>4.75</v>
      </c>
    </row>
    <row r="151" customFormat="false" ht="14.25" hidden="false" customHeight="false" outlineLevel="0" collapsed="false">
      <c r="A151" s="4" t="n">
        <v>4</v>
      </c>
      <c r="B151" s="81" t="n">
        <v>4</v>
      </c>
      <c r="C151" s="15" t="str">
        <f aca="false">LOOKUP(B151,H$8:H$35,F$8:F$35)</f>
        <v>Spiller 08</v>
      </c>
      <c r="D151" s="59" t="n">
        <f aca="false">INDEX(Y$106:Y$133,MATCH(C151,X$106:X$133,0))</f>
        <v>3</v>
      </c>
      <c r="E151" s="29" t="n">
        <f aca="false">INDEX(Z$106:Z$133,MATCH(C151,X$106:X$133,0))</f>
        <v>-24.5</v>
      </c>
      <c r="F151" s="82" t="n">
        <v>48</v>
      </c>
      <c r="G151" s="15" t="n">
        <f aca="false">F151-AVERAGE(F$151:F$154)</f>
        <v>5.75</v>
      </c>
      <c r="H151" s="55" t="n">
        <f aca="false">RANK(F151,F$151:F$154)</f>
        <v>1</v>
      </c>
      <c r="I151" s="29" t="n">
        <f aca="false">IF(H151=1,10,IF(H151=2,6,IF(H151=3,3,1)))</f>
        <v>10</v>
      </c>
      <c r="J151" s="60" t="n">
        <v>1</v>
      </c>
      <c r="K151" s="61" t="n">
        <v>10</v>
      </c>
      <c r="M151" s="55" t="n">
        <f aca="false">D151+K151</f>
        <v>13</v>
      </c>
      <c r="N151" s="29" t="n">
        <f aca="false">E151+G151</f>
        <v>-18.75</v>
      </c>
      <c r="O151" s="15" t="n">
        <f aca="false">RANK(M151,M$139:M$166,0)</f>
        <v>23</v>
      </c>
      <c r="P151" s="61" t="n">
        <v>25</v>
      </c>
      <c r="Q151" s="4"/>
      <c r="R151" s="55" t="n">
        <f aca="false">P151</f>
        <v>25</v>
      </c>
      <c r="S151" s="59" t="str">
        <f aca="false">C151</f>
        <v>Spiller 08</v>
      </c>
      <c r="T151" s="59" t="n">
        <f aca="false">M151</f>
        <v>13</v>
      </c>
      <c r="U151" s="29" t="n">
        <f aca="false">N151</f>
        <v>-18.75</v>
      </c>
      <c r="W151" s="62" t="n">
        <v>17</v>
      </c>
      <c r="X151" s="63" t="s">
        <v>29</v>
      </c>
      <c r="Y151" s="63" t="n">
        <v>18</v>
      </c>
      <c r="Z151" s="61" t="n">
        <v>-14.25</v>
      </c>
      <c r="AB151" s="64" t="n">
        <v>13</v>
      </c>
      <c r="AC151" s="63" t="s">
        <v>23</v>
      </c>
      <c r="AD151" s="83" t="n">
        <v>22</v>
      </c>
      <c r="AE151" s="66" t="n">
        <v>0.75</v>
      </c>
    </row>
    <row r="152" customFormat="false" ht="14.25" hidden="false" customHeight="false" outlineLevel="0" collapsed="false">
      <c r="A152" s="4" t="n">
        <v>4</v>
      </c>
      <c r="B152" s="81" t="n">
        <v>5</v>
      </c>
      <c r="C152" s="15" t="str">
        <f aca="false">LOOKUP(B152,H$8:H$35,F$8:F$35)</f>
        <v>Spiller 04</v>
      </c>
      <c r="D152" s="59" t="n">
        <f aca="false">INDEX(Y$106:Y$133,MATCH(C152,X$106:X$133,0))</f>
        <v>14</v>
      </c>
      <c r="E152" s="29" t="n">
        <f aca="false">INDEX(Z$106:Z$133,MATCH(C152,X$106:X$133,0))</f>
        <v>-7.75</v>
      </c>
      <c r="F152" s="82" t="n">
        <v>39</v>
      </c>
      <c r="G152" s="15" t="n">
        <f aca="false">F152-AVERAGE(F$151:F$154)</f>
        <v>-3.25</v>
      </c>
      <c r="H152" s="55" t="n">
        <f aca="false">RANK(F152,F$151:F$154)</f>
        <v>3</v>
      </c>
      <c r="I152" s="29" t="n">
        <f aca="false">IF(H152=1,10,IF(H152=2,6,IF(H152=3,3,1)))</f>
        <v>3</v>
      </c>
      <c r="J152" s="60" t="n">
        <v>3</v>
      </c>
      <c r="K152" s="61" t="n">
        <v>3</v>
      </c>
      <c r="M152" s="55" t="n">
        <f aca="false">D152+K152</f>
        <v>17</v>
      </c>
      <c r="N152" s="29" t="n">
        <f aca="false">E152+G152</f>
        <v>-11</v>
      </c>
      <c r="O152" s="15" t="n">
        <f aca="false">RANK(M152,M$139:M$166,0)</f>
        <v>19</v>
      </c>
      <c r="P152" s="61" t="n">
        <v>20</v>
      </c>
      <c r="Q152" s="4"/>
      <c r="R152" s="55" t="n">
        <f aca="false">P152</f>
        <v>20</v>
      </c>
      <c r="S152" s="59" t="str">
        <f aca="false">C152</f>
        <v>Spiller 04</v>
      </c>
      <c r="T152" s="59" t="n">
        <f aca="false">M152</f>
        <v>17</v>
      </c>
      <c r="U152" s="29" t="n">
        <f aca="false">N152</f>
        <v>-11</v>
      </c>
      <c r="W152" s="62" t="n">
        <v>21</v>
      </c>
      <c r="X152" s="63" t="s">
        <v>27</v>
      </c>
      <c r="Y152" s="63" t="n">
        <v>16</v>
      </c>
      <c r="Z152" s="61" t="n">
        <v>-6.75</v>
      </c>
      <c r="AB152" s="64" t="n">
        <v>14</v>
      </c>
      <c r="AC152" s="63" t="s">
        <v>35</v>
      </c>
      <c r="AD152" s="83" t="n">
        <v>22</v>
      </c>
      <c r="AE152" s="66" t="n">
        <v>-4.25</v>
      </c>
    </row>
    <row r="153" customFormat="false" ht="14.25" hidden="false" customHeight="false" outlineLevel="0" collapsed="false">
      <c r="A153" s="4" t="n">
        <v>4</v>
      </c>
      <c r="B153" s="81" t="n">
        <v>11</v>
      </c>
      <c r="C153" s="15" t="str">
        <f aca="false">LOOKUP(B153,H$8:H$35,F$8:F$35)</f>
        <v>Spiller 14</v>
      </c>
      <c r="D153" s="59" t="n">
        <f aca="false">INDEX(Y$106:Y$133,MATCH(C153,X$106:X$133,0))</f>
        <v>15</v>
      </c>
      <c r="E153" s="29" t="n">
        <f aca="false">INDEX(Z$106:Z$133,MATCH(C153,X$106:X$133,0))</f>
        <v>0.5</v>
      </c>
      <c r="F153" s="82" t="n">
        <v>35</v>
      </c>
      <c r="G153" s="15" t="n">
        <f aca="false">F153-AVERAGE(F$151:F$154)</f>
        <v>-7.25</v>
      </c>
      <c r="H153" s="55" t="n">
        <f aca="false">RANK(F153,F$151:F$154)</f>
        <v>4</v>
      </c>
      <c r="I153" s="29" t="n">
        <f aca="false">IF(H153=1,10,IF(H153=2,6,IF(H153=3,3,1)))</f>
        <v>1</v>
      </c>
      <c r="J153" s="60" t="n">
        <v>4</v>
      </c>
      <c r="K153" s="61" t="n">
        <v>1</v>
      </c>
      <c r="M153" s="55" t="n">
        <f aca="false">D153+K153</f>
        <v>16</v>
      </c>
      <c r="N153" s="29" t="n">
        <f aca="false">E153+G153</f>
        <v>-6.75</v>
      </c>
      <c r="O153" s="15" t="n">
        <f aca="false">RANK(M153,M$139:M$166,0)</f>
        <v>21</v>
      </c>
      <c r="P153" s="61" t="n">
        <v>21</v>
      </c>
      <c r="Q153" s="4"/>
      <c r="R153" s="55" t="n">
        <f aca="false">P153</f>
        <v>21</v>
      </c>
      <c r="S153" s="59" t="str">
        <f aca="false">C153</f>
        <v>Spiller 14</v>
      </c>
      <c r="T153" s="59" t="n">
        <f aca="false">M153</f>
        <v>16</v>
      </c>
      <c r="U153" s="29" t="n">
        <f aca="false">N153</f>
        <v>-6.75</v>
      </c>
      <c r="W153" s="62" t="n">
        <v>1</v>
      </c>
      <c r="X153" s="63" t="s">
        <v>30</v>
      </c>
      <c r="Y153" s="63" t="n">
        <v>40</v>
      </c>
      <c r="Z153" s="61" t="n">
        <v>35.5</v>
      </c>
      <c r="AB153" s="64" t="n">
        <v>15</v>
      </c>
      <c r="AC153" s="63" t="s">
        <v>13</v>
      </c>
      <c r="AD153" s="83" t="n">
        <v>20</v>
      </c>
      <c r="AE153" s="66" t="n">
        <v>6</v>
      </c>
    </row>
    <row r="154" customFormat="false" ht="14.25" hidden="false" customHeight="false" outlineLevel="0" collapsed="false">
      <c r="A154" s="67" t="n">
        <v>4</v>
      </c>
      <c r="B154" s="84" t="n">
        <v>13</v>
      </c>
      <c r="C154" s="23" t="str">
        <f aca="false">LOOKUP(B154,H$8:H$35,F$8:F$35)</f>
        <v>Spiller 02</v>
      </c>
      <c r="D154" s="70" t="n">
        <f aca="false">INDEX(Y$106:Y$133,MATCH(C154,X$106:X$133,0))</f>
        <v>14</v>
      </c>
      <c r="E154" s="31" t="n">
        <f aca="false">INDEX(Z$106:Z$133,MATCH(C154,X$106:X$133,0))</f>
        <v>1.25</v>
      </c>
      <c r="F154" s="85" t="n">
        <v>47</v>
      </c>
      <c r="G154" s="23" t="n">
        <f aca="false">F154-AVERAGE(F$151:F$154)</f>
        <v>4.75</v>
      </c>
      <c r="H154" s="68" t="n">
        <f aca="false">RANK(F154,F$151:F$154)</f>
        <v>2</v>
      </c>
      <c r="I154" s="31" t="n">
        <f aca="false">IF(H154=1,10,IF(H154=2,6,IF(H154=3,3,1)))</f>
        <v>6</v>
      </c>
      <c r="J154" s="71" t="n">
        <v>2</v>
      </c>
      <c r="K154" s="72" t="n">
        <v>6</v>
      </c>
      <c r="M154" s="68" t="n">
        <f aca="false">D154+K154</f>
        <v>20</v>
      </c>
      <c r="N154" s="31" t="n">
        <f aca="false">E154+G154</f>
        <v>6</v>
      </c>
      <c r="O154" s="23" t="n">
        <f aca="false">RANK(M154,M$139:M$166,0)</f>
        <v>15</v>
      </c>
      <c r="P154" s="72" t="n">
        <v>15</v>
      </c>
      <c r="Q154" s="4"/>
      <c r="R154" s="68" t="n">
        <f aca="false">P154</f>
        <v>15</v>
      </c>
      <c r="S154" s="70" t="str">
        <f aca="false">C154</f>
        <v>Spiller 02</v>
      </c>
      <c r="T154" s="70" t="n">
        <f aca="false">M154</f>
        <v>20</v>
      </c>
      <c r="U154" s="31" t="n">
        <f aca="false">N154</f>
        <v>6</v>
      </c>
      <c r="W154" s="73" t="n">
        <v>5</v>
      </c>
      <c r="X154" s="74" t="s">
        <v>31</v>
      </c>
      <c r="Y154" s="74" t="n">
        <v>28</v>
      </c>
      <c r="Z154" s="72" t="n">
        <v>25.5</v>
      </c>
      <c r="AB154" s="75" t="n">
        <v>16</v>
      </c>
      <c r="AC154" s="74" t="s">
        <v>20</v>
      </c>
      <c r="AD154" s="86" t="n">
        <v>18</v>
      </c>
      <c r="AE154" s="77" t="n">
        <v>-8.5</v>
      </c>
    </row>
    <row r="155" customFormat="false" ht="14.25" hidden="false" customHeight="false" outlineLevel="0" collapsed="false">
      <c r="A155" s="4" t="n">
        <v>5</v>
      </c>
      <c r="B155" s="81" t="n">
        <v>18</v>
      </c>
      <c r="C155" s="15" t="str">
        <f aca="false">LOOKUP(B155,H$8:H$35,F$8:F$35)</f>
        <v>Spiller 09</v>
      </c>
      <c r="D155" s="59" t="n">
        <f aca="false">INDEX(Y$106:Y$133,MATCH(C155,X$106:X$133,0))</f>
        <v>12</v>
      </c>
      <c r="E155" s="29" t="n">
        <f aca="false">INDEX(Z$106:Z$133,MATCH(C155,X$106:X$133,0))</f>
        <v>-2.75</v>
      </c>
      <c r="F155" s="82" t="n">
        <v>37</v>
      </c>
      <c r="G155" s="15" t="n">
        <f aca="false">F155-AVERAGE(F$155:F$158)</f>
        <v>-7.75</v>
      </c>
      <c r="H155" s="55" t="n">
        <f aca="false">RANK(F155,F$155:F$158)</f>
        <v>4</v>
      </c>
      <c r="I155" s="29" t="n">
        <f aca="false">IF(H155=1,10,IF(H155=2,6,IF(H155=3,3,1)))</f>
        <v>1</v>
      </c>
      <c r="J155" s="60" t="n">
        <v>4</v>
      </c>
      <c r="K155" s="61" t="n">
        <v>1</v>
      </c>
      <c r="M155" s="55" t="n">
        <f aca="false">D155+K155</f>
        <v>13</v>
      </c>
      <c r="N155" s="29" t="n">
        <f aca="false">E155+G155</f>
        <v>-10.5</v>
      </c>
      <c r="O155" s="15" t="n">
        <f aca="false">RANK(M155,M$139:M$166,0)</f>
        <v>23</v>
      </c>
      <c r="P155" s="61" t="n">
        <v>24</v>
      </c>
      <c r="Q155" s="4"/>
      <c r="R155" s="55" t="n">
        <f aca="false">P155</f>
        <v>24</v>
      </c>
      <c r="S155" s="59" t="str">
        <f aca="false">C155</f>
        <v>Spiller 09</v>
      </c>
      <c r="T155" s="59" t="n">
        <f aca="false">M155</f>
        <v>13</v>
      </c>
      <c r="U155" s="29" t="n">
        <f aca="false">N155</f>
        <v>-10.5</v>
      </c>
      <c r="W155" s="62" t="n">
        <v>9</v>
      </c>
      <c r="X155" s="63" t="s">
        <v>25</v>
      </c>
      <c r="Y155" s="63" t="n">
        <v>27</v>
      </c>
      <c r="Z155" s="61" t="n">
        <v>4.25</v>
      </c>
      <c r="AB155" s="64" t="n">
        <v>17</v>
      </c>
      <c r="AC155" s="63" t="s">
        <v>29</v>
      </c>
      <c r="AD155" s="83" t="n">
        <v>18</v>
      </c>
      <c r="AE155" s="66" t="n">
        <v>-14.25</v>
      </c>
    </row>
    <row r="156" customFormat="false" ht="14.25" hidden="false" customHeight="false" outlineLevel="0" collapsed="false">
      <c r="A156" s="4" t="n">
        <v>5</v>
      </c>
      <c r="B156" s="81" t="n">
        <v>23</v>
      </c>
      <c r="C156" s="15" t="str">
        <f aca="false">LOOKUP(B156,H$8:H$35,F$8:F$35)</f>
        <v>Spiller 19</v>
      </c>
      <c r="D156" s="59" t="n">
        <f aca="false">INDEX(Y$106:Y$133,MATCH(C156,X$106:X$133,0))</f>
        <v>23</v>
      </c>
      <c r="E156" s="29" t="n">
        <f aca="false">INDEX(Z$106:Z$133,MATCH(C156,X$106:X$133,0))</f>
        <v>12</v>
      </c>
      <c r="F156" s="82" t="n">
        <v>46</v>
      </c>
      <c r="G156" s="15" t="n">
        <f aca="false">F156-AVERAGE(F$155:F$158)</f>
        <v>1.25</v>
      </c>
      <c r="H156" s="55" t="n">
        <f aca="false">RANK(F156,F$155:F$158)</f>
        <v>2</v>
      </c>
      <c r="I156" s="29" t="n">
        <f aca="false">IF(H156=1,10,IF(H156=2,6,IF(H156=3,3,1)))</f>
        <v>6</v>
      </c>
      <c r="J156" s="60" t="n">
        <v>2</v>
      </c>
      <c r="K156" s="61" t="n">
        <v>6</v>
      </c>
      <c r="M156" s="55" t="n">
        <f aca="false">D156+K156</f>
        <v>29</v>
      </c>
      <c r="N156" s="29" t="n">
        <f aca="false">E156+G156</f>
        <v>13.25</v>
      </c>
      <c r="O156" s="15" t="n">
        <f aca="false">RANK(M156,M$139:M$166,0)</f>
        <v>3</v>
      </c>
      <c r="P156" s="61" t="n">
        <v>4</v>
      </c>
      <c r="Q156" s="4"/>
      <c r="R156" s="55" t="n">
        <f aca="false">P156</f>
        <v>4</v>
      </c>
      <c r="S156" s="59" t="str">
        <f aca="false">C156</f>
        <v>Spiller 19</v>
      </c>
      <c r="T156" s="59" t="n">
        <f aca="false">M156</f>
        <v>29</v>
      </c>
      <c r="U156" s="29" t="n">
        <f aca="false">N156</f>
        <v>13.25</v>
      </c>
      <c r="W156" s="62" t="n">
        <v>10</v>
      </c>
      <c r="X156" s="63" t="s">
        <v>32</v>
      </c>
      <c r="Y156" s="63" t="n">
        <v>25</v>
      </c>
      <c r="Z156" s="61" t="n">
        <v>13.75</v>
      </c>
      <c r="AB156" s="64" t="n">
        <v>18</v>
      </c>
      <c r="AC156" s="63" t="s">
        <v>16</v>
      </c>
      <c r="AD156" s="83" t="n">
        <v>18</v>
      </c>
      <c r="AE156" s="66" t="n">
        <v>-15.5</v>
      </c>
    </row>
    <row r="157" customFormat="false" ht="14.25" hidden="false" customHeight="false" outlineLevel="0" collapsed="false">
      <c r="A157" s="4" t="n">
        <v>5</v>
      </c>
      <c r="B157" s="81" t="n">
        <v>24</v>
      </c>
      <c r="C157" s="15" t="str">
        <f aca="false">LOOKUP(B157,H$8:H$35,F$8:F$35)</f>
        <v>Spiller 28</v>
      </c>
      <c r="D157" s="59" t="n">
        <f aca="false">INDEX(Y$106:Y$133,MATCH(C157,X$106:X$133,0))</f>
        <v>19</v>
      </c>
      <c r="E157" s="29" t="n">
        <f aca="false">INDEX(Z$106:Z$133,MATCH(C157,X$106:X$133,0))</f>
        <v>18</v>
      </c>
      <c r="F157" s="82" t="n">
        <v>39</v>
      </c>
      <c r="G157" s="15" t="n">
        <f aca="false">F157-AVERAGE(F$155:F$158)</f>
        <v>-5.75</v>
      </c>
      <c r="H157" s="55" t="n">
        <f aca="false">RANK(F157,F$155:F$158)</f>
        <v>3</v>
      </c>
      <c r="I157" s="29" t="n">
        <f aca="false">IF(H157=1,10,IF(H157=2,6,IF(H157=3,3,1)))</f>
        <v>3</v>
      </c>
      <c r="J157" s="60" t="n">
        <v>3</v>
      </c>
      <c r="K157" s="61" t="n">
        <v>3</v>
      </c>
      <c r="M157" s="55" t="n">
        <f aca="false">D157+K157</f>
        <v>22</v>
      </c>
      <c r="N157" s="29" t="n">
        <f aca="false">E157+G157</f>
        <v>12.25</v>
      </c>
      <c r="O157" s="15" t="n">
        <f aca="false">RANK(M157,M$139:M$166,0)</f>
        <v>11</v>
      </c>
      <c r="P157" s="61" t="n">
        <v>11</v>
      </c>
      <c r="Q157" s="4"/>
      <c r="R157" s="55" t="n">
        <f aca="false">P157</f>
        <v>11</v>
      </c>
      <c r="S157" s="59" t="str">
        <f aca="false">C157</f>
        <v>Spiller 28</v>
      </c>
      <c r="T157" s="59" t="n">
        <f aca="false">M157</f>
        <v>22</v>
      </c>
      <c r="U157" s="29" t="n">
        <f aca="false">N157</f>
        <v>12.25</v>
      </c>
      <c r="W157" s="62" t="n">
        <v>4</v>
      </c>
      <c r="X157" s="63" t="s">
        <v>33</v>
      </c>
      <c r="Y157" s="63" t="n">
        <v>29</v>
      </c>
      <c r="Z157" s="61" t="n">
        <v>13.25</v>
      </c>
      <c r="AB157" s="64" t="n">
        <v>19</v>
      </c>
      <c r="AC157" s="63" t="s">
        <v>34</v>
      </c>
      <c r="AD157" s="83" t="n">
        <v>17</v>
      </c>
      <c r="AE157" s="66" t="n">
        <v>-9.25</v>
      </c>
    </row>
    <row r="158" customFormat="false" ht="14.25" hidden="false" customHeight="false" outlineLevel="0" collapsed="false">
      <c r="A158" s="67" t="n">
        <v>5</v>
      </c>
      <c r="B158" s="84" t="n">
        <v>28</v>
      </c>
      <c r="C158" s="23" t="str">
        <f aca="false">LOOKUP(B158,H$8:H$35,F$8:F$35)</f>
        <v>Spiller 16</v>
      </c>
      <c r="D158" s="70" t="n">
        <f aca="false">INDEX(Y$106:Y$133,MATCH(C158,X$106:X$133,0))</f>
        <v>18</v>
      </c>
      <c r="E158" s="31" t="n">
        <f aca="false">INDEX(Z$106:Z$133,MATCH(C158,X$106:X$133,0))</f>
        <v>13.25</v>
      </c>
      <c r="F158" s="85" t="n">
        <v>57</v>
      </c>
      <c r="G158" s="23" t="n">
        <f aca="false">F158-AVERAGE(F$155:F$158)</f>
        <v>12.25</v>
      </c>
      <c r="H158" s="68" t="n">
        <f aca="false">RANK(F158,F$155:F$158)</f>
        <v>1</v>
      </c>
      <c r="I158" s="31" t="n">
        <f aca="false">IF(H158=1,10,IF(H158=2,6,IF(H158=3,3,1)))</f>
        <v>10</v>
      </c>
      <c r="J158" s="71" t="n">
        <v>1</v>
      </c>
      <c r="K158" s="72" t="n">
        <v>10</v>
      </c>
      <c r="M158" s="68" t="n">
        <f aca="false">D158+K158</f>
        <v>28</v>
      </c>
      <c r="N158" s="31" t="n">
        <f aca="false">E158+G158</f>
        <v>25.5</v>
      </c>
      <c r="O158" s="23" t="n">
        <f aca="false">RANK(M158,M$139:M$166,0)</f>
        <v>5</v>
      </c>
      <c r="P158" s="72" t="n">
        <v>5</v>
      </c>
      <c r="Q158" s="4"/>
      <c r="R158" s="68" t="n">
        <f aca="false">P158</f>
        <v>5</v>
      </c>
      <c r="S158" s="70" t="str">
        <f aca="false">C158</f>
        <v>Spiller 16</v>
      </c>
      <c r="T158" s="70" t="n">
        <f aca="false">M158</f>
        <v>28</v>
      </c>
      <c r="U158" s="31" t="n">
        <f aca="false">N158</f>
        <v>25.5</v>
      </c>
      <c r="W158" s="73" t="n">
        <v>19</v>
      </c>
      <c r="X158" s="74" t="s">
        <v>34</v>
      </c>
      <c r="Y158" s="74" t="n">
        <v>17</v>
      </c>
      <c r="Z158" s="72" t="n">
        <v>-9.25</v>
      </c>
      <c r="AB158" s="75" t="n">
        <v>20</v>
      </c>
      <c r="AC158" s="74" t="s">
        <v>17</v>
      </c>
      <c r="AD158" s="86" t="n">
        <v>17</v>
      </c>
      <c r="AE158" s="77" t="n">
        <v>-11</v>
      </c>
    </row>
    <row r="159" customFormat="false" ht="14.25" hidden="false" customHeight="false" outlineLevel="0" collapsed="false">
      <c r="A159" s="4" t="n">
        <v>6</v>
      </c>
      <c r="B159" s="81" t="n">
        <v>1</v>
      </c>
      <c r="C159" s="15" t="str">
        <f aca="false">LOOKUP(B159,H$8:H$35,F$8:F$35)</f>
        <v>Spiller 05</v>
      </c>
      <c r="D159" s="59" t="n">
        <f aca="false">INDEX(Y$106:Y$133,MATCH(C159,X$106:X$133,0))</f>
        <v>21</v>
      </c>
      <c r="E159" s="29" t="n">
        <f aca="false">INDEX(Z$106:Z$133,MATCH(C159,X$106:X$133,0))</f>
        <v>23.25</v>
      </c>
      <c r="F159" s="82" t="n">
        <v>40</v>
      </c>
      <c r="G159" s="15" t="n">
        <f aca="false">F159-AVERAGE(F$159:F$162)</f>
        <v>-1.5</v>
      </c>
      <c r="H159" s="55" t="n">
        <f aca="false">RANK(F159,F$159:F$162)</f>
        <v>2</v>
      </c>
      <c r="I159" s="29" t="n">
        <f aca="false">IF(H159=1,10,IF(H159=2,6,IF(H159=3,3,1)))</f>
        <v>6</v>
      </c>
      <c r="J159" s="60" t="n">
        <v>2</v>
      </c>
      <c r="K159" s="61" t="n">
        <v>6</v>
      </c>
      <c r="M159" s="55" t="n">
        <f aca="false">D159+K159</f>
        <v>27</v>
      </c>
      <c r="N159" s="29" t="n">
        <f aca="false">E159+G159</f>
        <v>21.75</v>
      </c>
      <c r="O159" s="15" t="n">
        <f aca="false">RANK(M159,M$139:M$166,0)</f>
        <v>7</v>
      </c>
      <c r="P159" s="61" t="n">
        <v>7</v>
      </c>
      <c r="Q159" s="4"/>
      <c r="R159" s="55" t="n">
        <f aca="false">P159</f>
        <v>7</v>
      </c>
      <c r="S159" s="59" t="str">
        <f aca="false">C159</f>
        <v>Spiller 05</v>
      </c>
      <c r="T159" s="59" t="n">
        <f aca="false">M159</f>
        <v>27</v>
      </c>
      <c r="U159" s="29" t="n">
        <f aca="false">N159</f>
        <v>21.75</v>
      </c>
      <c r="W159" s="62" t="n">
        <v>14</v>
      </c>
      <c r="X159" s="63" t="s">
        <v>35</v>
      </c>
      <c r="Y159" s="63" t="n">
        <v>22</v>
      </c>
      <c r="Z159" s="61" t="n">
        <v>-4.25</v>
      </c>
      <c r="AB159" s="64" t="n">
        <v>21</v>
      </c>
      <c r="AC159" s="63" t="s">
        <v>27</v>
      </c>
      <c r="AD159" s="83" t="n">
        <v>16</v>
      </c>
      <c r="AE159" s="66" t="n">
        <v>-6.75</v>
      </c>
    </row>
    <row r="160" customFormat="false" ht="14.25" hidden="false" customHeight="false" outlineLevel="0" collapsed="false">
      <c r="A160" s="4" t="n">
        <v>6</v>
      </c>
      <c r="B160" s="81" t="n">
        <v>8</v>
      </c>
      <c r="C160" s="15" t="str">
        <f aca="false">LOOKUP(B160,H$8:H$35,F$8:F$35)</f>
        <v>Spiller 27</v>
      </c>
      <c r="D160" s="59" t="n">
        <f aca="false">INDEX(Y$106:Y$133,MATCH(C160,X$106:X$133,0))</f>
        <v>19</v>
      </c>
      <c r="E160" s="29" t="n">
        <f aca="false">INDEX(Z$106:Z$133,MATCH(C160,X$106:X$133,0))</f>
        <v>3.25</v>
      </c>
      <c r="F160" s="82" t="n">
        <v>39</v>
      </c>
      <c r="G160" s="15" t="n">
        <f aca="false">F160-AVERAGE(F$159:F$162)</f>
        <v>-2.5</v>
      </c>
      <c r="H160" s="55" t="n">
        <f aca="false">RANK(F160,F$159:F$162)</f>
        <v>3</v>
      </c>
      <c r="I160" s="29" t="n">
        <f aca="false">IF(H160=1,10,IF(H160=2,6,IF(H160=3,3,1)))</f>
        <v>3</v>
      </c>
      <c r="J160" s="60" t="n">
        <v>3</v>
      </c>
      <c r="K160" s="61" t="n">
        <v>3</v>
      </c>
      <c r="M160" s="55" t="n">
        <f aca="false">D160+K160</f>
        <v>22</v>
      </c>
      <c r="N160" s="29" t="n">
        <f aca="false">E160+G160</f>
        <v>0.75</v>
      </c>
      <c r="O160" s="15" t="n">
        <f aca="false">RANK(M160,M$139:M$166,0)</f>
        <v>11</v>
      </c>
      <c r="P160" s="61" t="n">
        <v>13</v>
      </c>
      <c r="Q160" s="4"/>
      <c r="R160" s="55" t="n">
        <f aca="false">P160</f>
        <v>13</v>
      </c>
      <c r="S160" s="59" t="str">
        <f aca="false">C160</f>
        <v>Spiller 27</v>
      </c>
      <c r="T160" s="59" t="n">
        <f aca="false">M160</f>
        <v>22</v>
      </c>
      <c r="U160" s="29" t="n">
        <f aca="false">N160</f>
        <v>0.75</v>
      </c>
      <c r="W160" s="62" t="n">
        <v>2</v>
      </c>
      <c r="X160" s="63" t="s">
        <v>14</v>
      </c>
      <c r="Y160" s="63" t="n">
        <v>32</v>
      </c>
      <c r="Z160" s="61" t="n">
        <v>27</v>
      </c>
      <c r="AB160" s="64" t="n">
        <v>22</v>
      </c>
      <c r="AC160" s="63" t="s">
        <v>19</v>
      </c>
      <c r="AD160" s="83" t="n">
        <v>16</v>
      </c>
      <c r="AE160" s="66" t="n">
        <v>-22.75</v>
      </c>
    </row>
    <row r="161" customFormat="false" ht="14.25" hidden="false" customHeight="false" outlineLevel="0" collapsed="false">
      <c r="A161" s="4" t="n">
        <v>6</v>
      </c>
      <c r="B161" s="81" t="n">
        <v>12</v>
      </c>
      <c r="C161" s="15" t="str">
        <f aca="false">LOOKUP(B161,H$8:H$35,F$8:F$35)</f>
        <v>Spiller 07</v>
      </c>
      <c r="D161" s="59" t="n">
        <f aca="false">INDEX(Y$106:Y$133,MATCH(C161,X$106:X$133,0))</f>
        <v>12</v>
      </c>
      <c r="E161" s="29" t="n">
        <f aca="false">INDEX(Z$106:Z$133,MATCH(C161,X$106:X$133,0))</f>
        <v>-16.5</v>
      </c>
      <c r="F161" s="82" t="n">
        <v>37</v>
      </c>
      <c r="G161" s="15" t="n">
        <f aca="false">F161-AVERAGE(F$159:F$162)</f>
        <v>-4.5</v>
      </c>
      <c r="H161" s="55" t="n">
        <f aca="false">RANK(F161,F$159:F$162)</f>
        <v>4</v>
      </c>
      <c r="I161" s="29" t="n">
        <f aca="false">IF(H161=1,10,IF(H161=2,6,IF(H161=3,3,1)))</f>
        <v>1</v>
      </c>
      <c r="J161" s="60" t="n">
        <v>4</v>
      </c>
      <c r="K161" s="61" t="n">
        <v>1</v>
      </c>
      <c r="M161" s="55" t="n">
        <f aca="false">D161+K161</f>
        <v>13</v>
      </c>
      <c r="N161" s="29" t="n">
        <f aca="false">E161+G161</f>
        <v>-21</v>
      </c>
      <c r="O161" s="15" t="n">
        <f aca="false">RANK(M161,M$139:M$166,0)</f>
        <v>23</v>
      </c>
      <c r="P161" s="61" t="n">
        <v>26</v>
      </c>
      <c r="Q161" s="4"/>
      <c r="R161" s="55" t="n">
        <f aca="false">P161</f>
        <v>26</v>
      </c>
      <c r="S161" s="59" t="str">
        <f aca="false">C161</f>
        <v>Spiller 07</v>
      </c>
      <c r="T161" s="59" t="n">
        <f aca="false">M161</f>
        <v>13</v>
      </c>
      <c r="U161" s="29" t="n">
        <f aca="false">N161</f>
        <v>-21</v>
      </c>
      <c r="W161" s="62" t="n">
        <v>3</v>
      </c>
      <c r="X161" s="63" t="s">
        <v>36</v>
      </c>
      <c r="Y161" s="63" t="n">
        <v>29</v>
      </c>
      <c r="Z161" s="61" t="n">
        <v>17.5</v>
      </c>
      <c r="AB161" s="64" t="n">
        <v>23</v>
      </c>
      <c r="AC161" s="63" t="s">
        <v>11</v>
      </c>
      <c r="AD161" s="83" t="n">
        <v>13</v>
      </c>
      <c r="AE161" s="66" t="n">
        <v>-9</v>
      </c>
    </row>
    <row r="162" customFormat="false" ht="14.25" hidden="false" customHeight="false" outlineLevel="0" collapsed="false">
      <c r="A162" s="67" t="n">
        <v>6</v>
      </c>
      <c r="B162" s="84" t="n">
        <v>16</v>
      </c>
      <c r="C162" s="23" t="str">
        <f aca="false">LOOKUP(B162,H$8:H$35,F$8:F$35)</f>
        <v>Spiller 13</v>
      </c>
      <c r="D162" s="70" t="n">
        <f aca="false">INDEX(Y$106:Y$133,MATCH(C162,X$106:X$133,0))</f>
        <v>8</v>
      </c>
      <c r="E162" s="31" t="n">
        <f aca="false">INDEX(Z$106:Z$133,MATCH(C162,X$106:X$133,0))</f>
        <v>-22.75</v>
      </c>
      <c r="F162" s="85" t="n">
        <v>50</v>
      </c>
      <c r="G162" s="23" t="n">
        <f aca="false">F162-AVERAGE(F$159:F$162)</f>
        <v>8.5</v>
      </c>
      <c r="H162" s="68" t="n">
        <f aca="false">RANK(F162,F$159:F$162)</f>
        <v>1</v>
      </c>
      <c r="I162" s="31" t="n">
        <f aca="false">IF(H162=1,10,IF(H162=2,6,IF(H162=3,3,1)))</f>
        <v>10</v>
      </c>
      <c r="J162" s="71" t="n">
        <v>1</v>
      </c>
      <c r="K162" s="72" t="n">
        <v>10</v>
      </c>
      <c r="M162" s="68" t="n">
        <f aca="false">D162+K162</f>
        <v>18</v>
      </c>
      <c r="N162" s="31" t="n">
        <f aca="false">E162+G162</f>
        <v>-14.25</v>
      </c>
      <c r="O162" s="23" t="n">
        <f aca="false">RANK(M162,M$139:M$166,0)</f>
        <v>16</v>
      </c>
      <c r="P162" s="72" t="n">
        <v>17</v>
      </c>
      <c r="Q162" s="4"/>
      <c r="R162" s="68" t="n">
        <f aca="false">P162</f>
        <v>17</v>
      </c>
      <c r="S162" s="70" t="str">
        <f aca="false">C162</f>
        <v>Spiller 13</v>
      </c>
      <c r="T162" s="70" t="n">
        <f aca="false">M162</f>
        <v>18</v>
      </c>
      <c r="U162" s="31" t="n">
        <f aca="false">N162</f>
        <v>-14.25</v>
      </c>
      <c r="W162" s="73" t="n">
        <v>12</v>
      </c>
      <c r="X162" s="74" t="s">
        <v>22</v>
      </c>
      <c r="Y162" s="74" t="n">
        <v>22</v>
      </c>
      <c r="Z162" s="72" t="n">
        <v>4.75</v>
      </c>
      <c r="AB162" s="75" t="n">
        <v>24</v>
      </c>
      <c r="AC162" s="74" t="s">
        <v>24</v>
      </c>
      <c r="AD162" s="86" t="n">
        <v>13</v>
      </c>
      <c r="AE162" s="77" t="n">
        <v>-10.5</v>
      </c>
    </row>
    <row r="163" customFormat="false" ht="14.25" hidden="false" customHeight="false" outlineLevel="0" collapsed="false">
      <c r="A163" s="4" t="n">
        <v>7</v>
      </c>
      <c r="B163" s="81" t="n">
        <v>14</v>
      </c>
      <c r="C163" s="15" t="str">
        <f aca="false">LOOKUP(B163,H$8:H$35,F$8:F$35)</f>
        <v>Spiller 03</v>
      </c>
      <c r="D163" s="59" t="n">
        <f aca="false">INDEX(Y$106:Y$133,MATCH(C163,X$106:X$133,0))</f>
        <v>17</v>
      </c>
      <c r="E163" s="29" t="n">
        <f aca="false">INDEX(Z$106:Z$133,MATCH(C163,X$106:X$133,0))</f>
        <v>-3.75</v>
      </c>
      <c r="F163" s="82" t="n">
        <v>58</v>
      </c>
      <c r="G163" s="15" t="n">
        <f aca="false">F163-AVERAGE(F$163:F$166)</f>
        <v>11.25</v>
      </c>
      <c r="H163" s="55" t="n">
        <f aca="false">RANK(F163,F$163:F$166)</f>
        <v>1</v>
      </c>
      <c r="I163" s="29" t="n">
        <f aca="false">IF(H163=1,10,IF(H163=2,6,IF(H163=3,3,1)))</f>
        <v>10</v>
      </c>
      <c r="J163" s="60" t="n">
        <v>1</v>
      </c>
      <c r="K163" s="61" t="n">
        <v>10</v>
      </c>
      <c r="M163" s="55" t="n">
        <f aca="false">D163+K163</f>
        <v>27</v>
      </c>
      <c r="N163" s="29" t="n">
        <f aca="false">E163+G163</f>
        <v>7.5</v>
      </c>
      <c r="O163" s="15" t="n">
        <f aca="false">RANK(M163,M$139:M$166,0)</f>
        <v>7</v>
      </c>
      <c r="P163" s="61" t="n">
        <v>8</v>
      </c>
      <c r="Q163" s="4"/>
      <c r="R163" s="55" t="n">
        <f aca="false">P163</f>
        <v>8</v>
      </c>
      <c r="S163" s="59" t="str">
        <f aca="false">C163</f>
        <v>Spiller 03</v>
      </c>
      <c r="T163" s="59" t="n">
        <f aca="false">M163</f>
        <v>27</v>
      </c>
      <c r="U163" s="29" t="n">
        <f aca="false">N163</f>
        <v>7.5</v>
      </c>
      <c r="W163" s="62" t="n">
        <v>6</v>
      </c>
      <c r="X163" s="63" t="s">
        <v>26</v>
      </c>
      <c r="Y163" s="63" t="n">
        <v>28</v>
      </c>
      <c r="Z163" s="61" t="n">
        <v>11.75</v>
      </c>
      <c r="AB163" s="64" t="n">
        <v>25</v>
      </c>
      <c r="AC163" s="63" t="s">
        <v>18</v>
      </c>
      <c r="AD163" s="83" t="n">
        <v>13</v>
      </c>
      <c r="AE163" s="66" t="n">
        <v>-18.75</v>
      </c>
    </row>
    <row r="164" customFormat="false" ht="14.25" hidden="false" customHeight="false" outlineLevel="0" collapsed="false">
      <c r="A164" s="4" t="n">
        <v>7</v>
      </c>
      <c r="B164" s="81" t="n">
        <v>19</v>
      </c>
      <c r="C164" s="15" t="str">
        <f aca="false">LOOKUP(B164,H$8:H$35,F$8:F$35)</f>
        <v>Spiller 01</v>
      </c>
      <c r="D164" s="59" t="n">
        <f aca="false">INDEX(Y$106:Y$133,MATCH(C164,X$106:X$133,0))</f>
        <v>7</v>
      </c>
      <c r="E164" s="29" t="n">
        <f aca="false">INDEX(Z$106:Z$133,MATCH(C164,X$106:X$133,0))</f>
        <v>-18.25</v>
      </c>
      <c r="F164" s="82" t="n">
        <v>56</v>
      </c>
      <c r="G164" s="15" t="n">
        <f aca="false">F164-AVERAGE(F$163:F$166)</f>
        <v>9.25</v>
      </c>
      <c r="H164" s="55" t="n">
        <f aca="false">RANK(F164,F$163:F$166)</f>
        <v>2</v>
      </c>
      <c r="I164" s="29" t="n">
        <f aca="false">IF(H164=1,10,IF(H164=2,6,IF(H164=3,3,1)))</f>
        <v>6</v>
      </c>
      <c r="J164" s="60" t="n">
        <v>2</v>
      </c>
      <c r="K164" s="61" t="n">
        <v>6</v>
      </c>
      <c r="M164" s="55" t="n">
        <f aca="false">D164+K164</f>
        <v>13</v>
      </c>
      <c r="N164" s="29" t="n">
        <f aca="false">E164+G164</f>
        <v>-9</v>
      </c>
      <c r="O164" s="15" t="n">
        <f aca="false">RANK(M164,M$139:M$166,0)</f>
        <v>23</v>
      </c>
      <c r="P164" s="61" t="n">
        <v>23</v>
      </c>
      <c r="Q164" s="4"/>
      <c r="R164" s="55" t="n">
        <f aca="false">P164</f>
        <v>23</v>
      </c>
      <c r="S164" s="59" t="str">
        <f aca="false">C164</f>
        <v>Spiller 01</v>
      </c>
      <c r="T164" s="59" t="n">
        <f aca="false">M164</f>
        <v>13</v>
      </c>
      <c r="U164" s="29" t="n">
        <f aca="false">N164</f>
        <v>-9</v>
      </c>
      <c r="W164" s="62" t="n">
        <v>28</v>
      </c>
      <c r="X164" s="63" t="s">
        <v>38</v>
      </c>
      <c r="Y164" s="63" t="n">
        <v>10</v>
      </c>
      <c r="Z164" s="61" t="n">
        <v>-15</v>
      </c>
      <c r="AB164" s="64" t="n">
        <v>26</v>
      </c>
      <c r="AC164" s="63" t="s">
        <v>21</v>
      </c>
      <c r="AD164" s="83" t="n">
        <v>13</v>
      </c>
      <c r="AE164" s="66" t="n">
        <v>-21</v>
      </c>
    </row>
    <row r="165" customFormat="false" ht="14.25" hidden="false" customHeight="false" outlineLevel="0" collapsed="false">
      <c r="A165" s="4" t="n">
        <v>7</v>
      </c>
      <c r="B165" s="81" t="n">
        <v>20</v>
      </c>
      <c r="C165" s="15" t="str">
        <f aca="false">LOOKUP(B165,H$8:H$35,F$8:F$35)</f>
        <v>Spiller 20</v>
      </c>
      <c r="D165" s="59" t="n">
        <f aca="false">INDEX(Y$106:Y$133,MATCH(C165,X$106:X$133,0))</f>
        <v>14</v>
      </c>
      <c r="E165" s="29" t="n">
        <f aca="false">INDEX(Z$106:Z$133,MATCH(C165,X$106:X$133,0))</f>
        <v>-9.5</v>
      </c>
      <c r="F165" s="82" t="n">
        <v>47</v>
      </c>
      <c r="G165" s="15" t="n">
        <f aca="false">F165-AVERAGE(F$163:F$166)</f>
        <v>0.25</v>
      </c>
      <c r="H165" s="55" t="n">
        <f aca="false">RANK(F165,F$163:F$166)</f>
        <v>3</v>
      </c>
      <c r="I165" s="29" t="n">
        <f aca="false">IF(H165=1,10,IF(H165=2,6,IF(H165=3,3,1)))</f>
        <v>3</v>
      </c>
      <c r="J165" s="60" t="n">
        <v>3</v>
      </c>
      <c r="K165" s="61" t="n">
        <v>3</v>
      </c>
      <c r="M165" s="55" t="n">
        <f aca="false">D165+K165</f>
        <v>17</v>
      </c>
      <c r="N165" s="29" t="n">
        <f aca="false">E165+G165</f>
        <v>-9.25</v>
      </c>
      <c r="O165" s="15" t="n">
        <f aca="false">RANK(M165,M$139:M$166,0)</f>
        <v>19</v>
      </c>
      <c r="P165" s="61" t="n">
        <v>19</v>
      </c>
      <c r="Q165" s="4"/>
      <c r="R165" s="55" t="n">
        <f aca="false">P165</f>
        <v>19</v>
      </c>
      <c r="S165" s="59" t="str">
        <f aca="false">C165</f>
        <v>Spiller 20</v>
      </c>
      <c r="T165" s="59" t="n">
        <f aca="false">M165</f>
        <v>17</v>
      </c>
      <c r="U165" s="29" t="n">
        <f aca="false">N165</f>
        <v>-9.25</v>
      </c>
      <c r="W165" s="62" t="n">
        <v>13</v>
      </c>
      <c r="X165" s="63" t="s">
        <v>23</v>
      </c>
      <c r="Y165" s="63" t="n">
        <v>22</v>
      </c>
      <c r="Z165" s="61" t="n">
        <v>0.75</v>
      </c>
      <c r="AB165" s="64" t="n">
        <v>27</v>
      </c>
      <c r="AC165" s="63" t="s">
        <v>28</v>
      </c>
      <c r="AD165" s="83" t="n">
        <v>11</v>
      </c>
      <c r="AE165" s="66" t="n">
        <v>-35</v>
      </c>
    </row>
    <row r="166" customFormat="false" ht="14.25" hidden="false" customHeight="false" outlineLevel="0" collapsed="false">
      <c r="A166" s="67" t="n">
        <v>7</v>
      </c>
      <c r="B166" s="84" t="n">
        <v>21</v>
      </c>
      <c r="C166" s="23" t="str">
        <f aca="false">LOOKUP(B166,H$8:H$35,F$8:F$35)</f>
        <v>Spiller 12</v>
      </c>
      <c r="D166" s="70" t="n">
        <f aca="false">INDEX(Y$106:Y$133,MATCH(C166,X$106:X$133,0))</f>
        <v>10</v>
      </c>
      <c r="E166" s="31" t="n">
        <f aca="false">INDEX(Z$106:Z$133,MATCH(C166,X$106:X$133,0))</f>
        <v>-14.25</v>
      </c>
      <c r="F166" s="85" t="n">
        <v>26</v>
      </c>
      <c r="G166" s="23" t="n">
        <f aca="false">F166-AVERAGE(F$163:F$166)</f>
        <v>-20.75</v>
      </c>
      <c r="H166" s="68" t="n">
        <f aca="false">RANK(F166,F$163:F$166)</f>
        <v>4</v>
      </c>
      <c r="I166" s="31" t="n">
        <f aca="false">IF(H166=1,10,IF(H166=2,6,IF(H166=3,3,1)))</f>
        <v>1</v>
      </c>
      <c r="J166" s="71" t="n">
        <v>4</v>
      </c>
      <c r="K166" s="72" t="n">
        <v>1</v>
      </c>
      <c r="M166" s="68" t="n">
        <f aca="false">D166+K166</f>
        <v>11</v>
      </c>
      <c r="N166" s="31" t="n">
        <f aca="false">E166+G166</f>
        <v>-35</v>
      </c>
      <c r="O166" s="23" t="n">
        <f aca="false">RANK(M166,M$139:M$166,0)</f>
        <v>27</v>
      </c>
      <c r="P166" s="72" t="n">
        <v>27</v>
      </c>
      <c r="Q166" s="4"/>
      <c r="R166" s="68" t="n">
        <f aca="false">P166</f>
        <v>27</v>
      </c>
      <c r="S166" s="70" t="str">
        <f aca="false">C166</f>
        <v>Spiller 12</v>
      </c>
      <c r="T166" s="70" t="n">
        <f aca="false">M166</f>
        <v>11</v>
      </c>
      <c r="U166" s="31" t="n">
        <f aca="false">N166</f>
        <v>-35</v>
      </c>
      <c r="W166" s="73" t="n">
        <v>11</v>
      </c>
      <c r="X166" s="74" t="s">
        <v>37</v>
      </c>
      <c r="Y166" s="74" t="n">
        <v>22</v>
      </c>
      <c r="Z166" s="72" t="n">
        <v>12.25</v>
      </c>
      <c r="AB166" s="75" t="n">
        <v>28</v>
      </c>
      <c r="AC166" s="74" t="s">
        <v>38</v>
      </c>
      <c r="AD166" s="86" t="n">
        <v>10</v>
      </c>
      <c r="AE166" s="77" t="n">
        <v>-15</v>
      </c>
    </row>
    <row r="169" customFormat="false" ht="14.25" hidden="false" customHeight="false" outlineLevel="0" collapsed="false">
      <c r="A169" s="2" t="s">
        <v>111</v>
      </c>
      <c r="J169" s="3" t="s">
        <v>112</v>
      </c>
      <c r="P169" s="3" t="s">
        <v>113</v>
      </c>
      <c r="W169" s="2" t="s">
        <v>114</v>
      </c>
      <c r="AB169" s="3"/>
    </row>
    <row r="170" customFormat="false" ht="14.25" hidden="false" customHeight="false" outlineLevel="0" collapsed="false">
      <c r="A170" s="38" t="s">
        <v>61</v>
      </c>
      <c r="M170" s="38" t="s">
        <v>115</v>
      </c>
      <c r="P170" s="38"/>
      <c r="R170" s="38" t="s">
        <v>116</v>
      </c>
      <c r="W170" s="39" t="s">
        <v>117</v>
      </c>
    </row>
    <row r="171" customFormat="false" ht="14.25" hidden="false" customHeight="false" outlineLevel="0" collapsed="false">
      <c r="A171" s="4" t="s">
        <v>47</v>
      </c>
      <c r="B171" s="39" t="s">
        <v>9</v>
      </c>
      <c r="C171" s="4" t="s">
        <v>7</v>
      </c>
      <c r="D171" s="4" t="s">
        <v>107</v>
      </c>
      <c r="E171" s="4" t="s">
        <v>108</v>
      </c>
      <c r="F171" s="39" t="s">
        <v>118</v>
      </c>
      <c r="G171" s="39" t="s">
        <v>119</v>
      </c>
      <c r="H171" s="39" t="s">
        <v>120</v>
      </c>
      <c r="I171" s="39" t="s">
        <v>121</v>
      </c>
      <c r="J171" s="5" t="s">
        <v>120</v>
      </c>
      <c r="K171" s="5" t="s">
        <v>122</v>
      </c>
      <c r="M171" s="39" t="s">
        <v>123</v>
      </c>
      <c r="N171" s="39" t="s">
        <v>124</v>
      </c>
      <c r="O171" s="39" t="s">
        <v>125</v>
      </c>
      <c r="P171" s="39" t="s">
        <v>126</v>
      </c>
      <c r="R171" s="39" t="s">
        <v>126</v>
      </c>
      <c r="S171" s="39" t="s">
        <v>7</v>
      </c>
      <c r="T171" s="39" t="s">
        <v>123</v>
      </c>
      <c r="U171" s="39" t="s">
        <v>124</v>
      </c>
      <c r="W171" s="39" t="s">
        <v>126</v>
      </c>
      <c r="X171" s="39" t="s">
        <v>7</v>
      </c>
      <c r="Y171" s="39" t="s">
        <v>123</v>
      </c>
      <c r="Z171" s="39" t="s">
        <v>124</v>
      </c>
    </row>
    <row r="172" customFormat="false" ht="14.25" hidden="false" customHeight="false" outlineLevel="0" collapsed="false">
      <c r="A172" s="78" t="n">
        <v>1</v>
      </c>
      <c r="B172" s="78" t="n">
        <v>1</v>
      </c>
      <c r="C172" s="45" t="str">
        <f aca="false">LOOKUP(B172,H$8:H$35,F$8:F$35)</f>
        <v>Spiller 05</v>
      </c>
      <c r="D172" s="46" t="n">
        <f aca="false">INDEX(Y$139:Y$166,MATCH(C172,X$139:X$166,0))</f>
        <v>27</v>
      </c>
      <c r="E172" s="46" t="n">
        <f aca="false">INDEX(Z$139:Z$166,MATCH(C172,X$139:X$166,0))</f>
        <v>21.75</v>
      </c>
      <c r="F172" s="79" t="n">
        <v>55</v>
      </c>
      <c r="G172" s="45" t="n">
        <f aca="false">F172-AVERAGE(F$172:F$175)</f>
        <v>10.75</v>
      </c>
      <c r="H172" s="41" t="n">
        <f aca="false">RANK(F172,F$172:F$175)</f>
        <v>1</v>
      </c>
      <c r="I172" s="49" t="n">
        <f aca="false">IF(H172=1,10,IF(H172=2,6,IF(H172=3,3,1)))</f>
        <v>10</v>
      </c>
      <c r="J172" s="47" t="n">
        <v>1</v>
      </c>
      <c r="K172" s="48" t="n">
        <v>10</v>
      </c>
      <c r="M172" s="41" t="n">
        <f aca="false">D172+K172</f>
        <v>37</v>
      </c>
      <c r="N172" s="49" t="n">
        <f aca="false">E172+G172</f>
        <v>32.5</v>
      </c>
      <c r="O172" s="45" t="n">
        <f aca="false">RANK(M172,M$172:M$199,0)</f>
        <v>4</v>
      </c>
      <c r="P172" s="48" t="n">
        <v>4</v>
      </c>
      <c r="Q172" s="4"/>
      <c r="R172" s="41" t="n">
        <f aca="false">P172</f>
        <v>4</v>
      </c>
      <c r="S172" s="41" t="str">
        <f aca="false">C172</f>
        <v>Spiller 05</v>
      </c>
      <c r="T172" s="46" t="n">
        <f aca="false">M172</f>
        <v>37</v>
      </c>
      <c r="U172" s="49" t="n">
        <f aca="false">N172</f>
        <v>32.5</v>
      </c>
      <c r="W172" s="52" t="n">
        <v>1</v>
      </c>
      <c r="X172" s="51" t="s">
        <v>30</v>
      </c>
      <c r="Y172" s="80" t="n">
        <v>43</v>
      </c>
      <c r="Z172" s="54" t="n">
        <v>35</v>
      </c>
      <c r="AB172" s="4"/>
      <c r="AC172" s="4"/>
      <c r="AD172" s="87"/>
      <c r="AE172" s="88"/>
    </row>
    <row r="173" customFormat="false" ht="14.25" hidden="false" customHeight="false" outlineLevel="0" collapsed="false">
      <c r="A173" s="81" t="n">
        <v>1</v>
      </c>
      <c r="B173" s="81" t="n">
        <v>2</v>
      </c>
      <c r="C173" s="15" t="str">
        <f aca="false">LOOKUP(B173,H$8:H$35,F$8:F$35)</f>
        <v>Spiller 22</v>
      </c>
      <c r="D173" s="59" t="n">
        <f aca="false">INDEX(Y$139:Y$166,MATCH(C173,X$139:X$166,0))</f>
        <v>32</v>
      </c>
      <c r="E173" s="29" t="n">
        <f aca="false">INDEX(Z$139:Z$166,MATCH(C173,X$139:X$166,0))</f>
        <v>27</v>
      </c>
      <c r="F173" s="82" t="n">
        <v>49</v>
      </c>
      <c r="G173" s="15" t="n">
        <f aca="false">F173-AVERAGE(F$172:F$175)</f>
        <v>4.75</v>
      </c>
      <c r="H173" s="55" t="n">
        <f aca="false">RANK(F173,F$172:F$175)</f>
        <v>2</v>
      </c>
      <c r="I173" s="29" t="n">
        <f aca="false">IF(H173=1,10,IF(H173=2,6,IF(H173=3,3,1)))</f>
        <v>6</v>
      </c>
      <c r="J173" s="60" t="n">
        <v>2</v>
      </c>
      <c r="K173" s="61" t="n">
        <v>6</v>
      </c>
      <c r="M173" s="55" t="n">
        <f aca="false">D173+K173</f>
        <v>38</v>
      </c>
      <c r="N173" s="29" t="n">
        <f aca="false">E173+G173</f>
        <v>31.75</v>
      </c>
      <c r="O173" s="15" t="n">
        <f aca="false">RANK(M173,M$172:M$199,0)</f>
        <v>2</v>
      </c>
      <c r="P173" s="61" t="n">
        <v>2</v>
      </c>
      <c r="Q173" s="4"/>
      <c r="R173" s="55" t="n">
        <f aca="false">P173</f>
        <v>2</v>
      </c>
      <c r="S173" s="55" t="str">
        <f aca="false">C173</f>
        <v>Spiller 22</v>
      </c>
      <c r="T173" s="59" t="n">
        <f aca="false">M173</f>
        <v>38</v>
      </c>
      <c r="U173" s="29" t="n">
        <f aca="false">N173</f>
        <v>31.75</v>
      </c>
      <c r="W173" s="64" t="n">
        <v>2</v>
      </c>
      <c r="X173" s="63" t="s">
        <v>14</v>
      </c>
      <c r="Y173" s="83" t="n">
        <v>38</v>
      </c>
      <c r="Z173" s="66" t="n">
        <v>31.75</v>
      </c>
      <c r="AB173" s="4"/>
      <c r="AC173" s="4"/>
      <c r="AD173" s="87"/>
      <c r="AE173" s="88"/>
    </row>
    <row r="174" customFormat="false" ht="14.25" hidden="false" customHeight="false" outlineLevel="0" collapsed="false">
      <c r="A174" s="81" t="n">
        <v>1</v>
      </c>
      <c r="B174" s="81" t="n">
        <v>7</v>
      </c>
      <c r="C174" s="15" t="str">
        <f aca="false">LOOKUP(B174,H$8:H$35,F$8:F$35)</f>
        <v>Spiller 24</v>
      </c>
      <c r="D174" s="59" t="n">
        <f aca="false">INDEX(Y$139:Y$166,MATCH(C174,X$139:X$166,0))</f>
        <v>22</v>
      </c>
      <c r="E174" s="29" t="n">
        <f aca="false">INDEX(Z$139:Z$166,MATCH(C174,X$139:X$166,0))</f>
        <v>4.75</v>
      </c>
      <c r="F174" s="82" t="n">
        <v>36</v>
      </c>
      <c r="G174" s="15" t="n">
        <f aca="false">F174-AVERAGE(F$172:F$175)</f>
        <v>-8.25</v>
      </c>
      <c r="H174" s="55" t="n">
        <f aca="false">RANK(F174,F$172:F$175)</f>
        <v>4</v>
      </c>
      <c r="I174" s="29" t="n">
        <f aca="false">IF(H174=1,10,IF(H174=2,6,IF(H174=3,3,1)))</f>
        <v>1</v>
      </c>
      <c r="J174" s="60" t="n">
        <v>4</v>
      </c>
      <c r="K174" s="61" t="n">
        <v>1</v>
      </c>
      <c r="M174" s="55" t="n">
        <f aca="false">D174+K174</f>
        <v>23</v>
      </c>
      <c r="N174" s="29" t="n">
        <f aca="false">E174+G174</f>
        <v>-3.5</v>
      </c>
      <c r="O174" s="15" t="n">
        <f aca="false">RANK(M174,M$172:M$199,0)</f>
        <v>14</v>
      </c>
      <c r="P174" s="61" t="n">
        <v>15</v>
      </c>
      <c r="Q174" s="4"/>
      <c r="R174" s="55" t="n">
        <f aca="false">P174</f>
        <v>15</v>
      </c>
      <c r="S174" s="55" t="str">
        <f aca="false">C174</f>
        <v>Spiller 24</v>
      </c>
      <c r="T174" s="59" t="n">
        <f aca="false">M174</f>
        <v>23</v>
      </c>
      <c r="U174" s="29" t="n">
        <f aca="false">N174</f>
        <v>-3.5</v>
      </c>
      <c r="W174" s="64" t="n">
        <v>3</v>
      </c>
      <c r="X174" s="63" t="s">
        <v>26</v>
      </c>
      <c r="Y174" s="83" t="n">
        <v>38</v>
      </c>
      <c r="Z174" s="66" t="n">
        <v>14.75</v>
      </c>
      <c r="AB174" s="4"/>
      <c r="AC174" s="4"/>
      <c r="AD174" s="87"/>
      <c r="AE174" s="88"/>
    </row>
    <row r="175" customFormat="false" ht="14.25" hidden="false" customHeight="false" outlineLevel="0" collapsed="false">
      <c r="A175" s="84" t="n">
        <v>1</v>
      </c>
      <c r="B175" s="84" t="n">
        <v>27</v>
      </c>
      <c r="C175" s="23" t="str">
        <f aca="false">LOOKUP(B175,H$8:H$35,F$8:F$35)</f>
        <v>Spiller 23</v>
      </c>
      <c r="D175" s="70" t="n">
        <f aca="false">INDEX(Y$139:Y$166,MATCH(C175,X$139:X$166,0))</f>
        <v>29</v>
      </c>
      <c r="E175" s="31" t="n">
        <f aca="false">INDEX(Z$139:Z$166,MATCH(C175,X$139:X$166,0))</f>
        <v>17.5</v>
      </c>
      <c r="F175" s="85" t="n">
        <v>37</v>
      </c>
      <c r="G175" s="23" t="n">
        <f aca="false">F175-AVERAGE(F$172:F$175)</f>
        <v>-7.25</v>
      </c>
      <c r="H175" s="68" t="n">
        <f aca="false">RANK(F175,F$172:F$175)</f>
        <v>3</v>
      </c>
      <c r="I175" s="31" t="n">
        <f aca="false">IF(H175=1,10,IF(H175=2,6,IF(H175=3,3,1)))</f>
        <v>3</v>
      </c>
      <c r="J175" s="71" t="n">
        <v>3</v>
      </c>
      <c r="K175" s="72" t="n">
        <v>3</v>
      </c>
      <c r="M175" s="68" t="n">
        <f aca="false">D175+K175</f>
        <v>32</v>
      </c>
      <c r="N175" s="31" t="n">
        <f aca="false">E175+G175</f>
        <v>10.25</v>
      </c>
      <c r="O175" s="23" t="n">
        <f aca="false">RANK(M175,M$172:M$199,0)</f>
        <v>7</v>
      </c>
      <c r="P175" s="72" t="n">
        <v>7</v>
      </c>
      <c r="Q175" s="4"/>
      <c r="R175" s="68" t="n">
        <f aca="false">P175</f>
        <v>7</v>
      </c>
      <c r="S175" s="68" t="str">
        <f aca="false">C175</f>
        <v>Spiller 23</v>
      </c>
      <c r="T175" s="70" t="n">
        <f aca="false">M175</f>
        <v>32</v>
      </c>
      <c r="U175" s="31" t="n">
        <f aca="false">N175</f>
        <v>10.25</v>
      </c>
      <c r="W175" s="75" t="n">
        <v>4</v>
      </c>
      <c r="X175" s="74" t="s">
        <v>12</v>
      </c>
      <c r="Y175" s="86" t="n">
        <v>37</v>
      </c>
      <c r="Z175" s="77" t="n">
        <v>32.5</v>
      </c>
      <c r="AB175" s="4"/>
      <c r="AC175" s="4"/>
      <c r="AD175" s="87"/>
      <c r="AE175" s="88"/>
    </row>
    <row r="176" customFormat="false" ht="14.25" hidden="false" customHeight="false" outlineLevel="0" collapsed="false">
      <c r="A176" s="81" t="n">
        <v>2</v>
      </c>
      <c r="B176" s="81" t="n">
        <v>3</v>
      </c>
      <c r="C176" s="15" t="str">
        <f aca="false">LOOKUP(B176,H$8:H$35,F$8:F$35)</f>
        <v>Spiller 11</v>
      </c>
      <c r="D176" s="59" t="n">
        <f aca="false">INDEX(Y$139:Y$166,MATCH(C176,X$139:X$166,0))</f>
        <v>18</v>
      </c>
      <c r="E176" s="29" t="n">
        <f aca="false">INDEX(Z$139:Z$166,MATCH(C176,X$139:X$166,0))</f>
        <v>-15.5</v>
      </c>
      <c r="F176" s="82" t="n">
        <v>46</v>
      </c>
      <c r="G176" s="15" t="n">
        <f aca="false">F176-AVERAGE(F$176:F$179)</f>
        <v>1.5</v>
      </c>
      <c r="H176" s="55" t="n">
        <f aca="false">RANK(F176,F$176:F$179)</f>
        <v>3</v>
      </c>
      <c r="I176" s="29" t="n">
        <f aca="false">IF(H176=1,10,IF(H176=2,6,IF(H176=3,3,1)))</f>
        <v>3</v>
      </c>
      <c r="J176" s="60" t="n">
        <v>3</v>
      </c>
      <c r="K176" s="61" t="n">
        <v>3</v>
      </c>
      <c r="M176" s="55" t="n">
        <f aca="false">D176+K176</f>
        <v>21</v>
      </c>
      <c r="N176" s="29" t="n">
        <f aca="false">E176+G176</f>
        <v>-14</v>
      </c>
      <c r="O176" s="15" t="n">
        <f aca="false">RANK(M176,M$172:M$199,0)</f>
        <v>18</v>
      </c>
      <c r="P176" s="61" t="n">
        <v>19</v>
      </c>
      <c r="Q176" s="4"/>
      <c r="R176" s="55" t="n">
        <f aca="false">P176</f>
        <v>19</v>
      </c>
      <c r="S176" s="55" t="str">
        <f aca="false">C176</f>
        <v>Spiller 11</v>
      </c>
      <c r="T176" s="59" t="n">
        <f aca="false">M176</f>
        <v>21</v>
      </c>
      <c r="U176" s="29" t="n">
        <f aca="false">N176</f>
        <v>-14</v>
      </c>
      <c r="W176" s="64" t="n">
        <v>5</v>
      </c>
      <c r="X176" s="63" t="s">
        <v>25</v>
      </c>
      <c r="Y176" s="83" t="n">
        <v>37</v>
      </c>
      <c r="Z176" s="66" t="n">
        <v>11.75</v>
      </c>
      <c r="AB176" s="4"/>
      <c r="AC176" s="4"/>
      <c r="AD176" s="87"/>
      <c r="AE176" s="88"/>
    </row>
    <row r="177" customFormat="false" ht="14.25" hidden="false" customHeight="false" outlineLevel="0" collapsed="false">
      <c r="A177" s="81" t="n">
        <v>2</v>
      </c>
      <c r="B177" s="81" t="n">
        <v>6</v>
      </c>
      <c r="C177" s="15" t="str">
        <f aca="false">LOOKUP(B177,H$8:H$35,F$8:F$35)</f>
        <v>Spiller 10</v>
      </c>
      <c r="D177" s="59" t="n">
        <f aca="false">INDEX(Y$139:Y$166,MATCH(C177,X$139:X$166,0))</f>
        <v>18</v>
      </c>
      <c r="E177" s="29" t="n">
        <f aca="false">INDEX(Z$139:Z$166,MATCH(C177,X$139:X$166,0))</f>
        <v>-8.5</v>
      </c>
      <c r="F177" s="82" t="n">
        <v>30</v>
      </c>
      <c r="G177" s="15" t="n">
        <f aca="false">F177-AVERAGE(F$176:F$179)</f>
        <v>-14.5</v>
      </c>
      <c r="H177" s="55" t="n">
        <f aca="false">RANK(F177,F$176:F$179)</f>
        <v>4</v>
      </c>
      <c r="I177" s="29" t="n">
        <f aca="false">IF(H177=1,10,IF(H177=2,6,IF(H177=3,3,1)))</f>
        <v>1</v>
      </c>
      <c r="J177" s="60" t="n">
        <v>4</v>
      </c>
      <c r="K177" s="61" t="n">
        <v>1</v>
      </c>
      <c r="M177" s="55" t="n">
        <f aca="false">D177+K177</f>
        <v>19</v>
      </c>
      <c r="N177" s="29" t="n">
        <f aca="false">E177+G177</f>
        <v>-23</v>
      </c>
      <c r="O177" s="15" t="n">
        <f aca="false">RANK(M177,M$172:M$199,0)</f>
        <v>22</v>
      </c>
      <c r="P177" s="61" t="n">
        <v>25</v>
      </c>
      <c r="Q177" s="4"/>
      <c r="R177" s="55" t="n">
        <f aca="false">P177</f>
        <v>25</v>
      </c>
      <c r="S177" s="55" t="str">
        <f aca="false">C177</f>
        <v>Spiller 10</v>
      </c>
      <c r="T177" s="59" t="n">
        <f aca="false">M177</f>
        <v>19</v>
      </c>
      <c r="U177" s="29" t="n">
        <f aca="false">N177</f>
        <v>-23</v>
      </c>
      <c r="W177" s="64" t="n">
        <v>6</v>
      </c>
      <c r="X177" s="63" t="s">
        <v>15</v>
      </c>
      <c r="Y177" s="83" t="n">
        <v>33</v>
      </c>
      <c r="Z177" s="66" t="n">
        <v>14</v>
      </c>
      <c r="AB177" s="4"/>
      <c r="AC177" s="4"/>
      <c r="AD177" s="87"/>
      <c r="AE177" s="88"/>
    </row>
    <row r="178" customFormat="false" ht="14.25" hidden="false" customHeight="false" outlineLevel="0" collapsed="false">
      <c r="A178" s="81" t="n">
        <v>2</v>
      </c>
      <c r="B178" s="81" t="n">
        <v>9</v>
      </c>
      <c r="C178" s="15" t="str">
        <f aca="false">LOOKUP(B178,H$8:H$35,F$8:F$35)</f>
        <v>Spiller 17</v>
      </c>
      <c r="D178" s="59" t="n">
        <f aca="false">INDEX(Y$139:Y$166,MATCH(C178,X$139:X$166,0))</f>
        <v>27</v>
      </c>
      <c r="E178" s="29" t="n">
        <f aca="false">INDEX(Z$139:Z$166,MATCH(C178,X$139:X$166,0))</f>
        <v>4.25</v>
      </c>
      <c r="F178" s="82" t="n">
        <v>52</v>
      </c>
      <c r="G178" s="15" t="n">
        <f aca="false">F178-AVERAGE(F$176:F$179)</f>
        <v>7.5</v>
      </c>
      <c r="H178" s="55" t="n">
        <f aca="false">RANK(F178,F$176:F$179)</f>
        <v>1</v>
      </c>
      <c r="I178" s="29" t="n">
        <f aca="false">IF(H178=1,10,IF(H178=2,6,IF(H178=3,3,1)))</f>
        <v>10</v>
      </c>
      <c r="J178" s="60" t="n">
        <v>1</v>
      </c>
      <c r="K178" s="61" t="n">
        <v>10</v>
      </c>
      <c r="M178" s="55" t="n">
        <f aca="false">D178+K178</f>
        <v>37</v>
      </c>
      <c r="N178" s="29" t="n">
        <f aca="false">E178+G178</f>
        <v>11.75</v>
      </c>
      <c r="O178" s="15" t="n">
        <f aca="false">RANK(M178,M$172:M$199,0)</f>
        <v>4</v>
      </c>
      <c r="P178" s="61" t="n">
        <v>5</v>
      </c>
      <c r="Q178" s="4"/>
      <c r="R178" s="55" t="n">
        <f aca="false">P178</f>
        <v>5</v>
      </c>
      <c r="S178" s="55" t="str">
        <f aca="false">C178</f>
        <v>Spiller 17</v>
      </c>
      <c r="T178" s="59" t="n">
        <f aca="false">M178</f>
        <v>37</v>
      </c>
      <c r="U178" s="29" t="n">
        <f aca="false">N178</f>
        <v>11.75</v>
      </c>
      <c r="W178" s="64" t="n">
        <v>7</v>
      </c>
      <c r="X178" s="63" t="s">
        <v>36</v>
      </c>
      <c r="Y178" s="83" t="n">
        <v>32</v>
      </c>
      <c r="Z178" s="66" t="n">
        <v>10.25</v>
      </c>
      <c r="AB178" s="4"/>
      <c r="AC178" s="4"/>
      <c r="AD178" s="87"/>
      <c r="AE178" s="88"/>
    </row>
    <row r="179" customFormat="false" ht="14.25" hidden="false" customHeight="false" outlineLevel="0" collapsed="false">
      <c r="A179" s="84" t="n">
        <v>2</v>
      </c>
      <c r="B179" s="84" t="n">
        <v>24</v>
      </c>
      <c r="C179" s="23" t="str">
        <f aca="false">LOOKUP(B179,H$8:H$35,F$8:F$35)</f>
        <v>Spiller 28</v>
      </c>
      <c r="D179" s="70" t="n">
        <f aca="false">INDEX(Y$139:Y$166,MATCH(C179,X$139:X$166,0))</f>
        <v>22</v>
      </c>
      <c r="E179" s="31" t="n">
        <f aca="false">INDEX(Z$139:Z$166,MATCH(C179,X$139:X$166,0))</f>
        <v>12.25</v>
      </c>
      <c r="F179" s="85" t="n">
        <v>50</v>
      </c>
      <c r="G179" s="23" t="n">
        <f aca="false">F179-AVERAGE(F$176:F$179)</f>
        <v>5.5</v>
      </c>
      <c r="H179" s="68" t="n">
        <f aca="false">RANK(F179,F$176:F$179)</f>
        <v>2</v>
      </c>
      <c r="I179" s="31" t="n">
        <f aca="false">IF(H179=1,10,IF(H179=2,6,IF(H179=3,3,1)))</f>
        <v>6</v>
      </c>
      <c r="J179" s="71" t="n">
        <v>2</v>
      </c>
      <c r="K179" s="72" t="n">
        <v>6</v>
      </c>
      <c r="M179" s="68" t="n">
        <f aca="false">D179+K179</f>
        <v>28</v>
      </c>
      <c r="N179" s="31" t="n">
        <f aca="false">E179+G179</f>
        <v>17.75</v>
      </c>
      <c r="O179" s="23" t="n">
        <f aca="false">RANK(M179,M$172:M$199,0)</f>
        <v>12</v>
      </c>
      <c r="P179" s="72" t="n">
        <v>12</v>
      </c>
      <c r="Q179" s="4"/>
      <c r="R179" s="68" t="n">
        <f aca="false">P179</f>
        <v>12</v>
      </c>
      <c r="S179" s="68" t="str">
        <f aca="false">C179</f>
        <v>Spiller 28</v>
      </c>
      <c r="T179" s="70" t="n">
        <f aca="false">M179</f>
        <v>28</v>
      </c>
      <c r="U179" s="31" t="n">
        <f aca="false">N179</f>
        <v>17.75</v>
      </c>
      <c r="W179" s="75" t="n">
        <v>8</v>
      </c>
      <c r="X179" s="74" t="s">
        <v>35</v>
      </c>
      <c r="Y179" s="86" t="n">
        <v>32</v>
      </c>
      <c r="Z179" s="77" t="n">
        <v>3.25</v>
      </c>
      <c r="AB179" s="4"/>
      <c r="AC179" s="4"/>
      <c r="AD179" s="87"/>
      <c r="AE179" s="88"/>
    </row>
    <row r="180" customFormat="false" ht="14.25" hidden="false" customHeight="false" outlineLevel="0" collapsed="false">
      <c r="A180" s="81" t="n">
        <v>3</v>
      </c>
      <c r="B180" s="81" t="n">
        <v>11</v>
      </c>
      <c r="C180" s="15" t="str">
        <f aca="false">LOOKUP(B180,H$8:H$35,F$8:F$35)</f>
        <v>Spiller 14</v>
      </c>
      <c r="D180" s="59" t="n">
        <f aca="false">INDEX(Y$139:Y$166,MATCH(C180,X$139:X$166,0))</f>
        <v>16</v>
      </c>
      <c r="E180" s="29" t="n">
        <f aca="false">INDEX(Z$139:Z$166,MATCH(C180,X$139:X$166,0))</f>
        <v>-6.75</v>
      </c>
      <c r="F180" s="82" t="n">
        <v>35</v>
      </c>
      <c r="G180" s="15" t="n">
        <f aca="false">F180-AVERAGE(F$180:F$183)</f>
        <v>-7.25</v>
      </c>
      <c r="H180" s="55" t="n">
        <f aca="false">RANK(F180,F$180:F$183)</f>
        <v>3</v>
      </c>
      <c r="I180" s="29" t="n">
        <f aca="false">IF(H180=1,10,IF(H180=2,6,IF(H180=3,3,1)))</f>
        <v>3</v>
      </c>
      <c r="J180" s="60" t="n">
        <v>3</v>
      </c>
      <c r="K180" s="61" t="n">
        <v>3</v>
      </c>
      <c r="M180" s="55" t="n">
        <f aca="false">D180+K180</f>
        <v>19</v>
      </c>
      <c r="N180" s="29" t="n">
        <f aca="false">E180+G180</f>
        <v>-14</v>
      </c>
      <c r="O180" s="15" t="n">
        <f aca="false">RANK(M180,M$172:M$199,0)</f>
        <v>22</v>
      </c>
      <c r="P180" s="61" t="n">
        <v>23</v>
      </c>
      <c r="Q180" s="4"/>
      <c r="R180" s="55" t="n">
        <f aca="false">P180</f>
        <v>23</v>
      </c>
      <c r="S180" s="55" t="str">
        <f aca="false">C180</f>
        <v>Spiller 14</v>
      </c>
      <c r="T180" s="59" t="n">
        <f aca="false">M180</f>
        <v>19</v>
      </c>
      <c r="U180" s="29" t="n">
        <f aca="false">N180</f>
        <v>-14</v>
      </c>
      <c r="W180" s="64" t="n">
        <v>9</v>
      </c>
      <c r="X180" s="63" t="s">
        <v>32</v>
      </c>
      <c r="Y180" s="83" t="n">
        <v>31</v>
      </c>
      <c r="Z180" s="66" t="n">
        <v>21.5</v>
      </c>
      <c r="AB180" s="4"/>
      <c r="AC180" s="4"/>
      <c r="AD180" s="87"/>
      <c r="AE180" s="88"/>
    </row>
    <row r="181" customFormat="false" ht="14.25" hidden="false" customHeight="false" outlineLevel="0" collapsed="false">
      <c r="A181" s="81" t="n">
        <v>3</v>
      </c>
      <c r="B181" s="81" t="n">
        <v>16</v>
      </c>
      <c r="C181" s="15" t="str">
        <f aca="false">LOOKUP(B181,H$8:H$35,F$8:F$35)</f>
        <v>Spiller 13</v>
      </c>
      <c r="D181" s="59" t="n">
        <f aca="false">INDEX(Y$139:Y$166,MATCH(C181,X$139:X$166,0))</f>
        <v>18</v>
      </c>
      <c r="E181" s="29" t="n">
        <f aca="false">INDEX(Z$139:Z$166,MATCH(C181,X$139:X$166,0))</f>
        <v>-14.25</v>
      </c>
      <c r="F181" s="82" t="n">
        <v>54</v>
      </c>
      <c r="G181" s="15" t="n">
        <f aca="false">F181-AVERAGE(F$180:F$183)</f>
        <v>11.75</v>
      </c>
      <c r="H181" s="55" t="n">
        <f aca="false">RANK(F181,F$180:F$183)</f>
        <v>1</v>
      </c>
      <c r="I181" s="29" t="n">
        <f aca="false">IF(H181=1,10,IF(H181=2,6,IF(H181=3,3,1)))</f>
        <v>10</v>
      </c>
      <c r="J181" s="60" t="n">
        <v>1</v>
      </c>
      <c r="K181" s="61" t="n">
        <v>10</v>
      </c>
      <c r="M181" s="55" t="n">
        <f aca="false">D181+K181</f>
        <v>28</v>
      </c>
      <c r="N181" s="29" t="n">
        <f aca="false">E181+G181</f>
        <v>-2.5</v>
      </c>
      <c r="O181" s="15" t="n">
        <f aca="false">RANK(M181,M$172:M$199,0)</f>
        <v>12</v>
      </c>
      <c r="P181" s="61" t="n">
        <v>13</v>
      </c>
      <c r="Q181" s="4"/>
      <c r="R181" s="55" t="n">
        <f aca="false">P181</f>
        <v>13</v>
      </c>
      <c r="S181" s="55" t="str">
        <f aca="false">C181</f>
        <v>Spiller 13</v>
      </c>
      <c r="T181" s="59" t="n">
        <f aca="false">M181</f>
        <v>28</v>
      </c>
      <c r="U181" s="29" t="n">
        <f aca="false">N181</f>
        <v>-2.5</v>
      </c>
      <c r="W181" s="64" t="n">
        <v>10</v>
      </c>
      <c r="X181" s="63" t="s">
        <v>33</v>
      </c>
      <c r="Y181" s="83" t="n">
        <v>30</v>
      </c>
      <c r="Z181" s="66" t="n">
        <v>-0.25</v>
      </c>
      <c r="AB181" s="4"/>
      <c r="AC181" s="4"/>
      <c r="AD181" s="87"/>
      <c r="AE181" s="88"/>
    </row>
    <row r="182" customFormat="false" ht="14.25" hidden="false" customHeight="false" outlineLevel="0" collapsed="false">
      <c r="A182" s="81" t="n">
        <v>3</v>
      </c>
      <c r="B182" s="81" t="n">
        <v>17</v>
      </c>
      <c r="C182" s="15" t="str">
        <f aca="false">LOOKUP(B182,H$8:H$35,F$8:F$35)</f>
        <v>Spiller 06</v>
      </c>
      <c r="D182" s="59" t="n">
        <f aca="false">INDEX(Y$139:Y$166,MATCH(C182,X$139:X$166,0))</f>
        <v>16</v>
      </c>
      <c r="E182" s="29" t="n">
        <f aca="false">INDEX(Z$139:Z$166,MATCH(C182,X$139:X$166,0))</f>
        <v>-22.75</v>
      </c>
      <c r="F182" s="82" t="n">
        <v>30</v>
      </c>
      <c r="G182" s="15" t="n">
        <f aca="false">F182-AVERAGE(F$180:F$183)</f>
        <v>-12.25</v>
      </c>
      <c r="H182" s="55" t="n">
        <f aca="false">RANK(F182,F$180:F$183)</f>
        <v>4</v>
      </c>
      <c r="I182" s="29" t="n">
        <f aca="false">IF(H182=1,10,IF(H182=2,6,IF(H182=3,3,1)))</f>
        <v>1</v>
      </c>
      <c r="J182" s="60" t="n">
        <v>4</v>
      </c>
      <c r="K182" s="61" t="n">
        <v>1</v>
      </c>
      <c r="M182" s="55" t="n">
        <f aca="false">D182+K182</f>
        <v>17</v>
      </c>
      <c r="N182" s="29" t="n">
        <f aca="false">E182+G182</f>
        <v>-35</v>
      </c>
      <c r="O182" s="15" t="n">
        <f aca="false">RANK(M182,M$172:M$199,0)</f>
        <v>26</v>
      </c>
      <c r="P182" s="61" t="n">
        <v>26</v>
      </c>
      <c r="Q182" s="4"/>
      <c r="R182" s="55" t="n">
        <f aca="false">P182</f>
        <v>26</v>
      </c>
      <c r="S182" s="55" t="str">
        <f aca="false">C182</f>
        <v>Spiller 06</v>
      </c>
      <c r="T182" s="59" t="n">
        <f aca="false">M182</f>
        <v>17</v>
      </c>
      <c r="U182" s="29" t="n">
        <f aca="false">N182</f>
        <v>-35</v>
      </c>
      <c r="W182" s="64" t="n">
        <v>11</v>
      </c>
      <c r="X182" s="63" t="s">
        <v>31</v>
      </c>
      <c r="Y182" s="83" t="n">
        <v>29</v>
      </c>
      <c r="Z182" s="66" t="n">
        <v>13</v>
      </c>
      <c r="AB182" s="4"/>
      <c r="AC182" s="4"/>
      <c r="AD182" s="87"/>
      <c r="AE182" s="88"/>
    </row>
    <row r="183" customFormat="false" ht="14.25" hidden="false" customHeight="false" outlineLevel="0" collapsed="false">
      <c r="A183" s="84" t="n">
        <v>3</v>
      </c>
      <c r="B183" s="84" t="n">
        <v>25</v>
      </c>
      <c r="C183" s="23" t="str">
        <f aca="false">LOOKUP(B183,H$8:H$35,F$8:F$35)</f>
        <v>Spiller 18</v>
      </c>
      <c r="D183" s="70" t="n">
        <f aca="false">INDEX(Y$139:Y$166,MATCH(C183,X$139:X$166,0))</f>
        <v>25</v>
      </c>
      <c r="E183" s="31" t="n">
        <f aca="false">INDEX(Z$139:Z$166,MATCH(C183,X$139:X$166,0))</f>
        <v>13.75</v>
      </c>
      <c r="F183" s="85" t="n">
        <v>50</v>
      </c>
      <c r="G183" s="23" t="n">
        <f aca="false">F183-AVERAGE(F$180:F$183)</f>
        <v>7.75</v>
      </c>
      <c r="H183" s="68" t="n">
        <f aca="false">RANK(F183,F$180:F$183)</f>
        <v>2</v>
      </c>
      <c r="I183" s="31" t="n">
        <f aca="false">IF(H183=1,10,IF(H183=2,6,IF(H183=3,3,1)))</f>
        <v>6</v>
      </c>
      <c r="J183" s="71" t="n">
        <v>2</v>
      </c>
      <c r="K183" s="72" t="n">
        <v>6</v>
      </c>
      <c r="M183" s="68" t="n">
        <f aca="false">D183+K183</f>
        <v>31</v>
      </c>
      <c r="N183" s="31" t="n">
        <f aca="false">E183+G183</f>
        <v>21.5</v>
      </c>
      <c r="O183" s="23" t="n">
        <f aca="false">RANK(M183,M$172:M$199,0)</f>
        <v>9</v>
      </c>
      <c r="P183" s="72" t="n">
        <v>9</v>
      </c>
      <c r="Q183" s="4"/>
      <c r="R183" s="68" t="n">
        <f aca="false">P183</f>
        <v>9</v>
      </c>
      <c r="S183" s="68" t="str">
        <f aca="false">C183</f>
        <v>Spiller 18</v>
      </c>
      <c r="T183" s="70" t="n">
        <f aca="false">M183</f>
        <v>31</v>
      </c>
      <c r="U183" s="31" t="n">
        <f aca="false">N183</f>
        <v>21.5</v>
      </c>
      <c r="W183" s="75" t="n">
        <v>12</v>
      </c>
      <c r="X183" s="74" t="s">
        <v>37</v>
      </c>
      <c r="Y183" s="86" t="n">
        <v>28</v>
      </c>
      <c r="Z183" s="77" t="n">
        <v>17.75</v>
      </c>
      <c r="AB183" s="4"/>
      <c r="AC183" s="4"/>
      <c r="AD183" s="87"/>
      <c r="AE183" s="88"/>
    </row>
    <row r="184" customFormat="false" ht="14.25" hidden="false" customHeight="false" outlineLevel="0" collapsed="false">
      <c r="A184" s="81" t="n">
        <v>4</v>
      </c>
      <c r="B184" s="81" t="n">
        <v>4</v>
      </c>
      <c r="C184" s="15" t="str">
        <f aca="false">LOOKUP(B184,H$8:H$35,F$8:F$35)</f>
        <v>Spiller 08</v>
      </c>
      <c r="D184" s="59" t="n">
        <f aca="false">INDEX(Y$139:Y$166,MATCH(C184,X$139:X$166,0))</f>
        <v>13</v>
      </c>
      <c r="E184" s="29" t="n">
        <f aca="false">INDEX(Z$139:Z$166,MATCH(C184,X$139:X$166,0))</f>
        <v>-18.75</v>
      </c>
      <c r="F184" s="82" t="n">
        <v>34</v>
      </c>
      <c r="G184" s="15" t="n">
        <f aca="false">F184-AVERAGE(F$184:F$187)</f>
        <v>2</v>
      </c>
      <c r="H184" s="55" t="n">
        <f aca="false">RANK(F184,F$184:F$187)</f>
        <v>2</v>
      </c>
      <c r="I184" s="29" t="n">
        <f aca="false">IF(H184=1,10,IF(H184=2,6,IF(H184=3,3,1)))</f>
        <v>6</v>
      </c>
      <c r="J184" s="60" t="n">
        <v>2</v>
      </c>
      <c r="K184" s="61" t="n">
        <v>6</v>
      </c>
      <c r="M184" s="55" t="n">
        <f aca="false">D184+K184</f>
        <v>19</v>
      </c>
      <c r="N184" s="29" t="n">
        <f aca="false">E184+G184</f>
        <v>-16.75</v>
      </c>
      <c r="O184" s="15" t="n">
        <f aca="false">RANK(M184,M$172:M$199,0)</f>
        <v>22</v>
      </c>
      <c r="P184" s="61" t="n">
        <v>24</v>
      </c>
      <c r="Q184" s="4"/>
      <c r="R184" s="55" t="n">
        <f aca="false">P184</f>
        <v>24</v>
      </c>
      <c r="S184" s="55" t="str">
        <f aca="false">C184</f>
        <v>Spiller 08</v>
      </c>
      <c r="T184" s="59" t="n">
        <f aca="false">M184</f>
        <v>19</v>
      </c>
      <c r="U184" s="29" t="n">
        <f aca="false">N184</f>
        <v>-16.75</v>
      </c>
      <c r="W184" s="64" t="n">
        <v>13</v>
      </c>
      <c r="X184" s="63" t="s">
        <v>29</v>
      </c>
      <c r="Y184" s="83" t="n">
        <v>28</v>
      </c>
      <c r="Z184" s="66" t="n">
        <v>-2.5</v>
      </c>
      <c r="AB184" s="4"/>
      <c r="AC184" s="4"/>
      <c r="AD184" s="87"/>
      <c r="AE184" s="88"/>
    </row>
    <row r="185" customFormat="false" ht="14.25" hidden="false" customHeight="false" outlineLevel="0" collapsed="false">
      <c r="A185" s="81" t="n">
        <v>4</v>
      </c>
      <c r="B185" s="81" t="n">
        <v>5</v>
      </c>
      <c r="C185" s="15" t="str">
        <f aca="false">LOOKUP(B185,H$8:H$35,F$8:F$35)</f>
        <v>Spiller 04</v>
      </c>
      <c r="D185" s="59" t="n">
        <f aca="false">INDEX(Y$139:Y$166,MATCH(C185,X$139:X$166,0))</f>
        <v>17</v>
      </c>
      <c r="E185" s="29" t="n">
        <f aca="false">INDEX(Z$139:Z$166,MATCH(C185,X$139:X$166,0))</f>
        <v>-11</v>
      </c>
      <c r="F185" s="82" t="n">
        <v>33</v>
      </c>
      <c r="G185" s="15" t="n">
        <f aca="false">F185-AVERAGE(F$184:F$187)</f>
        <v>1</v>
      </c>
      <c r="H185" s="55" t="n">
        <f aca="false">RANK(F185,F$184:F$187)</f>
        <v>3</v>
      </c>
      <c r="I185" s="29" t="n">
        <f aca="false">IF(H185=1,10,IF(H185=2,6,IF(H185=3,3,1)))</f>
        <v>3</v>
      </c>
      <c r="J185" s="60" t="n">
        <v>3</v>
      </c>
      <c r="K185" s="61" t="n">
        <v>3</v>
      </c>
      <c r="M185" s="55" t="n">
        <f aca="false">D185+K185</f>
        <v>20</v>
      </c>
      <c r="N185" s="29" t="n">
        <f aca="false">E185+G185</f>
        <v>-10</v>
      </c>
      <c r="O185" s="15" t="n">
        <f aca="false">RANK(M185,M$172:M$199,0)</f>
        <v>21</v>
      </c>
      <c r="P185" s="61" t="n">
        <v>21</v>
      </c>
      <c r="Q185" s="4"/>
      <c r="R185" s="55" t="n">
        <f aca="false">P185</f>
        <v>21</v>
      </c>
      <c r="S185" s="55" t="str">
        <f aca="false">C185</f>
        <v>Spiller 04</v>
      </c>
      <c r="T185" s="59" t="n">
        <f aca="false">M185</f>
        <v>20</v>
      </c>
      <c r="U185" s="29" t="n">
        <f aca="false">N185</f>
        <v>-10</v>
      </c>
      <c r="W185" s="64" t="n">
        <v>14</v>
      </c>
      <c r="X185" s="63" t="s">
        <v>24</v>
      </c>
      <c r="Y185" s="83" t="n">
        <v>23</v>
      </c>
      <c r="Z185" s="66" t="n">
        <v>4</v>
      </c>
      <c r="AB185" s="4"/>
      <c r="AC185" s="4"/>
      <c r="AD185" s="87"/>
      <c r="AE185" s="88"/>
    </row>
    <row r="186" customFormat="false" ht="14.25" hidden="false" customHeight="false" outlineLevel="0" collapsed="false">
      <c r="A186" s="81" t="n">
        <v>4</v>
      </c>
      <c r="B186" s="81" t="n">
        <v>10</v>
      </c>
      <c r="C186" s="15" t="str">
        <f aca="false">LOOKUP(B186,H$8:H$35,F$8:F$35)</f>
        <v>Spiller 25</v>
      </c>
      <c r="D186" s="59" t="n">
        <f aca="false">INDEX(Y$139:Y$166,MATCH(C186,X$139:X$166,0))</f>
        <v>28</v>
      </c>
      <c r="E186" s="29" t="n">
        <f aca="false">INDEX(Z$139:Z$166,MATCH(C186,X$139:X$166,0))</f>
        <v>11.75</v>
      </c>
      <c r="F186" s="82" t="n">
        <v>35</v>
      </c>
      <c r="G186" s="15" t="n">
        <f aca="false">F186-AVERAGE(F$184:F$187)</f>
        <v>3</v>
      </c>
      <c r="H186" s="55" t="n">
        <f aca="false">RANK(F186,F$184:F$187)</f>
        <v>1</v>
      </c>
      <c r="I186" s="29" t="n">
        <f aca="false">IF(H186=1,10,IF(H186=2,6,IF(H186=3,3,1)))</f>
        <v>10</v>
      </c>
      <c r="J186" s="60" t="n">
        <v>1</v>
      </c>
      <c r="K186" s="61" t="n">
        <v>10</v>
      </c>
      <c r="M186" s="55" t="n">
        <f aca="false">D186+K186</f>
        <v>38</v>
      </c>
      <c r="N186" s="29" t="n">
        <f aca="false">E186+G186</f>
        <v>14.75</v>
      </c>
      <c r="O186" s="15" t="n">
        <f aca="false">RANK(M186,M$172:M$199,0)</f>
        <v>2</v>
      </c>
      <c r="P186" s="61" t="n">
        <v>3</v>
      </c>
      <c r="Q186" s="4"/>
      <c r="R186" s="55" t="n">
        <f aca="false">P186</f>
        <v>3</v>
      </c>
      <c r="S186" s="55" t="str">
        <f aca="false">C186</f>
        <v>Spiller 25</v>
      </c>
      <c r="T186" s="59" t="n">
        <f aca="false">M186</f>
        <v>38</v>
      </c>
      <c r="U186" s="29" t="n">
        <f aca="false">N186</f>
        <v>14.75</v>
      </c>
      <c r="W186" s="64" t="n">
        <v>15</v>
      </c>
      <c r="X186" s="63" t="s">
        <v>22</v>
      </c>
      <c r="Y186" s="83" t="n">
        <v>23</v>
      </c>
      <c r="Z186" s="66" t="n">
        <v>-3.5</v>
      </c>
      <c r="AB186" s="4"/>
      <c r="AC186" s="4"/>
      <c r="AD186" s="87"/>
      <c r="AE186" s="88"/>
    </row>
    <row r="187" customFormat="false" ht="14.25" hidden="false" customHeight="false" outlineLevel="0" collapsed="false">
      <c r="A187" s="84" t="n">
        <v>4</v>
      </c>
      <c r="B187" s="84" t="n">
        <v>13</v>
      </c>
      <c r="C187" s="23" t="str">
        <f aca="false">LOOKUP(B187,H$8:H$35,F$8:F$35)</f>
        <v>Spiller 02</v>
      </c>
      <c r="D187" s="70" t="n">
        <f aca="false">INDEX(Y$139:Y$166,MATCH(C187,X$139:X$166,0))</f>
        <v>20</v>
      </c>
      <c r="E187" s="31" t="n">
        <f aca="false">INDEX(Z$139:Z$166,MATCH(C187,X$139:X$166,0))</f>
        <v>6</v>
      </c>
      <c r="F187" s="85" t="n">
        <v>26</v>
      </c>
      <c r="G187" s="23" t="n">
        <f aca="false">F187-AVERAGE(F$184:F$187)</f>
        <v>-6</v>
      </c>
      <c r="H187" s="68" t="n">
        <f aca="false">RANK(F187,F$184:F$187)</f>
        <v>4</v>
      </c>
      <c r="I187" s="31" t="n">
        <f aca="false">IF(H187=1,10,IF(H187=2,6,IF(H187=3,3,1)))</f>
        <v>1</v>
      </c>
      <c r="J187" s="71" t="n">
        <v>4</v>
      </c>
      <c r="K187" s="72" t="n">
        <v>1</v>
      </c>
      <c r="M187" s="68" t="n">
        <f aca="false">D187+K187</f>
        <v>21</v>
      </c>
      <c r="N187" s="31" t="n">
        <f aca="false">E187+G187</f>
        <v>0</v>
      </c>
      <c r="O187" s="23" t="n">
        <f aca="false">RANK(M187,M$172:M$199,0)</f>
        <v>18</v>
      </c>
      <c r="P187" s="72" t="n">
        <v>18</v>
      </c>
      <c r="Q187" s="4"/>
      <c r="R187" s="68" t="n">
        <f aca="false">P187</f>
        <v>18</v>
      </c>
      <c r="S187" s="68" t="str">
        <f aca="false">C187</f>
        <v>Spiller 02</v>
      </c>
      <c r="T187" s="70" t="n">
        <f aca="false">M187</f>
        <v>21</v>
      </c>
      <c r="U187" s="31" t="n">
        <f aca="false">N187</f>
        <v>0</v>
      </c>
      <c r="W187" s="75" t="n">
        <v>16</v>
      </c>
      <c r="X187" s="74" t="s">
        <v>23</v>
      </c>
      <c r="Y187" s="86" t="n">
        <v>23</v>
      </c>
      <c r="Z187" s="77" t="n">
        <v>-3.75</v>
      </c>
      <c r="AB187" s="4"/>
      <c r="AC187" s="4"/>
      <c r="AD187" s="87"/>
      <c r="AE187" s="88"/>
    </row>
    <row r="188" customFormat="false" ht="14.25" hidden="false" customHeight="false" outlineLevel="0" collapsed="false">
      <c r="A188" s="81" t="n">
        <v>5</v>
      </c>
      <c r="B188" s="81" t="n">
        <v>14</v>
      </c>
      <c r="C188" s="15" t="str">
        <f aca="false">LOOKUP(B188,H$8:H$35,F$8:F$35)</f>
        <v>Spiller 03</v>
      </c>
      <c r="D188" s="59" t="n">
        <f aca="false">INDEX(Y$139:Y$166,MATCH(C188,X$139:X$166,0))</f>
        <v>27</v>
      </c>
      <c r="E188" s="29" t="n">
        <f aca="false">INDEX(Z$139:Z$166,MATCH(C188,X$139:X$166,0))</f>
        <v>7.5</v>
      </c>
      <c r="F188" s="82" t="n">
        <v>54</v>
      </c>
      <c r="G188" s="15" t="n">
        <f aca="false">F188-AVERAGE(F$188:F$191)</f>
        <v>6.5</v>
      </c>
      <c r="H188" s="55" t="n">
        <f aca="false">RANK(F188,F$188:F$191)</f>
        <v>2</v>
      </c>
      <c r="I188" s="29" t="n">
        <f aca="false">IF(H188=1,10,IF(H188=2,6,IF(H188=3,3,1)))</f>
        <v>6</v>
      </c>
      <c r="J188" s="60" t="n">
        <v>2</v>
      </c>
      <c r="K188" s="61" t="n">
        <v>6</v>
      </c>
      <c r="M188" s="55" t="n">
        <f aca="false">D188+K188</f>
        <v>33</v>
      </c>
      <c r="N188" s="29" t="n">
        <f aca="false">E188+G188</f>
        <v>14</v>
      </c>
      <c r="O188" s="15" t="n">
        <f aca="false">RANK(M188,M$172:M$199,0)</f>
        <v>6</v>
      </c>
      <c r="P188" s="61" t="n">
        <v>6</v>
      </c>
      <c r="Q188" s="4"/>
      <c r="R188" s="55" t="n">
        <f aca="false">P188</f>
        <v>6</v>
      </c>
      <c r="S188" s="55" t="str">
        <f aca="false">C188</f>
        <v>Spiller 03</v>
      </c>
      <c r="T188" s="59" t="n">
        <f aca="false">M188</f>
        <v>33</v>
      </c>
      <c r="U188" s="29" t="n">
        <f aca="false">N188</f>
        <v>14</v>
      </c>
      <c r="W188" s="64" t="n">
        <v>17</v>
      </c>
      <c r="X188" s="63" t="s">
        <v>34</v>
      </c>
      <c r="Y188" s="83" t="n">
        <v>23</v>
      </c>
      <c r="Z188" s="66" t="n">
        <v>-5.75</v>
      </c>
      <c r="AB188" s="4"/>
      <c r="AC188" s="4"/>
      <c r="AD188" s="87"/>
      <c r="AE188" s="88"/>
    </row>
    <row r="189" customFormat="false" ht="14.25" hidden="false" customHeight="false" outlineLevel="0" collapsed="false">
      <c r="A189" s="81" t="n">
        <v>5</v>
      </c>
      <c r="B189" s="81" t="n">
        <v>15</v>
      </c>
      <c r="C189" s="15" t="str">
        <f aca="false">LOOKUP(B189,H$8:H$35,F$8:F$35)</f>
        <v>Spiller 15</v>
      </c>
      <c r="D189" s="59" t="n">
        <f aca="false">INDEX(Y$139:Y$166,MATCH(C189,X$139:X$166,0))</f>
        <v>40</v>
      </c>
      <c r="E189" s="29" t="n">
        <f aca="false">INDEX(Z$139:Z$166,MATCH(C189,X$139:X$166,0))</f>
        <v>35.5</v>
      </c>
      <c r="F189" s="82" t="n">
        <v>47</v>
      </c>
      <c r="G189" s="15" t="n">
        <f aca="false">F189-AVERAGE(F$188:F$191)</f>
        <v>-0.5</v>
      </c>
      <c r="H189" s="55" t="n">
        <f aca="false">RANK(F189,F$188:F$191)</f>
        <v>3</v>
      </c>
      <c r="I189" s="29" t="n">
        <f aca="false">IF(H189=1,10,IF(H189=2,6,IF(H189=3,3,1)))</f>
        <v>3</v>
      </c>
      <c r="J189" s="60" t="n">
        <v>3</v>
      </c>
      <c r="K189" s="61" t="n">
        <v>3</v>
      </c>
      <c r="M189" s="55" t="n">
        <f aca="false">D189+K189</f>
        <v>43</v>
      </c>
      <c r="N189" s="29" t="n">
        <f aca="false">E189+G189</f>
        <v>35</v>
      </c>
      <c r="O189" s="15" t="n">
        <f aca="false">RANK(M189,M$172:M$199,0)</f>
        <v>1</v>
      </c>
      <c r="P189" s="61" t="n">
        <v>1</v>
      </c>
      <c r="Q189" s="4"/>
      <c r="R189" s="55" t="n">
        <f aca="false">P189</f>
        <v>1</v>
      </c>
      <c r="S189" s="55" t="str">
        <f aca="false">C189</f>
        <v>Spiller 15</v>
      </c>
      <c r="T189" s="59" t="n">
        <f aca="false">M189</f>
        <v>43</v>
      </c>
      <c r="U189" s="29" t="n">
        <f aca="false">N189</f>
        <v>35</v>
      </c>
      <c r="W189" s="64" t="n">
        <v>18</v>
      </c>
      <c r="X189" s="63" t="s">
        <v>13</v>
      </c>
      <c r="Y189" s="83" t="n">
        <v>21</v>
      </c>
      <c r="Z189" s="66" t="n">
        <v>0</v>
      </c>
      <c r="AB189" s="4"/>
      <c r="AC189" s="4"/>
      <c r="AD189" s="87"/>
      <c r="AE189" s="88"/>
    </row>
    <row r="190" customFormat="false" ht="14.25" hidden="false" customHeight="false" outlineLevel="0" collapsed="false">
      <c r="A190" s="81" t="n">
        <v>5</v>
      </c>
      <c r="B190" s="81" t="n">
        <v>22</v>
      </c>
      <c r="C190" s="15" t="str">
        <f aca="false">LOOKUP(B190,H$8:H$35,F$8:F$35)</f>
        <v>Spiller 21</v>
      </c>
      <c r="D190" s="59" t="n">
        <f aca="false">INDEX(Y$139:Y$166,MATCH(C190,X$139:X$166,0))</f>
        <v>22</v>
      </c>
      <c r="E190" s="29" t="n">
        <f aca="false">INDEX(Z$139:Z$166,MATCH(C190,X$139:X$166,0))</f>
        <v>-4.25</v>
      </c>
      <c r="F190" s="82" t="n">
        <v>55</v>
      </c>
      <c r="G190" s="15" t="n">
        <f aca="false">F190-AVERAGE(F$188:F$191)</f>
        <v>7.5</v>
      </c>
      <c r="H190" s="55" t="n">
        <f aca="false">RANK(F190,F$188:F$191)</f>
        <v>1</v>
      </c>
      <c r="I190" s="29" t="n">
        <f aca="false">IF(H190=1,10,IF(H190=2,6,IF(H190=3,3,1)))</f>
        <v>10</v>
      </c>
      <c r="J190" s="60" t="n">
        <v>1</v>
      </c>
      <c r="K190" s="61" t="n">
        <v>10</v>
      </c>
      <c r="M190" s="55" t="n">
        <f aca="false">D190+K190</f>
        <v>32</v>
      </c>
      <c r="N190" s="29" t="n">
        <f aca="false">E190+G190</f>
        <v>3.25</v>
      </c>
      <c r="O190" s="15" t="n">
        <f aca="false">RANK(M190,M$172:M$199,0)</f>
        <v>7</v>
      </c>
      <c r="P190" s="61" t="n">
        <v>8</v>
      </c>
      <c r="Q190" s="4"/>
      <c r="R190" s="55" t="n">
        <f aca="false">P190</f>
        <v>8</v>
      </c>
      <c r="S190" s="55" t="str">
        <f aca="false">C190</f>
        <v>Spiller 21</v>
      </c>
      <c r="T190" s="59" t="n">
        <f aca="false">M190</f>
        <v>32</v>
      </c>
      <c r="U190" s="29" t="n">
        <f aca="false">N190</f>
        <v>3.25</v>
      </c>
      <c r="W190" s="64" t="n">
        <v>19</v>
      </c>
      <c r="X190" s="63" t="s">
        <v>16</v>
      </c>
      <c r="Y190" s="83" t="n">
        <v>21</v>
      </c>
      <c r="Z190" s="66" t="n">
        <v>-14</v>
      </c>
      <c r="AB190" s="4"/>
      <c r="AC190" s="4"/>
      <c r="AD190" s="87"/>
      <c r="AE190" s="88"/>
    </row>
    <row r="191" customFormat="false" ht="14.25" hidden="false" customHeight="false" outlineLevel="0" collapsed="false">
      <c r="A191" s="84" t="n">
        <v>5</v>
      </c>
      <c r="B191" s="84" t="n">
        <v>23</v>
      </c>
      <c r="C191" s="23" t="str">
        <f aca="false">LOOKUP(B191,H$8:H$35,F$8:F$35)</f>
        <v>Spiller 19</v>
      </c>
      <c r="D191" s="70" t="n">
        <f aca="false">INDEX(Y$139:Y$166,MATCH(C191,X$139:X$166,0))</f>
        <v>29</v>
      </c>
      <c r="E191" s="31" t="n">
        <f aca="false">INDEX(Z$139:Z$166,MATCH(C191,X$139:X$166,0))</f>
        <v>13.25</v>
      </c>
      <c r="F191" s="85" t="n">
        <v>34</v>
      </c>
      <c r="G191" s="23" t="n">
        <f aca="false">F191-AVERAGE(F$188:F$191)</f>
        <v>-13.5</v>
      </c>
      <c r="H191" s="68" t="n">
        <f aca="false">RANK(F191,F$188:F$191)</f>
        <v>4</v>
      </c>
      <c r="I191" s="31" t="n">
        <f aca="false">IF(H191=1,10,IF(H191=2,6,IF(H191=3,3,1)))</f>
        <v>1</v>
      </c>
      <c r="J191" s="71" t="n">
        <v>4</v>
      </c>
      <c r="K191" s="72" t="n">
        <v>1</v>
      </c>
      <c r="M191" s="68" t="n">
        <f aca="false">D191+K191</f>
        <v>30</v>
      </c>
      <c r="N191" s="31" t="n">
        <f aca="false">E191+G191</f>
        <v>-0.25</v>
      </c>
      <c r="O191" s="23" t="n">
        <f aca="false">RANK(M191,M$172:M$199,0)</f>
        <v>10</v>
      </c>
      <c r="P191" s="72" t="n">
        <v>10</v>
      </c>
      <c r="Q191" s="4"/>
      <c r="R191" s="68" t="n">
        <f aca="false">P191</f>
        <v>10</v>
      </c>
      <c r="S191" s="68" t="str">
        <f aca="false">C191</f>
        <v>Spiller 19</v>
      </c>
      <c r="T191" s="70" t="n">
        <f aca="false">M191</f>
        <v>30</v>
      </c>
      <c r="U191" s="31" t="n">
        <f aca="false">N191</f>
        <v>-0.25</v>
      </c>
      <c r="W191" s="75" t="n">
        <v>20</v>
      </c>
      <c r="X191" s="74" t="s">
        <v>28</v>
      </c>
      <c r="Y191" s="86" t="n">
        <v>21</v>
      </c>
      <c r="Z191" s="77" t="n">
        <v>-30.5</v>
      </c>
      <c r="AB191" s="4"/>
      <c r="AC191" s="4"/>
      <c r="AD191" s="87"/>
      <c r="AE191" s="88"/>
    </row>
    <row r="192" customFormat="false" ht="14.25" hidden="false" customHeight="false" outlineLevel="0" collapsed="false">
      <c r="A192" s="81" t="n">
        <v>6</v>
      </c>
      <c r="B192" s="81" t="n">
        <v>8</v>
      </c>
      <c r="C192" s="15" t="str">
        <f aca="false">LOOKUP(B192,H$8:H$35,F$8:F$35)</f>
        <v>Spiller 27</v>
      </c>
      <c r="D192" s="59" t="n">
        <f aca="false">INDEX(Y$139:Y$166,MATCH(C192,X$139:X$166,0))</f>
        <v>22</v>
      </c>
      <c r="E192" s="29" t="n">
        <f aca="false">INDEX(Z$139:Z$166,MATCH(C192,X$139:X$166,0))</f>
        <v>0.75</v>
      </c>
      <c r="F192" s="82" t="n">
        <v>25</v>
      </c>
      <c r="G192" s="15" t="n">
        <f aca="false">F192-AVERAGE(F$192:F$195)</f>
        <v>-4.5</v>
      </c>
      <c r="H192" s="55" t="n">
        <f aca="false">RANK(F192,F$192:F$195)</f>
        <v>4</v>
      </c>
      <c r="I192" s="29" t="n">
        <f aca="false">IF(H192=1,10,IF(H192=2,6,IF(H192=3,3,1)))</f>
        <v>1</v>
      </c>
      <c r="J192" s="60" t="n">
        <v>4</v>
      </c>
      <c r="K192" s="61" t="n">
        <v>1</v>
      </c>
      <c r="M192" s="55" t="n">
        <f aca="false">D192+K192</f>
        <v>23</v>
      </c>
      <c r="N192" s="29" t="n">
        <f aca="false">E192+G192</f>
        <v>-3.75</v>
      </c>
      <c r="O192" s="15" t="n">
        <f aca="false">RANK(M192,M$172:M$199,0)</f>
        <v>14</v>
      </c>
      <c r="P192" s="61" t="n">
        <v>16</v>
      </c>
      <c r="Q192" s="4"/>
      <c r="R192" s="55" t="n">
        <f aca="false">P192</f>
        <v>16</v>
      </c>
      <c r="S192" s="55" t="str">
        <f aca="false">C192</f>
        <v>Spiller 27</v>
      </c>
      <c r="T192" s="59" t="n">
        <f aca="false">M192</f>
        <v>23</v>
      </c>
      <c r="U192" s="29" t="n">
        <f aca="false">N192</f>
        <v>-3.75</v>
      </c>
      <c r="W192" s="64" t="n">
        <v>21</v>
      </c>
      <c r="X192" s="63" t="s">
        <v>17</v>
      </c>
      <c r="Y192" s="83" t="n">
        <v>20</v>
      </c>
      <c r="Z192" s="66" t="n">
        <v>-10</v>
      </c>
      <c r="AB192" s="4"/>
      <c r="AC192" s="4"/>
      <c r="AD192" s="87"/>
      <c r="AE192" s="88"/>
    </row>
    <row r="193" customFormat="false" ht="14.25" hidden="false" customHeight="false" outlineLevel="0" collapsed="false">
      <c r="A193" s="81" t="n">
        <v>6</v>
      </c>
      <c r="B193" s="81" t="n">
        <v>12</v>
      </c>
      <c r="C193" s="15" t="str">
        <f aca="false">LOOKUP(B193,H$8:H$35,F$8:F$35)</f>
        <v>Spiller 07</v>
      </c>
      <c r="D193" s="59" t="n">
        <f aca="false">INDEX(Y$139:Y$166,MATCH(C193,X$139:X$166,0))</f>
        <v>13</v>
      </c>
      <c r="E193" s="29" t="n">
        <f aca="false">INDEX(Z$139:Z$166,MATCH(C193,X$139:X$166,0))</f>
        <v>-21</v>
      </c>
      <c r="F193" s="82" t="n">
        <v>26</v>
      </c>
      <c r="G193" s="15" t="n">
        <f aca="false">F193-AVERAGE(F$192:F$195)</f>
        <v>-3.5</v>
      </c>
      <c r="H193" s="55" t="n">
        <f aca="false">RANK(F193,F$192:F$195)</f>
        <v>3</v>
      </c>
      <c r="I193" s="29" t="n">
        <f aca="false">IF(H193=1,10,IF(H193=2,6,IF(H193=3,3,1)))</f>
        <v>3</v>
      </c>
      <c r="J193" s="60" t="n">
        <v>3</v>
      </c>
      <c r="K193" s="61" t="n">
        <v>3</v>
      </c>
      <c r="M193" s="55" t="n">
        <f aca="false">D193+K193</f>
        <v>16</v>
      </c>
      <c r="N193" s="29" t="n">
        <f aca="false">E193+G193</f>
        <v>-24.5</v>
      </c>
      <c r="O193" s="15" t="n">
        <f aca="false">RANK(M193,M$172:M$199,0)</f>
        <v>27</v>
      </c>
      <c r="P193" s="61" t="n">
        <v>27</v>
      </c>
      <c r="Q193" s="4"/>
      <c r="R193" s="55" t="n">
        <f aca="false">P193</f>
        <v>27</v>
      </c>
      <c r="S193" s="55" t="str">
        <f aca="false">C193</f>
        <v>Spiller 07</v>
      </c>
      <c r="T193" s="59" t="n">
        <f aca="false">M193</f>
        <v>16</v>
      </c>
      <c r="U193" s="29" t="n">
        <f aca="false">N193</f>
        <v>-24.5</v>
      </c>
      <c r="W193" s="64" t="n">
        <v>22</v>
      </c>
      <c r="X193" s="63" t="s">
        <v>11</v>
      </c>
      <c r="Y193" s="83" t="n">
        <v>19</v>
      </c>
      <c r="Z193" s="66" t="n">
        <v>-0.5</v>
      </c>
      <c r="AB193" s="4"/>
      <c r="AC193" s="4"/>
      <c r="AD193" s="87"/>
      <c r="AE193" s="88"/>
    </row>
    <row r="194" customFormat="false" ht="14.25" hidden="false" customHeight="false" outlineLevel="0" collapsed="false">
      <c r="A194" s="81" t="n">
        <v>6</v>
      </c>
      <c r="B194" s="81" t="n">
        <v>20</v>
      </c>
      <c r="C194" s="15" t="str">
        <f aca="false">LOOKUP(B194,H$8:H$35,F$8:F$35)</f>
        <v>Spiller 20</v>
      </c>
      <c r="D194" s="59" t="n">
        <f aca="false">INDEX(Y$139:Y$166,MATCH(C194,X$139:X$166,0))</f>
        <v>17</v>
      </c>
      <c r="E194" s="29" t="n">
        <f aca="false">INDEX(Z$139:Z$166,MATCH(C194,X$139:X$166,0))</f>
        <v>-9.25</v>
      </c>
      <c r="F194" s="82" t="n">
        <v>33</v>
      </c>
      <c r="G194" s="15" t="n">
        <f aca="false">F194-AVERAGE(F$192:F$195)</f>
        <v>3.5</v>
      </c>
      <c r="H194" s="55" t="n">
        <f aca="false">RANK(F194,F$192:F$195)</f>
        <v>2</v>
      </c>
      <c r="I194" s="29" t="n">
        <f aca="false">IF(H194=1,10,IF(H194=2,6,IF(H194=3,3,1)))</f>
        <v>6</v>
      </c>
      <c r="J194" s="60" t="n">
        <v>2</v>
      </c>
      <c r="K194" s="61" t="n">
        <v>6</v>
      </c>
      <c r="M194" s="55" t="n">
        <f aca="false">D194+K194</f>
        <v>23</v>
      </c>
      <c r="N194" s="29" t="n">
        <f aca="false">E194+G194</f>
        <v>-5.75</v>
      </c>
      <c r="O194" s="15" t="n">
        <f aca="false">RANK(M194,M$172:M$199,0)</f>
        <v>14</v>
      </c>
      <c r="P194" s="61" t="n">
        <v>17</v>
      </c>
      <c r="Q194" s="4"/>
      <c r="R194" s="55" t="n">
        <f aca="false">P194</f>
        <v>17</v>
      </c>
      <c r="S194" s="55" t="str">
        <f aca="false">C194</f>
        <v>Spiller 20</v>
      </c>
      <c r="T194" s="59" t="n">
        <f aca="false">M194</f>
        <v>23</v>
      </c>
      <c r="U194" s="29" t="n">
        <f aca="false">N194</f>
        <v>-5.75</v>
      </c>
      <c r="W194" s="64" t="n">
        <v>23</v>
      </c>
      <c r="X194" s="63" t="s">
        <v>27</v>
      </c>
      <c r="Y194" s="83" t="n">
        <v>19</v>
      </c>
      <c r="Z194" s="66" t="n">
        <v>-14</v>
      </c>
      <c r="AB194" s="4"/>
      <c r="AC194" s="4"/>
      <c r="AD194" s="87"/>
      <c r="AE194" s="88"/>
    </row>
    <row r="195" customFormat="false" ht="14.25" hidden="false" customHeight="false" outlineLevel="0" collapsed="false">
      <c r="A195" s="84" t="n">
        <v>6</v>
      </c>
      <c r="B195" s="84" t="n">
        <v>21</v>
      </c>
      <c r="C195" s="23" t="str">
        <f aca="false">LOOKUP(B195,H$8:H$35,F$8:F$35)</f>
        <v>Spiller 12</v>
      </c>
      <c r="D195" s="70" t="n">
        <f aca="false">INDEX(Y$139:Y$166,MATCH(C195,X$139:X$166,0))</f>
        <v>11</v>
      </c>
      <c r="E195" s="31" t="n">
        <f aca="false">INDEX(Z$139:Z$166,MATCH(C195,X$139:X$166,0))</f>
        <v>-35</v>
      </c>
      <c r="F195" s="85" t="n">
        <v>34</v>
      </c>
      <c r="G195" s="23" t="n">
        <f aca="false">F195-AVERAGE(F$192:F$195)</f>
        <v>4.5</v>
      </c>
      <c r="H195" s="68" t="n">
        <f aca="false">RANK(F195,F$192:F$195)</f>
        <v>1</v>
      </c>
      <c r="I195" s="31" t="n">
        <f aca="false">IF(H195=1,10,IF(H195=2,6,IF(H195=3,3,1)))</f>
        <v>10</v>
      </c>
      <c r="J195" s="71" t="n">
        <v>1</v>
      </c>
      <c r="K195" s="72" t="n">
        <v>10</v>
      </c>
      <c r="M195" s="68" t="n">
        <f aca="false">D195+K195</f>
        <v>21</v>
      </c>
      <c r="N195" s="31" t="n">
        <f aca="false">E195+G195</f>
        <v>-30.5</v>
      </c>
      <c r="O195" s="23" t="n">
        <f aca="false">RANK(M195,M$172:M$199,0)</f>
        <v>18</v>
      </c>
      <c r="P195" s="72" t="n">
        <v>20</v>
      </c>
      <c r="Q195" s="4"/>
      <c r="R195" s="68" t="n">
        <f aca="false">P195</f>
        <v>20</v>
      </c>
      <c r="S195" s="68" t="str">
        <f aca="false">C195</f>
        <v>Spiller 12</v>
      </c>
      <c r="T195" s="70" t="n">
        <f aca="false">M195</f>
        <v>21</v>
      </c>
      <c r="U195" s="31" t="n">
        <f aca="false">N195</f>
        <v>-30.5</v>
      </c>
      <c r="W195" s="75" t="n">
        <v>24</v>
      </c>
      <c r="X195" s="74" t="s">
        <v>18</v>
      </c>
      <c r="Y195" s="86" t="n">
        <v>19</v>
      </c>
      <c r="Z195" s="77" t="n">
        <v>-16.75</v>
      </c>
      <c r="AB195" s="4"/>
      <c r="AC195" s="4"/>
      <c r="AD195" s="87"/>
      <c r="AE195" s="88"/>
    </row>
    <row r="196" customFormat="false" ht="14.25" hidden="false" customHeight="false" outlineLevel="0" collapsed="false">
      <c r="A196" s="81" t="n">
        <v>7</v>
      </c>
      <c r="B196" s="81" t="n">
        <v>18</v>
      </c>
      <c r="C196" s="15" t="str">
        <f aca="false">LOOKUP(B196,H$8:H$35,F$8:F$35)</f>
        <v>Spiller 09</v>
      </c>
      <c r="D196" s="59" t="n">
        <f aca="false">INDEX(Y$139:Y$166,MATCH(C196,X$139:X$166,0))</f>
        <v>13</v>
      </c>
      <c r="E196" s="29" t="n">
        <f aca="false">INDEX(Z$139:Z$166,MATCH(C196,X$139:X$166,0))</f>
        <v>-10.5</v>
      </c>
      <c r="F196" s="82" t="n">
        <v>58</v>
      </c>
      <c r="G196" s="15" t="n">
        <f aca="false">F196-AVERAGE(F$196:F$199)</f>
        <v>14.5</v>
      </c>
      <c r="H196" s="55" t="n">
        <f aca="false">RANK(F196,F$196:F$199)</f>
        <v>1</v>
      </c>
      <c r="I196" s="29" t="n">
        <f aca="false">IF(H196=1,10,IF(H196=2,6,IF(H196=3,3,1)))</f>
        <v>10</v>
      </c>
      <c r="J196" s="60" t="n">
        <v>1</v>
      </c>
      <c r="K196" s="61" t="n">
        <v>10</v>
      </c>
      <c r="M196" s="55" t="n">
        <f aca="false">D196+K196</f>
        <v>23</v>
      </c>
      <c r="N196" s="29" t="n">
        <f aca="false">E196+G196</f>
        <v>4</v>
      </c>
      <c r="O196" s="15" t="n">
        <f aca="false">RANK(M196,M$172:M$199,0)</f>
        <v>14</v>
      </c>
      <c r="P196" s="61" t="n">
        <v>14</v>
      </c>
      <c r="Q196" s="4"/>
      <c r="R196" s="55" t="n">
        <f aca="false">P196</f>
        <v>14</v>
      </c>
      <c r="S196" s="55" t="str">
        <f aca="false">C196</f>
        <v>Spiller 09</v>
      </c>
      <c r="T196" s="59" t="n">
        <f aca="false">M196</f>
        <v>23</v>
      </c>
      <c r="U196" s="29" t="n">
        <f aca="false">N196</f>
        <v>4</v>
      </c>
      <c r="W196" s="64" t="n">
        <v>25</v>
      </c>
      <c r="X196" s="63" t="s">
        <v>20</v>
      </c>
      <c r="Y196" s="83" t="n">
        <v>19</v>
      </c>
      <c r="Z196" s="66" t="n">
        <v>-23</v>
      </c>
      <c r="AB196" s="4"/>
      <c r="AC196" s="4"/>
      <c r="AD196" s="87"/>
      <c r="AE196" s="88"/>
    </row>
    <row r="197" customFormat="false" ht="14.25" hidden="false" customHeight="false" outlineLevel="0" collapsed="false">
      <c r="A197" s="81" t="n">
        <v>7</v>
      </c>
      <c r="B197" s="81" t="n">
        <v>19</v>
      </c>
      <c r="C197" s="15" t="str">
        <f aca="false">LOOKUP(B197,H$8:H$35,F$8:F$35)</f>
        <v>Spiller 01</v>
      </c>
      <c r="D197" s="59" t="n">
        <f aca="false">INDEX(Y$139:Y$166,MATCH(C197,X$139:X$166,0))</f>
        <v>13</v>
      </c>
      <c r="E197" s="29" t="n">
        <f aca="false">INDEX(Z$139:Z$166,MATCH(C197,X$139:X$166,0))</f>
        <v>-9</v>
      </c>
      <c r="F197" s="82" t="n">
        <v>52</v>
      </c>
      <c r="G197" s="15" t="n">
        <f aca="false">F197-AVERAGE(F$196:F$199)</f>
        <v>8.5</v>
      </c>
      <c r="H197" s="55" t="n">
        <f aca="false">RANK(F197,F$196:F$199)</f>
        <v>2</v>
      </c>
      <c r="I197" s="29" t="n">
        <f aca="false">IF(H197=1,10,IF(H197=2,6,IF(H197=3,3,1)))</f>
        <v>6</v>
      </c>
      <c r="J197" s="60" t="n">
        <v>2</v>
      </c>
      <c r="K197" s="61" t="n">
        <v>6</v>
      </c>
      <c r="M197" s="55" t="n">
        <f aca="false">D197+K197</f>
        <v>19</v>
      </c>
      <c r="N197" s="29" t="n">
        <f aca="false">E197+G197</f>
        <v>-0.5</v>
      </c>
      <c r="O197" s="15" t="n">
        <f aca="false">RANK(M197,M$172:M$199,0)</f>
        <v>22</v>
      </c>
      <c r="P197" s="61" t="n">
        <v>22</v>
      </c>
      <c r="Q197" s="4"/>
      <c r="R197" s="55" t="n">
        <f aca="false">P197</f>
        <v>22</v>
      </c>
      <c r="S197" s="55" t="str">
        <f aca="false">C197</f>
        <v>Spiller 01</v>
      </c>
      <c r="T197" s="59" t="n">
        <f aca="false">M197</f>
        <v>19</v>
      </c>
      <c r="U197" s="29" t="n">
        <f aca="false">N197</f>
        <v>-0.5</v>
      </c>
      <c r="W197" s="64" t="n">
        <v>26</v>
      </c>
      <c r="X197" s="63" t="s">
        <v>19</v>
      </c>
      <c r="Y197" s="83" t="n">
        <v>17</v>
      </c>
      <c r="Z197" s="66" t="n">
        <v>-35</v>
      </c>
      <c r="AB197" s="4"/>
      <c r="AC197" s="4"/>
      <c r="AD197" s="87"/>
      <c r="AE197" s="88"/>
    </row>
    <row r="198" customFormat="false" ht="14.25" hidden="false" customHeight="false" outlineLevel="0" collapsed="false">
      <c r="A198" s="81" t="n">
        <v>7</v>
      </c>
      <c r="B198" s="81" t="n">
        <v>26</v>
      </c>
      <c r="C198" s="15" t="str">
        <f aca="false">LOOKUP(B198,H$8:H$35,F$8:F$35)</f>
        <v>Spiller 26</v>
      </c>
      <c r="D198" s="59" t="n">
        <f aca="false">INDEX(Y$139:Y$166,MATCH(C198,X$139:X$166,0))</f>
        <v>10</v>
      </c>
      <c r="E198" s="29" t="n">
        <f aca="false">INDEX(Z$139:Z$166,MATCH(C198,X$139:X$166,0))</f>
        <v>-15</v>
      </c>
      <c r="F198" s="82" t="n">
        <v>33</v>
      </c>
      <c r="G198" s="15" t="n">
        <f aca="false">F198-AVERAGE(F$196:F$199)</f>
        <v>-10.5</v>
      </c>
      <c r="H198" s="55" t="n">
        <f aca="false">RANK(F198,F$196:F$199)</f>
        <v>3</v>
      </c>
      <c r="I198" s="29" t="n">
        <f aca="false">IF(H198=1,10,IF(H198=2,6,IF(H198=3,3,1)))</f>
        <v>3</v>
      </c>
      <c r="J198" s="60" t="n">
        <v>3</v>
      </c>
      <c r="K198" s="61" t="n">
        <v>3</v>
      </c>
      <c r="M198" s="55" t="n">
        <f aca="false">D198+K198</f>
        <v>13</v>
      </c>
      <c r="N198" s="29" t="n">
        <f aca="false">E198+G198</f>
        <v>-25.5</v>
      </c>
      <c r="O198" s="15" t="n">
        <f aca="false">RANK(M198,M$172:M$199,0)</f>
        <v>28</v>
      </c>
      <c r="P198" s="61" t="n">
        <v>28</v>
      </c>
      <c r="Q198" s="4"/>
      <c r="R198" s="55" t="n">
        <f aca="false">P198</f>
        <v>28</v>
      </c>
      <c r="S198" s="55" t="str">
        <f aca="false">C198</f>
        <v>Spiller 26</v>
      </c>
      <c r="T198" s="59" t="n">
        <f aca="false">M198</f>
        <v>13</v>
      </c>
      <c r="U198" s="29" t="n">
        <f aca="false">N198</f>
        <v>-25.5</v>
      </c>
      <c r="W198" s="64" t="n">
        <v>27</v>
      </c>
      <c r="X198" s="63" t="s">
        <v>21</v>
      </c>
      <c r="Y198" s="83" t="n">
        <v>16</v>
      </c>
      <c r="Z198" s="66" t="n">
        <v>-24.5</v>
      </c>
      <c r="AB198" s="4"/>
      <c r="AC198" s="4"/>
      <c r="AD198" s="87"/>
      <c r="AE198" s="88"/>
    </row>
    <row r="199" customFormat="false" ht="14.25" hidden="false" customHeight="false" outlineLevel="0" collapsed="false">
      <c r="A199" s="67" t="n">
        <v>7</v>
      </c>
      <c r="B199" s="84" t="n">
        <v>28</v>
      </c>
      <c r="C199" s="23" t="str">
        <f aca="false">LOOKUP(B199,H$8:H$35,F$8:F$35)</f>
        <v>Spiller 16</v>
      </c>
      <c r="D199" s="70" t="n">
        <f aca="false">INDEX(Y$139:Y$166,MATCH(C199,X$139:X$166,0))</f>
        <v>28</v>
      </c>
      <c r="E199" s="31" t="n">
        <f aca="false">INDEX(Z$139:Z$166,MATCH(C199,X$139:X$166,0))</f>
        <v>25.5</v>
      </c>
      <c r="F199" s="85" t="n">
        <v>31</v>
      </c>
      <c r="G199" s="23" t="n">
        <f aca="false">F199-AVERAGE(F$196:F$199)</f>
        <v>-12.5</v>
      </c>
      <c r="H199" s="68" t="n">
        <f aca="false">RANK(F199,F$196:F$199)</f>
        <v>4</v>
      </c>
      <c r="I199" s="31" t="n">
        <f aca="false">IF(H199=1,10,IF(H199=2,6,IF(H199=3,3,1)))</f>
        <v>1</v>
      </c>
      <c r="J199" s="71" t="n">
        <v>4</v>
      </c>
      <c r="K199" s="72" t="n">
        <v>1</v>
      </c>
      <c r="M199" s="68" t="n">
        <f aca="false">D199+K199</f>
        <v>29</v>
      </c>
      <c r="N199" s="31" t="n">
        <f aca="false">E199+G199</f>
        <v>13</v>
      </c>
      <c r="O199" s="23" t="n">
        <f aca="false">RANK(M199,M$172:M$199,0)</f>
        <v>11</v>
      </c>
      <c r="P199" s="72" t="n">
        <v>11</v>
      </c>
      <c r="Q199" s="4"/>
      <c r="R199" s="68" t="n">
        <f aca="false">P199</f>
        <v>11</v>
      </c>
      <c r="S199" s="68" t="str">
        <f aca="false">C199</f>
        <v>Spiller 16</v>
      </c>
      <c r="T199" s="70" t="n">
        <f aca="false">M199</f>
        <v>29</v>
      </c>
      <c r="U199" s="31" t="n">
        <f aca="false">N199</f>
        <v>13</v>
      </c>
      <c r="W199" s="75" t="n">
        <v>28</v>
      </c>
      <c r="X199" s="74" t="s">
        <v>38</v>
      </c>
      <c r="Y199" s="86" t="n">
        <v>13</v>
      </c>
      <c r="Z199" s="77" t="n">
        <v>-25.5</v>
      </c>
      <c r="AB199" s="4"/>
      <c r="AC199" s="4"/>
      <c r="AD199" s="87"/>
      <c r="AE199" s="88"/>
    </row>
    <row r="202" customFormat="false" ht="14.25" hidden="false" customHeight="false" outlineLevel="0" collapsed="false">
      <c r="A202" s="2" t="s">
        <v>127</v>
      </c>
      <c r="C202" s="39" t="s">
        <v>128</v>
      </c>
      <c r="F202" s="89" t="n">
        <v>1.25</v>
      </c>
      <c r="J202" s="3" t="s">
        <v>129</v>
      </c>
      <c r="P202" s="3" t="s">
        <v>130</v>
      </c>
      <c r="W202" s="3" t="s">
        <v>131</v>
      </c>
    </row>
    <row r="203" customFormat="false" ht="14.25" hidden="false" customHeight="false" outlineLevel="0" collapsed="false">
      <c r="A203" s="38" t="s">
        <v>61</v>
      </c>
      <c r="M203" s="38" t="s">
        <v>132</v>
      </c>
      <c r="P203" s="38"/>
      <c r="R203" s="38" t="s">
        <v>133</v>
      </c>
      <c r="W203" s="39" t="s">
        <v>134</v>
      </c>
    </row>
    <row r="204" customFormat="false" ht="14.25" hidden="false" customHeight="false" outlineLevel="0" collapsed="false">
      <c r="A204" s="4" t="s">
        <v>47</v>
      </c>
      <c r="C204" s="4" t="s">
        <v>7</v>
      </c>
      <c r="D204" s="4" t="s">
        <v>123</v>
      </c>
      <c r="E204" s="4" t="s">
        <v>124</v>
      </c>
      <c r="F204" s="39" t="s">
        <v>135</v>
      </c>
      <c r="G204" s="39" t="s">
        <v>136</v>
      </c>
      <c r="H204" s="39" t="s">
        <v>137</v>
      </c>
      <c r="I204" s="39" t="s">
        <v>138</v>
      </c>
      <c r="J204" s="5" t="s">
        <v>137</v>
      </c>
      <c r="K204" s="5" t="s">
        <v>139</v>
      </c>
      <c r="M204" s="39" t="s">
        <v>140</v>
      </c>
      <c r="N204" s="39" t="s">
        <v>141</v>
      </c>
      <c r="O204" s="39" t="s">
        <v>142</v>
      </c>
      <c r="P204" s="39" t="s">
        <v>143</v>
      </c>
      <c r="R204" s="39" t="s">
        <v>143</v>
      </c>
      <c r="S204" s="39" t="s">
        <v>7</v>
      </c>
      <c r="T204" s="39" t="s">
        <v>140</v>
      </c>
      <c r="U204" s="39" t="s">
        <v>141</v>
      </c>
      <c r="W204" s="39" t="s">
        <v>143</v>
      </c>
      <c r="X204" s="39" t="s">
        <v>7</v>
      </c>
      <c r="Y204" s="39" t="s">
        <v>140</v>
      </c>
      <c r="Z204" s="39" t="s">
        <v>141</v>
      </c>
    </row>
    <row r="205" customFormat="false" ht="14.25" hidden="false" customHeight="false" outlineLevel="0" collapsed="false">
      <c r="A205" s="78" t="n">
        <v>1</v>
      </c>
      <c r="B205" s="90"/>
      <c r="C205" s="45" t="str">
        <f aca="false">X172</f>
        <v>Spiller 15</v>
      </c>
      <c r="D205" s="91" t="n">
        <f aca="false">Y172</f>
        <v>43</v>
      </c>
      <c r="E205" s="49" t="n">
        <f aca="false">Z172</f>
        <v>35</v>
      </c>
      <c r="F205" s="79" t="n">
        <v>38</v>
      </c>
      <c r="G205" s="45" t="n">
        <f aca="false">F205-AVERAGE(F$205:F$208)</f>
        <v>2.25</v>
      </c>
      <c r="H205" s="41" t="n">
        <f aca="false">RANK(F205,F$205:F$208)</f>
        <v>2</v>
      </c>
      <c r="I205" s="49" t="n">
        <f aca="false">$F$202*IF(H205=1,10,IF(H205=2,6,IF(H205=3,3,1)))</f>
        <v>7.5</v>
      </c>
      <c r="J205" s="47" t="n">
        <v>2</v>
      </c>
      <c r="K205" s="48" t="n">
        <v>7.5</v>
      </c>
      <c r="M205" s="41" t="n">
        <f aca="false">D205+K205</f>
        <v>50.5</v>
      </c>
      <c r="N205" s="49" t="n">
        <f aca="false">E205+G205</f>
        <v>37.25</v>
      </c>
      <c r="O205" s="45" t="n">
        <f aca="false">RANK(M205,M$205:M$208,0)</f>
        <v>1</v>
      </c>
      <c r="P205" s="48" t="n">
        <v>1</v>
      </c>
      <c r="Q205" s="4"/>
      <c r="R205" s="41" t="n">
        <f aca="false">P205</f>
        <v>1</v>
      </c>
      <c r="S205" s="46" t="str">
        <f aca="false">C205</f>
        <v>Spiller 15</v>
      </c>
      <c r="T205" s="46" t="n">
        <f aca="false">M205</f>
        <v>50.5</v>
      </c>
      <c r="U205" s="49" t="n">
        <f aca="false">N205</f>
        <v>37.25</v>
      </c>
      <c r="W205" s="52" t="n">
        <v>1</v>
      </c>
      <c r="X205" s="51" t="s">
        <v>30</v>
      </c>
      <c r="Y205" s="92" t="n">
        <v>50.5</v>
      </c>
      <c r="Z205" s="92" t="n">
        <v>37.25</v>
      </c>
      <c r="AA205" s="93"/>
      <c r="AD205" s="4"/>
    </row>
    <row r="206" customFormat="false" ht="14.25" hidden="false" customHeight="false" outlineLevel="0" collapsed="false">
      <c r="A206" s="81" t="n">
        <v>1</v>
      </c>
      <c r="B206" s="94"/>
      <c r="C206" s="15" t="str">
        <f aca="false">X173</f>
        <v>Spiller 22</v>
      </c>
      <c r="D206" s="95" t="n">
        <f aca="false">Y173</f>
        <v>38</v>
      </c>
      <c r="E206" s="29" t="n">
        <f aca="false">Z173</f>
        <v>31.75</v>
      </c>
      <c r="F206" s="82" t="n">
        <v>26</v>
      </c>
      <c r="G206" s="15" t="n">
        <f aca="false">F206-AVERAGE(F$205:F$208)</f>
        <v>-9.75</v>
      </c>
      <c r="H206" s="55" t="n">
        <f aca="false">RANK(F206,F$205:F$208)</f>
        <v>4</v>
      </c>
      <c r="I206" s="29" t="n">
        <f aca="false">$F$202*IF(H206=1,10,IF(H206=2,6,IF(H206=3,3,1)))</f>
        <v>1.25</v>
      </c>
      <c r="J206" s="60" t="n">
        <v>4</v>
      </c>
      <c r="K206" s="61" t="n">
        <v>1.25</v>
      </c>
      <c r="M206" s="55" t="n">
        <f aca="false">D206+K206</f>
        <v>39.25</v>
      </c>
      <c r="N206" s="29" t="n">
        <f aca="false">E206+G206</f>
        <v>22</v>
      </c>
      <c r="O206" s="15" t="n">
        <f aca="false">RANK(M206,M$205:M$208,0)</f>
        <v>4</v>
      </c>
      <c r="P206" s="61" t="n">
        <v>4</v>
      </c>
      <c r="Q206" s="4"/>
      <c r="R206" s="55" t="n">
        <f aca="false">P206</f>
        <v>4</v>
      </c>
      <c r="S206" s="59" t="str">
        <f aca="false">C206</f>
        <v>Spiller 22</v>
      </c>
      <c r="T206" s="59" t="n">
        <f aca="false">M206</f>
        <v>39.25</v>
      </c>
      <c r="U206" s="29" t="n">
        <f aca="false">N206</f>
        <v>22</v>
      </c>
      <c r="W206" s="64" t="n">
        <v>2</v>
      </c>
      <c r="X206" s="63" t="s">
        <v>26</v>
      </c>
      <c r="Y206" s="96" t="n">
        <v>50.5</v>
      </c>
      <c r="Z206" s="96" t="n">
        <v>20</v>
      </c>
      <c r="AA206" s="93"/>
      <c r="AD206" s="4"/>
    </row>
    <row r="207" customFormat="false" ht="14.25" hidden="false" customHeight="false" outlineLevel="0" collapsed="false">
      <c r="A207" s="81" t="n">
        <v>1</v>
      </c>
      <c r="B207" s="94"/>
      <c r="C207" s="15" t="str">
        <f aca="false">X174</f>
        <v>Spiller 25</v>
      </c>
      <c r="D207" s="95" t="n">
        <f aca="false">Y174</f>
        <v>38</v>
      </c>
      <c r="E207" s="29" t="n">
        <f aca="false">Z174</f>
        <v>14.75</v>
      </c>
      <c r="F207" s="82" t="n">
        <v>41</v>
      </c>
      <c r="G207" s="15" t="n">
        <f aca="false">F207-AVERAGE(F$205:F$208)</f>
        <v>5.25</v>
      </c>
      <c r="H207" s="55" t="n">
        <f aca="false">RANK(F207,F$205:F$208)</f>
        <v>1</v>
      </c>
      <c r="I207" s="29" t="n">
        <f aca="false">$F$202*IF(H207=1,10,IF(H207=2,6,IF(H207=3,3,1)))</f>
        <v>12.5</v>
      </c>
      <c r="J207" s="60" t="n">
        <v>1</v>
      </c>
      <c r="K207" s="61" t="n">
        <v>12.5</v>
      </c>
      <c r="M207" s="55" t="n">
        <f aca="false">D207+K207</f>
        <v>50.5</v>
      </c>
      <c r="N207" s="29" t="n">
        <f aca="false">E207+G207</f>
        <v>20</v>
      </c>
      <c r="O207" s="15" t="n">
        <f aca="false">RANK(M207,M$205:M$208,0)</f>
        <v>1</v>
      </c>
      <c r="P207" s="61" t="n">
        <v>2</v>
      </c>
      <c r="Q207" s="4"/>
      <c r="R207" s="55" t="n">
        <f aca="false">P207</f>
        <v>2</v>
      </c>
      <c r="S207" s="59" t="str">
        <f aca="false">C207</f>
        <v>Spiller 25</v>
      </c>
      <c r="T207" s="59" t="n">
        <f aca="false">M207</f>
        <v>50.5</v>
      </c>
      <c r="U207" s="29" t="n">
        <f aca="false">N207</f>
        <v>20</v>
      </c>
      <c r="W207" s="64" t="n">
        <v>3</v>
      </c>
      <c r="X207" s="63" t="s">
        <v>12</v>
      </c>
      <c r="Y207" s="96" t="n">
        <v>44.5</v>
      </c>
      <c r="Z207" s="96" t="n">
        <v>34.75</v>
      </c>
      <c r="AA207" s="93"/>
      <c r="AD207" s="4"/>
    </row>
    <row r="208" customFormat="false" ht="14.25" hidden="false" customHeight="false" outlineLevel="0" collapsed="false">
      <c r="A208" s="84" t="n">
        <v>1</v>
      </c>
      <c r="B208" s="94"/>
      <c r="C208" s="23" t="str">
        <f aca="false">X175</f>
        <v>Spiller 05</v>
      </c>
      <c r="D208" s="97" t="n">
        <f aca="false">Y175</f>
        <v>37</v>
      </c>
      <c r="E208" s="31" t="n">
        <f aca="false">Z175</f>
        <v>32.5</v>
      </c>
      <c r="F208" s="85" t="n">
        <v>38</v>
      </c>
      <c r="G208" s="23" t="n">
        <f aca="false">F208-AVERAGE(F$205:F$208)</f>
        <v>2.25</v>
      </c>
      <c r="H208" s="68" t="n">
        <f aca="false">RANK(F208,F$205:F$208)</f>
        <v>2</v>
      </c>
      <c r="I208" s="31" t="n">
        <f aca="false">$F$202*IF(H208=1,10,IF(H208=2,6,IF(H208=3,3,1)))</f>
        <v>7.5</v>
      </c>
      <c r="J208" s="71" t="n">
        <v>2</v>
      </c>
      <c r="K208" s="72" t="n">
        <v>7.5</v>
      </c>
      <c r="M208" s="68" t="n">
        <f aca="false">D208+K208</f>
        <v>44.5</v>
      </c>
      <c r="N208" s="31" t="n">
        <f aca="false">E208+G208</f>
        <v>34.75</v>
      </c>
      <c r="O208" s="23" t="n">
        <f aca="false">RANK(M208,M$205:M$208,0)</f>
        <v>3</v>
      </c>
      <c r="P208" s="72" t="n">
        <v>3</v>
      </c>
      <c r="Q208" s="4"/>
      <c r="R208" s="68" t="n">
        <f aca="false">P208</f>
        <v>3</v>
      </c>
      <c r="S208" s="70" t="str">
        <f aca="false">C208</f>
        <v>Spiller 05</v>
      </c>
      <c r="T208" s="70" t="n">
        <f aca="false">M208</f>
        <v>44.5</v>
      </c>
      <c r="U208" s="31" t="n">
        <f aca="false">N208</f>
        <v>34.75</v>
      </c>
      <c r="W208" s="75" t="n">
        <v>4</v>
      </c>
      <c r="X208" s="74" t="s">
        <v>14</v>
      </c>
      <c r="Y208" s="98" t="n">
        <v>39.25</v>
      </c>
      <c r="Z208" s="98" t="n">
        <v>22</v>
      </c>
      <c r="AA208" s="93"/>
      <c r="AD208" s="4"/>
    </row>
    <row r="209" customFormat="false" ht="14.25" hidden="false" customHeight="false" outlineLevel="0" collapsed="false">
      <c r="A209" s="81" t="n">
        <v>2</v>
      </c>
      <c r="B209" s="94"/>
      <c r="C209" s="15" t="str">
        <f aca="false">X176</f>
        <v>Spiller 17</v>
      </c>
      <c r="D209" s="95" t="n">
        <f aca="false">Y176</f>
        <v>37</v>
      </c>
      <c r="E209" s="29" t="n">
        <f aca="false">Z176</f>
        <v>11.75</v>
      </c>
      <c r="F209" s="82" t="n">
        <v>43</v>
      </c>
      <c r="G209" s="15" t="n">
        <f aca="false">F209-AVERAGE(F$209:F$212)</f>
        <v>-3.25</v>
      </c>
      <c r="H209" s="55" t="n">
        <f aca="false">RANK(F209,F$209:F$212)</f>
        <v>3</v>
      </c>
      <c r="I209" s="29" t="n">
        <f aca="false">$F$202*IF(H209=1,10,IF(H209=2,6,IF(H209=3,3,1)))</f>
        <v>3.75</v>
      </c>
      <c r="J209" s="60" t="n">
        <v>3</v>
      </c>
      <c r="K209" s="61" t="n">
        <v>3.75</v>
      </c>
      <c r="M209" s="55" t="n">
        <f aca="false">D209+K209</f>
        <v>40.75</v>
      </c>
      <c r="N209" s="29" t="n">
        <f aca="false">E209+G209</f>
        <v>8.5</v>
      </c>
      <c r="O209" s="15" t="n">
        <f aca="false">4+RANK(M209,M$209:M$212,0)</f>
        <v>6</v>
      </c>
      <c r="P209" s="61" t="n">
        <v>6</v>
      </c>
      <c r="Q209" s="4"/>
      <c r="R209" s="55" t="n">
        <f aca="false">P209</f>
        <v>6</v>
      </c>
      <c r="S209" s="59" t="str">
        <f aca="false">C209</f>
        <v>Spiller 17</v>
      </c>
      <c r="T209" s="59" t="n">
        <f aca="false">M209</f>
        <v>40.75</v>
      </c>
      <c r="U209" s="29" t="n">
        <f aca="false">N209</f>
        <v>8.5</v>
      </c>
      <c r="W209" s="64" t="n">
        <v>5</v>
      </c>
      <c r="X209" s="63" t="s">
        <v>15</v>
      </c>
      <c r="Y209" s="96" t="n">
        <v>45.5</v>
      </c>
      <c r="Z209" s="96" t="n">
        <v>24.75</v>
      </c>
      <c r="AA209" s="93"/>
      <c r="AD209" s="4"/>
    </row>
    <row r="210" customFormat="false" ht="14.25" hidden="false" customHeight="false" outlineLevel="0" collapsed="false">
      <c r="A210" s="81" t="n">
        <v>2</v>
      </c>
      <c r="B210" s="94"/>
      <c r="C210" s="15" t="str">
        <f aca="false">X177</f>
        <v>Spiller 03</v>
      </c>
      <c r="D210" s="95" t="n">
        <f aca="false">Y177</f>
        <v>33</v>
      </c>
      <c r="E210" s="29" t="n">
        <f aca="false">Z177</f>
        <v>14</v>
      </c>
      <c r="F210" s="82" t="n">
        <v>57</v>
      </c>
      <c r="G210" s="15" t="n">
        <f aca="false">F210-AVERAGE(F$209:F$212)</f>
        <v>10.75</v>
      </c>
      <c r="H210" s="55" t="n">
        <f aca="false">RANK(F210,F$209:F$212)</f>
        <v>1</v>
      </c>
      <c r="I210" s="29" t="n">
        <f aca="false">$F$202*IF(H210=1,10,IF(H210=2,6,IF(H210=3,3,1)))</f>
        <v>12.5</v>
      </c>
      <c r="J210" s="60" t="n">
        <v>1</v>
      </c>
      <c r="K210" s="61" t="n">
        <v>12.5</v>
      </c>
      <c r="M210" s="55" t="n">
        <f aca="false">D210+K210</f>
        <v>45.5</v>
      </c>
      <c r="N210" s="29" t="n">
        <f aca="false">E210+G210</f>
        <v>24.75</v>
      </c>
      <c r="O210" s="15" t="n">
        <f aca="false">4+RANK(M210,M$209:M$212,0)</f>
        <v>5</v>
      </c>
      <c r="P210" s="61" t="n">
        <v>5</v>
      </c>
      <c r="Q210" s="4"/>
      <c r="R210" s="55" t="n">
        <f aca="false">P210</f>
        <v>5</v>
      </c>
      <c r="S210" s="59" t="str">
        <f aca="false">C210</f>
        <v>Spiller 03</v>
      </c>
      <c r="T210" s="59" t="n">
        <f aca="false">M210</f>
        <v>45.5</v>
      </c>
      <c r="U210" s="29" t="n">
        <f aca="false">N210</f>
        <v>24.75</v>
      </c>
      <c r="W210" s="64" t="n">
        <v>6</v>
      </c>
      <c r="X210" s="63" t="s">
        <v>25</v>
      </c>
      <c r="Y210" s="96" t="n">
        <v>40.75</v>
      </c>
      <c r="Z210" s="96" t="n">
        <v>8.5</v>
      </c>
      <c r="AA210" s="93"/>
      <c r="AD210" s="4"/>
    </row>
    <row r="211" customFormat="false" ht="14.25" hidden="false" customHeight="false" outlineLevel="0" collapsed="false">
      <c r="A211" s="81" t="n">
        <v>2</v>
      </c>
      <c r="B211" s="94"/>
      <c r="C211" s="15" t="str">
        <f aca="false">X178</f>
        <v>Spiller 23</v>
      </c>
      <c r="D211" s="95" t="n">
        <f aca="false">Y178</f>
        <v>32</v>
      </c>
      <c r="E211" s="29" t="n">
        <f aca="false">Z178</f>
        <v>10.25</v>
      </c>
      <c r="F211" s="82" t="n">
        <v>40</v>
      </c>
      <c r="G211" s="15" t="n">
        <f aca="false">F211-AVERAGE(F$209:F$212)</f>
        <v>-6.25</v>
      </c>
      <c r="H211" s="55" t="n">
        <f aca="false">RANK(F211,F$209:F$212)</f>
        <v>4</v>
      </c>
      <c r="I211" s="29" t="n">
        <f aca="false">$F$202*IF(H211=1,10,IF(H211=2,6,IF(H211=3,3,1)))</f>
        <v>1.25</v>
      </c>
      <c r="J211" s="60" t="n">
        <v>4</v>
      </c>
      <c r="K211" s="61" t="n">
        <v>1.25</v>
      </c>
      <c r="M211" s="55" t="n">
        <f aca="false">D211+K211</f>
        <v>33.25</v>
      </c>
      <c r="N211" s="29" t="n">
        <f aca="false">E211+G211</f>
        <v>4</v>
      </c>
      <c r="O211" s="15" t="n">
        <f aca="false">4+RANK(M211,M$209:M$212,0)</f>
        <v>8</v>
      </c>
      <c r="P211" s="61" t="n">
        <v>8</v>
      </c>
      <c r="Q211" s="4"/>
      <c r="R211" s="55" t="n">
        <f aca="false">P211</f>
        <v>8</v>
      </c>
      <c r="S211" s="59" t="str">
        <f aca="false">C211</f>
        <v>Spiller 23</v>
      </c>
      <c r="T211" s="59" t="n">
        <f aca="false">M211</f>
        <v>33.25</v>
      </c>
      <c r="U211" s="29" t="n">
        <f aca="false">N211</f>
        <v>4</v>
      </c>
      <c r="W211" s="64" t="n">
        <v>7</v>
      </c>
      <c r="X211" s="63" t="s">
        <v>35</v>
      </c>
      <c r="Y211" s="96" t="n">
        <v>39.5</v>
      </c>
      <c r="Z211" s="96" t="n">
        <v>2</v>
      </c>
      <c r="AA211" s="93"/>
      <c r="AD211" s="4"/>
    </row>
    <row r="212" customFormat="false" ht="14.25" hidden="false" customHeight="false" outlineLevel="0" collapsed="false">
      <c r="A212" s="84" t="n">
        <v>2</v>
      </c>
      <c r="B212" s="94"/>
      <c r="C212" s="23" t="str">
        <f aca="false">X179</f>
        <v>Spiller 21</v>
      </c>
      <c r="D212" s="97" t="n">
        <f aca="false">Y179</f>
        <v>32</v>
      </c>
      <c r="E212" s="31" t="n">
        <f aca="false">Z179</f>
        <v>3.25</v>
      </c>
      <c r="F212" s="85" t="n">
        <v>45</v>
      </c>
      <c r="G212" s="23" t="n">
        <f aca="false">F212-AVERAGE(F$209:F$212)</f>
        <v>-1.25</v>
      </c>
      <c r="H212" s="68" t="n">
        <f aca="false">RANK(F212,F$209:F$212)</f>
        <v>2</v>
      </c>
      <c r="I212" s="31" t="n">
        <f aca="false">$F$202*IF(H212=1,10,IF(H212=2,6,IF(H212=3,3,1)))</f>
        <v>7.5</v>
      </c>
      <c r="J212" s="71" t="n">
        <v>2</v>
      </c>
      <c r="K212" s="72" t="n">
        <v>7.5</v>
      </c>
      <c r="M212" s="68" t="n">
        <f aca="false">D212+K212</f>
        <v>39.5</v>
      </c>
      <c r="N212" s="31" t="n">
        <f aca="false">E212+G212</f>
        <v>2</v>
      </c>
      <c r="O212" s="23" t="n">
        <f aca="false">4+RANK(M212,M$209:M$212,0)</f>
        <v>7</v>
      </c>
      <c r="P212" s="72" t="n">
        <v>7</v>
      </c>
      <c r="Q212" s="4"/>
      <c r="R212" s="68" t="n">
        <f aca="false">P212</f>
        <v>7</v>
      </c>
      <c r="S212" s="70" t="str">
        <f aca="false">C212</f>
        <v>Spiller 21</v>
      </c>
      <c r="T212" s="70" t="n">
        <f aca="false">M212</f>
        <v>39.5</v>
      </c>
      <c r="U212" s="31" t="n">
        <f aca="false">N212</f>
        <v>2</v>
      </c>
      <c r="W212" s="75" t="n">
        <v>8</v>
      </c>
      <c r="X212" s="74" t="s">
        <v>36</v>
      </c>
      <c r="Y212" s="98" t="n">
        <v>33.25</v>
      </c>
      <c r="Z212" s="98" t="n">
        <v>4</v>
      </c>
      <c r="AA212" s="93"/>
      <c r="AD212" s="4"/>
    </row>
    <row r="213" customFormat="false" ht="14.25" hidden="false" customHeight="false" outlineLevel="0" collapsed="false">
      <c r="A213" s="81" t="n">
        <v>3</v>
      </c>
      <c r="B213" s="94"/>
      <c r="C213" s="15" t="str">
        <f aca="false">X180</f>
        <v>Spiller 18</v>
      </c>
      <c r="D213" s="95" t="n">
        <f aca="false">Y180</f>
        <v>31</v>
      </c>
      <c r="E213" s="29" t="n">
        <f aca="false">Z180</f>
        <v>21.5</v>
      </c>
      <c r="F213" s="82" t="n">
        <v>41</v>
      </c>
      <c r="G213" s="15" t="n">
        <f aca="false">F213-AVERAGE(F$213:F$216)</f>
        <v>2.75</v>
      </c>
      <c r="H213" s="55" t="n">
        <f aca="false">RANK(F213,F$213:F$216)</f>
        <v>2</v>
      </c>
      <c r="I213" s="29" t="n">
        <f aca="false">$F$202*IF(H213=1,10,IF(H213=2,6,IF(H213=3,3,1)))</f>
        <v>7.5</v>
      </c>
      <c r="J213" s="60" t="n">
        <v>2</v>
      </c>
      <c r="K213" s="61" t="n">
        <v>7.5</v>
      </c>
      <c r="M213" s="55" t="n">
        <f aca="false">D213+K213</f>
        <v>38.5</v>
      </c>
      <c r="N213" s="29" t="n">
        <f aca="false">E213+G213</f>
        <v>24.25</v>
      </c>
      <c r="O213" s="15" t="n">
        <f aca="false">8+RANK(M213,M$213:M$216,0)</f>
        <v>10</v>
      </c>
      <c r="P213" s="61" t="n">
        <v>10</v>
      </c>
      <c r="Q213" s="4"/>
      <c r="R213" s="55" t="n">
        <f aca="false">P213</f>
        <v>10</v>
      </c>
      <c r="S213" s="59" t="str">
        <f aca="false">C213</f>
        <v>Spiller 18</v>
      </c>
      <c r="T213" s="59" t="n">
        <f aca="false">M213</f>
        <v>38.5</v>
      </c>
      <c r="U213" s="29" t="n">
        <f aca="false">N213</f>
        <v>24.25</v>
      </c>
      <c r="W213" s="64" t="n">
        <v>9</v>
      </c>
      <c r="X213" s="63" t="s">
        <v>33</v>
      </c>
      <c r="Y213" s="96" t="n">
        <v>42.5</v>
      </c>
      <c r="Z213" s="96" t="n">
        <v>12.5</v>
      </c>
      <c r="AA213" s="93"/>
      <c r="AD213" s="4"/>
    </row>
    <row r="214" customFormat="false" ht="14.25" hidden="false" customHeight="false" outlineLevel="0" collapsed="false">
      <c r="A214" s="81" t="n">
        <v>3</v>
      </c>
      <c r="B214" s="94"/>
      <c r="C214" s="15" t="str">
        <f aca="false">X181</f>
        <v>Spiller 19</v>
      </c>
      <c r="D214" s="95" t="n">
        <f aca="false">Y181</f>
        <v>30</v>
      </c>
      <c r="E214" s="29" t="n">
        <f aca="false">Z181</f>
        <v>-0.25</v>
      </c>
      <c r="F214" s="82" t="n">
        <v>51</v>
      </c>
      <c r="G214" s="15" t="n">
        <f aca="false">F214-AVERAGE(F$213:F$216)</f>
        <v>12.75</v>
      </c>
      <c r="H214" s="55" t="n">
        <f aca="false">RANK(F214,F$213:F$216)</f>
        <v>1</v>
      </c>
      <c r="I214" s="29" t="n">
        <f aca="false">$F$202*IF(H214=1,10,IF(H214=2,6,IF(H214=3,3,1)))</f>
        <v>12.5</v>
      </c>
      <c r="J214" s="60" t="n">
        <v>1</v>
      </c>
      <c r="K214" s="61" t="n">
        <v>12.5</v>
      </c>
      <c r="M214" s="55" t="n">
        <f aca="false">D214+K214</f>
        <v>42.5</v>
      </c>
      <c r="N214" s="29" t="n">
        <f aca="false">E214+G214</f>
        <v>12.5</v>
      </c>
      <c r="O214" s="15" t="n">
        <f aca="false">8+RANK(M214,M$213:M$216,0)</f>
        <v>9</v>
      </c>
      <c r="P214" s="61" t="n">
        <v>9</v>
      </c>
      <c r="Q214" s="4"/>
      <c r="R214" s="55" t="n">
        <f aca="false">P214</f>
        <v>9</v>
      </c>
      <c r="S214" s="59" t="str">
        <f aca="false">C214</f>
        <v>Spiller 19</v>
      </c>
      <c r="T214" s="59" t="n">
        <f aca="false">M214</f>
        <v>42.5</v>
      </c>
      <c r="U214" s="29" t="n">
        <f aca="false">N214</f>
        <v>12.5</v>
      </c>
      <c r="W214" s="64" t="n">
        <v>10</v>
      </c>
      <c r="X214" s="63" t="s">
        <v>32</v>
      </c>
      <c r="Y214" s="96" t="n">
        <v>38.5</v>
      </c>
      <c r="Z214" s="96" t="n">
        <v>24.25</v>
      </c>
      <c r="AA214" s="93"/>
      <c r="AD214" s="4"/>
    </row>
    <row r="215" customFormat="false" ht="14.25" hidden="false" customHeight="false" outlineLevel="0" collapsed="false">
      <c r="A215" s="81" t="n">
        <v>3</v>
      </c>
      <c r="B215" s="94"/>
      <c r="C215" s="15" t="str">
        <f aca="false">X182</f>
        <v>Spiller 16</v>
      </c>
      <c r="D215" s="95" t="n">
        <f aca="false">Y182</f>
        <v>29</v>
      </c>
      <c r="E215" s="29" t="n">
        <f aca="false">Z182</f>
        <v>13</v>
      </c>
      <c r="F215" s="82" t="n">
        <v>33</v>
      </c>
      <c r="G215" s="15" t="n">
        <f aca="false">F215-AVERAGE(F$213:F$216)</f>
        <v>-5.25</v>
      </c>
      <c r="H215" s="55" t="n">
        <f aca="false">RANK(F215,F$213:F$216)</f>
        <v>3</v>
      </c>
      <c r="I215" s="29" t="n">
        <f aca="false">$F$202*IF(H215=1,10,IF(H215=2,6,IF(H215=3,3,1)))</f>
        <v>3.75</v>
      </c>
      <c r="J215" s="60" t="n">
        <v>3</v>
      </c>
      <c r="K215" s="61" t="n">
        <v>3.75</v>
      </c>
      <c r="M215" s="55" t="n">
        <f aca="false">D215+K215</f>
        <v>32.75</v>
      </c>
      <c r="N215" s="29" t="n">
        <f aca="false">E215+G215</f>
        <v>7.75</v>
      </c>
      <c r="O215" s="15" t="n">
        <f aca="false">8+RANK(M215,M$213:M$216,0)</f>
        <v>11</v>
      </c>
      <c r="P215" s="61" t="n">
        <v>11</v>
      </c>
      <c r="Q215" s="4"/>
      <c r="R215" s="55" t="n">
        <f aca="false">P215</f>
        <v>11</v>
      </c>
      <c r="S215" s="59" t="str">
        <f aca="false">C215</f>
        <v>Spiller 16</v>
      </c>
      <c r="T215" s="59" t="n">
        <f aca="false">M215</f>
        <v>32.75</v>
      </c>
      <c r="U215" s="29" t="n">
        <f aca="false">N215</f>
        <v>7.75</v>
      </c>
      <c r="W215" s="64" t="n">
        <v>11</v>
      </c>
      <c r="X215" s="63" t="s">
        <v>31</v>
      </c>
      <c r="Y215" s="96" t="n">
        <v>32.75</v>
      </c>
      <c r="Z215" s="96" t="n">
        <v>7.75</v>
      </c>
      <c r="AA215" s="93"/>
      <c r="AD215" s="4"/>
    </row>
    <row r="216" customFormat="false" ht="14.25" hidden="false" customHeight="false" outlineLevel="0" collapsed="false">
      <c r="A216" s="84" t="n">
        <v>3</v>
      </c>
      <c r="B216" s="94"/>
      <c r="C216" s="23" t="str">
        <f aca="false">X183</f>
        <v>Spiller 28</v>
      </c>
      <c r="D216" s="97" t="n">
        <f aca="false">Y183</f>
        <v>28</v>
      </c>
      <c r="E216" s="31" t="n">
        <f aca="false">Z183</f>
        <v>17.75</v>
      </c>
      <c r="F216" s="85" t="n">
        <v>28</v>
      </c>
      <c r="G216" s="23" t="n">
        <f aca="false">F216-AVERAGE(F$213:F$216)</f>
        <v>-10.25</v>
      </c>
      <c r="H216" s="68" t="n">
        <f aca="false">RANK(F216,F$213:F$216)</f>
        <v>4</v>
      </c>
      <c r="I216" s="31" t="n">
        <f aca="false">$F$202*IF(H216=1,10,IF(H216=2,6,IF(H216=3,3,1)))</f>
        <v>1.25</v>
      </c>
      <c r="J216" s="71" t="n">
        <v>4</v>
      </c>
      <c r="K216" s="72" t="n">
        <v>1.25</v>
      </c>
      <c r="M216" s="68" t="n">
        <f aca="false">D216+K216</f>
        <v>29.25</v>
      </c>
      <c r="N216" s="31" t="n">
        <f aca="false">E216+G216</f>
        <v>7.5</v>
      </c>
      <c r="O216" s="23" t="n">
        <f aca="false">8+RANK(M216,M$213:M$216,0)</f>
        <v>12</v>
      </c>
      <c r="P216" s="72" t="n">
        <v>12</v>
      </c>
      <c r="Q216" s="4"/>
      <c r="R216" s="68" t="n">
        <f aca="false">P216</f>
        <v>12</v>
      </c>
      <c r="S216" s="70" t="str">
        <f aca="false">C216</f>
        <v>Spiller 28</v>
      </c>
      <c r="T216" s="70" t="n">
        <f aca="false">M216</f>
        <v>29.25</v>
      </c>
      <c r="U216" s="31" t="n">
        <f aca="false">N216</f>
        <v>7.5</v>
      </c>
      <c r="W216" s="75" t="n">
        <v>12</v>
      </c>
      <c r="X216" s="74" t="s">
        <v>37</v>
      </c>
      <c r="Y216" s="98" t="n">
        <v>29.25</v>
      </c>
      <c r="Z216" s="98" t="n">
        <v>7.5</v>
      </c>
      <c r="AA216" s="93"/>
      <c r="AD216" s="4"/>
    </row>
    <row r="217" customFormat="false" ht="14.25" hidden="false" customHeight="false" outlineLevel="0" collapsed="false">
      <c r="A217" s="81" t="n">
        <v>4</v>
      </c>
      <c r="B217" s="94"/>
      <c r="C217" s="15" t="str">
        <f aca="false">X184</f>
        <v>Spiller 13</v>
      </c>
      <c r="D217" s="95" t="n">
        <f aca="false">Y184</f>
        <v>28</v>
      </c>
      <c r="E217" s="29" t="n">
        <f aca="false">Z184</f>
        <v>-2.5</v>
      </c>
      <c r="F217" s="82" t="n">
        <v>47</v>
      </c>
      <c r="G217" s="15" t="n">
        <f aca="false">F217-AVERAGE(F$217:F$220)</f>
        <v>-5.5</v>
      </c>
      <c r="H217" s="55" t="n">
        <f aca="false">RANK(F217,F$217:F$220)</f>
        <v>4</v>
      </c>
      <c r="I217" s="29" t="n">
        <f aca="false">$F$202*IF(H217=1,10,IF(H217=2,6,IF(H217=3,3,1)))</f>
        <v>1.25</v>
      </c>
      <c r="J217" s="60" t="n">
        <v>4</v>
      </c>
      <c r="K217" s="61" t="n">
        <v>1.25</v>
      </c>
      <c r="M217" s="55" t="n">
        <f aca="false">D217+K217</f>
        <v>29.25</v>
      </c>
      <c r="N217" s="29" t="n">
        <f aca="false">E217+G217</f>
        <v>-8</v>
      </c>
      <c r="O217" s="15" t="n">
        <f aca="false">12+RANK(M217,M$217:M$220,0)</f>
        <v>15</v>
      </c>
      <c r="P217" s="61" t="n">
        <v>15</v>
      </c>
      <c r="Q217" s="4"/>
      <c r="R217" s="55" t="n">
        <f aca="false">P217</f>
        <v>15</v>
      </c>
      <c r="S217" s="59" t="str">
        <f aca="false">C217</f>
        <v>Spiller 13</v>
      </c>
      <c r="T217" s="59" t="n">
        <f aca="false">M217</f>
        <v>29.25</v>
      </c>
      <c r="U217" s="29" t="n">
        <f aca="false">N217</f>
        <v>-8</v>
      </c>
      <c r="W217" s="64" t="n">
        <v>13</v>
      </c>
      <c r="X217" s="63" t="s">
        <v>22</v>
      </c>
      <c r="Y217" s="96" t="n">
        <v>35.5</v>
      </c>
      <c r="Z217" s="96" t="n">
        <v>2</v>
      </c>
      <c r="AA217" s="93"/>
      <c r="AD217" s="4"/>
    </row>
    <row r="218" customFormat="false" ht="14.25" hidden="false" customHeight="false" outlineLevel="0" collapsed="false">
      <c r="A218" s="81" t="n">
        <v>4</v>
      </c>
      <c r="B218" s="94"/>
      <c r="C218" s="15" t="str">
        <f aca="false">X185</f>
        <v>Spiller 09</v>
      </c>
      <c r="D218" s="95" t="n">
        <f aca="false">Y185</f>
        <v>23</v>
      </c>
      <c r="E218" s="29" t="n">
        <f aca="false">Z185</f>
        <v>4</v>
      </c>
      <c r="F218" s="82" t="n">
        <v>54</v>
      </c>
      <c r="G218" s="15" t="n">
        <f aca="false">F218-AVERAGE(F$217:F$220)</f>
        <v>1.5</v>
      </c>
      <c r="H218" s="55" t="n">
        <f aca="false">RANK(F218,F$217:F$220)</f>
        <v>2</v>
      </c>
      <c r="I218" s="29" t="n">
        <f aca="false">$F$202*IF(H218=1,10,IF(H218=2,6,IF(H218=3,3,1)))</f>
        <v>7.5</v>
      </c>
      <c r="J218" s="60" t="n">
        <v>2</v>
      </c>
      <c r="K218" s="61" t="n">
        <v>7.5</v>
      </c>
      <c r="M218" s="55" t="n">
        <f aca="false">D218+K218</f>
        <v>30.5</v>
      </c>
      <c r="N218" s="29" t="n">
        <f aca="false">E218+G218</f>
        <v>5.5</v>
      </c>
      <c r="O218" s="15" t="n">
        <f aca="false">12+RANK(M218,M$217:M$220,0)</f>
        <v>14</v>
      </c>
      <c r="P218" s="61" t="n">
        <v>14</v>
      </c>
      <c r="Q218" s="4"/>
      <c r="R218" s="55" t="n">
        <f aca="false">P218</f>
        <v>14</v>
      </c>
      <c r="S218" s="59" t="str">
        <f aca="false">C218</f>
        <v>Spiller 09</v>
      </c>
      <c r="T218" s="59" t="n">
        <f aca="false">M218</f>
        <v>30.5</v>
      </c>
      <c r="U218" s="29" t="n">
        <f aca="false">N218</f>
        <v>5.5</v>
      </c>
      <c r="W218" s="64" t="n">
        <v>14</v>
      </c>
      <c r="X218" s="63" t="s">
        <v>24</v>
      </c>
      <c r="Y218" s="96" t="n">
        <v>30.5</v>
      </c>
      <c r="Z218" s="96" t="n">
        <v>5.5</v>
      </c>
      <c r="AA218" s="93"/>
      <c r="AD218" s="4"/>
    </row>
    <row r="219" customFormat="false" ht="14.25" hidden="false" customHeight="false" outlineLevel="0" collapsed="false">
      <c r="A219" s="81" t="n">
        <v>4</v>
      </c>
      <c r="B219" s="94"/>
      <c r="C219" s="15" t="str">
        <f aca="false">X186</f>
        <v>Spiller 24</v>
      </c>
      <c r="D219" s="95" t="n">
        <f aca="false">Y186</f>
        <v>23</v>
      </c>
      <c r="E219" s="29" t="n">
        <f aca="false">Z186</f>
        <v>-3.5</v>
      </c>
      <c r="F219" s="82" t="n">
        <v>58</v>
      </c>
      <c r="G219" s="15" t="n">
        <f aca="false">F219-AVERAGE(F$217:F$220)</f>
        <v>5.5</v>
      </c>
      <c r="H219" s="55" t="n">
        <f aca="false">RANK(F219,F$217:F$220)</f>
        <v>1</v>
      </c>
      <c r="I219" s="29" t="n">
        <f aca="false">$F$202*IF(H219=1,10,IF(H219=2,6,IF(H219=3,3,1)))</f>
        <v>12.5</v>
      </c>
      <c r="J219" s="60" t="n">
        <v>1</v>
      </c>
      <c r="K219" s="61" t="n">
        <v>12.5</v>
      </c>
      <c r="M219" s="55" t="n">
        <f aca="false">D219+K219</f>
        <v>35.5</v>
      </c>
      <c r="N219" s="29" t="n">
        <f aca="false">E219+G219</f>
        <v>2</v>
      </c>
      <c r="O219" s="15" t="n">
        <f aca="false">12+RANK(M219,M$217:M$220,0)</f>
        <v>13</v>
      </c>
      <c r="P219" s="61" t="n">
        <v>13</v>
      </c>
      <c r="Q219" s="4"/>
      <c r="R219" s="55" t="n">
        <f aca="false">P219</f>
        <v>13</v>
      </c>
      <c r="S219" s="59" t="str">
        <f aca="false">C219</f>
        <v>Spiller 24</v>
      </c>
      <c r="T219" s="59" t="n">
        <f aca="false">M219</f>
        <v>35.5</v>
      </c>
      <c r="U219" s="29" t="n">
        <f aca="false">N219</f>
        <v>2</v>
      </c>
      <c r="W219" s="64" t="n">
        <v>15</v>
      </c>
      <c r="X219" s="63" t="s">
        <v>29</v>
      </c>
      <c r="Y219" s="96" t="n">
        <v>29.25</v>
      </c>
      <c r="Z219" s="96" t="n">
        <v>-8</v>
      </c>
      <c r="AA219" s="93"/>
      <c r="AD219" s="4"/>
    </row>
    <row r="220" customFormat="false" ht="14.25" hidden="false" customHeight="false" outlineLevel="0" collapsed="false">
      <c r="A220" s="84" t="n">
        <v>4</v>
      </c>
      <c r="B220" s="94"/>
      <c r="C220" s="23" t="str">
        <f aca="false">X187</f>
        <v>Spiller 27</v>
      </c>
      <c r="D220" s="97" t="n">
        <f aca="false">Y187</f>
        <v>23</v>
      </c>
      <c r="E220" s="31" t="n">
        <f aca="false">Z187</f>
        <v>-3.75</v>
      </c>
      <c r="F220" s="85" t="n">
        <v>51</v>
      </c>
      <c r="G220" s="23" t="n">
        <f aca="false">F220-AVERAGE(F$217:F$220)</f>
        <v>-1.5</v>
      </c>
      <c r="H220" s="68" t="n">
        <f aca="false">RANK(F220,F$217:F$220)</f>
        <v>3</v>
      </c>
      <c r="I220" s="31" t="n">
        <f aca="false">$F$202*IF(H220=1,10,IF(H220=2,6,IF(H220=3,3,1)))</f>
        <v>3.75</v>
      </c>
      <c r="J220" s="71" t="n">
        <v>3</v>
      </c>
      <c r="K220" s="72" t="n">
        <v>3.75</v>
      </c>
      <c r="M220" s="68" t="n">
        <f aca="false">D220+K220</f>
        <v>26.75</v>
      </c>
      <c r="N220" s="31" t="n">
        <f aca="false">E220+G220</f>
        <v>-5.25</v>
      </c>
      <c r="O220" s="23" t="n">
        <f aca="false">12+RANK(M220,M$217:M$220,0)</f>
        <v>16</v>
      </c>
      <c r="P220" s="72" t="n">
        <v>16</v>
      </c>
      <c r="Q220" s="4"/>
      <c r="R220" s="68" t="n">
        <f aca="false">P220</f>
        <v>16</v>
      </c>
      <c r="S220" s="70" t="str">
        <f aca="false">C220</f>
        <v>Spiller 27</v>
      </c>
      <c r="T220" s="70" t="n">
        <f aca="false">M220</f>
        <v>26.75</v>
      </c>
      <c r="U220" s="31" t="n">
        <f aca="false">N220</f>
        <v>-5.25</v>
      </c>
      <c r="W220" s="75" t="n">
        <v>16</v>
      </c>
      <c r="X220" s="74" t="s">
        <v>23</v>
      </c>
      <c r="Y220" s="98" t="n">
        <v>26.75</v>
      </c>
      <c r="Z220" s="98" t="n">
        <v>-5.25</v>
      </c>
      <c r="AA220" s="93"/>
      <c r="AD220" s="4"/>
    </row>
    <row r="221" customFormat="false" ht="14.25" hidden="false" customHeight="false" outlineLevel="0" collapsed="false">
      <c r="A221" s="81" t="n">
        <v>5</v>
      </c>
      <c r="B221" s="94"/>
      <c r="C221" s="15" t="str">
        <f aca="false">X188</f>
        <v>Spiller 20</v>
      </c>
      <c r="D221" s="95" t="n">
        <f aca="false">Y188</f>
        <v>23</v>
      </c>
      <c r="E221" s="29" t="n">
        <f aca="false">Z188</f>
        <v>-5.75</v>
      </c>
      <c r="F221" s="82" t="n">
        <v>57</v>
      </c>
      <c r="G221" s="15" t="n">
        <f aca="false">F221-AVERAGE(F$221:F$224)</f>
        <v>11.5</v>
      </c>
      <c r="H221" s="55" t="n">
        <f aca="false">RANK(F221,F$221:F$224)</f>
        <v>2</v>
      </c>
      <c r="I221" s="29" t="n">
        <f aca="false">$F$202*IF(H221=1,10,IF(H221=2,6,IF(H221=3,3,1)))</f>
        <v>7.5</v>
      </c>
      <c r="J221" s="60" t="n">
        <v>2</v>
      </c>
      <c r="K221" s="61" t="n">
        <v>7.5</v>
      </c>
      <c r="M221" s="55" t="n">
        <f aca="false">D221+K221</f>
        <v>30.5</v>
      </c>
      <c r="N221" s="29" t="n">
        <f aca="false">E221+G221</f>
        <v>5.75</v>
      </c>
      <c r="O221" s="15" t="n">
        <f aca="false">16+RANK(M221,M$221:M$224,0)</f>
        <v>18</v>
      </c>
      <c r="P221" s="61" t="n">
        <v>18</v>
      </c>
      <c r="Q221" s="4"/>
      <c r="R221" s="55" t="n">
        <f aca="false">P221</f>
        <v>18</v>
      </c>
      <c r="S221" s="59" t="str">
        <f aca="false">C221</f>
        <v>Spiller 20</v>
      </c>
      <c r="T221" s="59" t="n">
        <f aca="false">M221</f>
        <v>30.5</v>
      </c>
      <c r="U221" s="29" t="n">
        <f aca="false">N221</f>
        <v>5.75</v>
      </c>
      <c r="W221" s="64" t="n">
        <v>17</v>
      </c>
      <c r="X221" s="63" t="s">
        <v>28</v>
      </c>
      <c r="Y221" s="96" t="n">
        <v>33.5</v>
      </c>
      <c r="Z221" s="96" t="n">
        <v>-18</v>
      </c>
      <c r="AA221" s="93"/>
      <c r="AD221" s="4"/>
    </row>
    <row r="222" customFormat="false" ht="14.25" hidden="false" customHeight="false" outlineLevel="0" collapsed="false">
      <c r="A222" s="81" t="n">
        <v>5</v>
      </c>
      <c r="B222" s="94"/>
      <c r="C222" s="15" t="str">
        <f aca="false">X189</f>
        <v>Spiller 02</v>
      </c>
      <c r="D222" s="95" t="n">
        <f aca="false">Y189</f>
        <v>21</v>
      </c>
      <c r="E222" s="29" t="n">
        <f aca="false">Z189</f>
        <v>0</v>
      </c>
      <c r="F222" s="82" t="n">
        <v>33</v>
      </c>
      <c r="G222" s="15" t="n">
        <f aca="false">F222-AVERAGE(F$221:F$224)</f>
        <v>-12.5</v>
      </c>
      <c r="H222" s="55" t="n">
        <f aca="false">RANK(F222,F$221:F$224)</f>
        <v>4</v>
      </c>
      <c r="I222" s="29" t="n">
        <f aca="false">$F$202*IF(H222=1,10,IF(H222=2,6,IF(H222=3,3,1)))</f>
        <v>1.25</v>
      </c>
      <c r="J222" s="60" t="n">
        <v>4</v>
      </c>
      <c r="K222" s="61" t="n">
        <v>1.25</v>
      </c>
      <c r="M222" s="55" t="n">
        <f aca="false">D222+K222</f>
        <v>22.25</v>
      </c>
      <c r="N222" s="29" t="n">
        <f aca="false">E222+G222</f>
        <v>-12.5</v>
      </c>
      <c r="O222" s="15" t="n">
        <f aca="false">16+RANK(M222,M$221:M$224,0)</f>
        <v>20</v>
      </c>
      <c r="P222" s="61" t="n">
        <v>20</v>
      </c>
      <c r="Q222" s="4"/>
      <c r="R222" s="55" t="n">
        <f aca="false">P222</f>
        <v>20</v>
      </c>
      <c r="S222" s="59" t="str">
        <f aca="false">C222</f>
        <v>Spiller 02</v>
      </c>
      <c r="T222" s="59" t="n">
        <f aca="false">M222</f>
        <v>22.25</v>
      </c>
      <c r="U222" s="29" t="n">
        <f aca="false">N222</f>
        <v>-12.5</v>
      </c>
      <c r="W222" s="64" t="n">
        <v>18</v>
      </c>
      <c r="X222" s="63" t="s">
        <v>34</v>
      </c>
      <c r="Y222" s="96" t="n">
        <v>30.5</v>
      </c>
      <c r="Z222" s="96" t="n">
        <v>5.75</v>
      </c>
      <c r="AA222" s="93"/>
      <c r="AD222" s="4"/>
    </row>
    <row r="223" customFormat="false" ht="14.25" hidden="false" customHeight="false" outlineLevel="0" collapsed="false">
      <c r="A223" s="81" t="n">
        <v>5</v>
      </c>
      <c r="B223" s="94"/>
      <c r="C223" s="15" t="str">
        <f aca="false">X190</f>
        <v>Spiller 11</v>
      </c>
      <c r="D223" s="95" t="n">
        <f aca="false">Y190</f>
        <v>21</v>
      </c>
      <c r="E223" s="29" t="n">
        <f aca="false">Z190</f>
        <v>-14</v>
      </c>
      <c r="F223" s="82" t="n">
        <v>34</v>
      </c>
      <c r="G223" s="15" t="n">
        <f aca="false">F223-AVERAGE(F$221:F$224)</f>
        <v>-11.5</v>
      </c>
      <c r="H223" s="55" t="n">
        <f aca="false">RANK(F223,F$221:F$224)</f>
        <v>3</v>
      </c>
      <c r="I223" s="29" t="n">
        <f aca="false">$F$202*IF(H223=1,10,IF(H223=2,6,IF(H223=3,3,1)))</f>
        <v>3.75</v>
      </c>
      <c r="J223" s="60" t="n">
        <v>3</v>
      </c>
      <c r="K223" s="61" t="n">
        <v>3.75</v>
      </c>
      <c r="M223" s="55" t="n">
        <f aca="false">D223+K223</f>
        <v>24.75</v>
      </c>
      <c r="N223" s="29" t="n">
        <f aca="false">E223+G223</f>
        <v>-25.5</v>
      </c>
      <c r="O223" s="15" t="n">
        <f aca="false">16+RANK(M223,M$221:M$224,0)</f>
        <v>19</v>
      </c>
      <c r="P223" s="61" t="n">
        <v>19</v>
      </c>
      <c r="Q223" s="4"/>
      <c r="R223" s="55" t="n">
        <f aca="false">P223</f>
        <v>19</v>
      </c>
      <c r="S223" s="59" t="str">
        <f aca="false">C223</f>
        <v>Spiller 11</v>
      </c>
      <c r="T223" s="59" t="n">
        <f aca="false">M223</f>
        <v>24.75</v>
      </c>
      <c r="U223" s="29" t="n">
        <f aca="false">N223</f>
        <v>-25.5</v>
      </c>
      <c r="W223" s="64" t="n">
        <v>19</v>
      </c>
      <c r="X223" s="63" t="s">
        <v>16</v>
      </c>
      <c r="Y223" s="96" t="n">
        <v>24.75</v>
      </c>
      <c r="Z223" s="96" t="n">
        <v>-25.5</v>
      </c>
      <c r="AA223" s="93"/>
      <c r="AD223" s="4"/>
    </row>
    <row r="224" customFormat="false" ht="14.25" hidden="false" customHeight="false" outlineLevel="0" collapsed="false">
      <c r="A224" s="84" t="n">
        <v>5</v>
      </c>
      <c r="B224" s="94"/>
      <c r="C224" s="23" t="str">
        <f aca="false">X191</f>
        <v>Spiller 12</v>
      </c>
      <c r="D224" s="97" t="n">
        <f aca="false">Y191</f>
        <v>21</v>
      </c>
      <c r="E224" s="31" t="n">
        <f aca="false">Z191</f>
        <v>-30.5</v>
      </c>
      <c r="F224" s="85" t="n">
        <v>58</v>
      </c>
      <c r="G224" s="23" t="n">
        <f aca="false">F224-AVERAGE(F$221:F$224)</f>
        <v>12.5</v>
      </c>
      <c r="H224" s="68" t="n">
        <f aca="false">RANK(F224,F$221:F$224)</f>
        <v>1</v>
      </c>
      <c r="I224" s="31" t="n">
        <f aca="false">$F$202*IF(H224=1,10,IF(H224=2,6,IF(H224=3,3,1)))</f>
        <v>12.5</v>
      </c>
      <c r="J224" s="71" t="n">
        <v>1</v>
      </c>
      <c r="K224" s="72" t="n">
        <v>12.5</v>
      </c>
      <c r="M224" s="68" t="n">
        <f aca="false">D224+K224</f>
        <v>33.5</v>
      </c>
      <c r="N224" s="31" t="n">
        <f aca="false">E224+G224</f>
        <v>-18</v>
      </c>
      <c r="O224" s="23" t="n">
        <f aca="false">16+RANK(M224,M$221:M$224,0)</f>
        <v>17</v>
      </c>
      <c r="P224" s="72" t="n">
        <v>17</v>
      </c>
      <c r="Q224" s="4"/>
      <c r="R224" s="68" t="n">
        <f aca="false">P224</f>
        <v>17</v>
      </c>
      <c r="S224" s="70" t="str">
        <f aca="false">C224</f>
        <v>Spiller 12</v>
      </c>
      <c r="T224" s="70" t="n">
        <f aca="false">M224</f>
        <v>33.5</v>
      </c>
      <c r="U224" s="31" t="n">
        <f aca="false">N224</f>
        <v>-18</v>
      </c>
      <c r="W224" s="75" t="n">
        <v>20</v>
      </c>
      <c r="X224" s="74" t="s">
        <v>13</v>
      </c>
      <c r="Y224" s="98" t="n">
        <v>22.25</v>
      </c>
      <c r="Z224" s="98" t="n">
        <v>-12.5</v>
      </c>
      <c r="AA224" s="93"/>
      <c r="AD224" s="4"/>
    </row>
    <row r="225" customFormat="false" ht="14.25" hidden="false" customHeight="false" outlineLevel="0" collapsed="false">
      <c r="A225" s="81" t="n">
        <v>6</v>
      </c>
      <c r="B225" s="94"/>
      <c r="C225" s="15" t="str">
        <f aca="false">X192</f>
        <v>Spiller 04</v>
      </c>
      <c r="D225" s="95" t="n">
        <f aca="false">Y192</f>
        <v>20</v>
      </c>
      <c r="E225" s="29" t="n">
        <f aca="false">Z192</f>
        <v>-10</v>
      </c>
      <c r="F225" s="82" t="n">
        <v>57</v>
      </c>
      <c r="G225" s="15" t="n">
        <f aca="false">F225-AVERAGE(F$225:F$228)</f>
        <v>14</v>
      </c>
      <c r="H225" s="55" t="n">
        <f aca="false">RANK(F225,F$225:F$228)</f>
        <v>1</v>
      </c>
      <c r="I225" s="29" t="n">
        <f aca="false">$F$202*IF(H225=1,10,IF(H225=2,6,IF(H225=3,3,1)))</f>
        <v>12.5</v>
      </c>
      <c r="J225" s="60" t="n">
        <v>1</v>
      </c>
      <c r="K225" s="61" t="n">
        <v>12.5</v>
      </c>
      <c r="M225" s="55" t="n">
        <f aca="false">D225+K225</f>
        <v>32.5</v>
      </c>
      <c r="N225" s="29" t="n">
        <f aca="false">E225+G225</f>
        <v>4</v>
      </c>
      <c r="O225" s="15" t="n">
        <f aca="false">20+RANK(M225,M$225:M$228,0)</f>
        <v>21</v>
      </c>
      <c r="P225" s="61" t="n">
        <v>21</v>
      </c>
      <c r="Q225" s="4"/>
      <c r="R225" s="55" t="n">
        <f aca="false">P225</f>
        <v>21</v>
      </c>
      <c r="S225" s="59" t="str">
        <f aca="false">C225</f>
        <v>Spiller 04</v>
      </c>
      <c r="T225" s="59" t="n">
        <f aca="false">M225</f>
        <v>32.5</v>
      </c>
      <c r="U225" s="29" t="n">
        <f aca="false">N225</f>
        <v>4</v>
      </c>
      <c r="W225" s="64" t="n">
        <v>21</v>
      </c>
      <c r="X225" s="63" t="s">
        <v>17</v>
      </c>
      <c r="Y225" s="96" t="n">
        <v>32.5</v>
      </c>
      <c r="Z225" s="96" t="n">
        <v>4</v>
      </c>
      <c r="AA225" s="93"/>
      <c r="AD225" s="4"/>
    </row>
    <row r="226" customFormat="false" ht="14.25" hidden="false" customHeight="false" outlineLevel="0" collapsed="false">
      <c r="A226" s="81" t="n">
        <v>6</v>
      </c>
      <c r="B226" s="94"/>
      <c r="C226" s="15" t="str">
        <f aca="false">X193</f>
        <v>Spiller 01</v>
      </c>
      <c r="D226" s="95" t="n">
        <f aca="false">Y193</f>
        <v>19</v>
      </c>
      <c r="E226" s="29" t="n">
        <f aca="false">Z193</f>
        <v>-0.5</v>
      </c>
      <c r="F226" s="82" t="n">
        <v>26</v>
      </c>
      <c r="G226" s="15" t="n">
        <f aca="false">F226-AVERAGE(F$225:F$228)</f>
        <v>-17</v>
      </c>
      <c r="H226" s="55" t="n">
        <f aca="false">RANK(F226,F$225:F$228)</f>
        <v>4</v>
      </c>
      <c r="I226" s="29" t="n">
        <f aca="false">$F$202*IF(H226=1,10,IF(H226=2,6,IF(H226=3,3,1)))</f>
        <v>1.25</v>
      </c>
      <c r="J226" s="60" t="n">
        <v>4</v>
      </c>
      <c r="K226" s="61" t="n">
        <v>1.25</v>
      </c>
      <c r="M226" s="55" t="n">
        <f aca="false">D226+K226</f>
        <v>20.25</v>
      </c>
      <c r="N226" s="29" t="n">
        <f aca="false">E226+G226</f>
        <v>-17.5</v>
      </c>
      <c r="O226" s="15" t="n">
        <f aca="false">20+RANK(M226,M$225:M$228,0)</f>
        <v>24</v>
      </c>
      <c r="P226" s="61" t="n">
        <v>24</v>
      </c>
      <c r="Q226" s="4"/>
      <c r="R226" s="55" t="n">
        <f aca="false">P226</f>
        <v>24</v>
      </c>
      <c r="S226" s="59" t="str">
        <f aca="false">C226</f>
        <v>Spiller 01</v>
      </c>
      <c r="T226" s="59" t="n">
        <f aca="false">M226</f>
        <v>20.25</v>
      </c>
      <c r="U226" s="29" t="n">
        <f aca="false">N226</f>
        <v>-17.5</v>
      </c>
      <c r="W226" s="64" t="n">
        <v>22</v>
      </c>
      <c r="X226" s="63" t="s">
        <v>27</v>
      </c>
      <c r="Y226" s="96" t="n">
        <v>26.5</v>
      </c>
      <c r="Z226" s="96" t="n">
        <v>-4</v>
      </c>
      <c r="AA226" s="93"/>
      <c r="AD226" s="4"/>
    </row>
    <row r="227" customFormat="false" ht="14.25" hidden="false" customHeight="false" outlineLevel="0" collapsed="false">
      <c r="A227" s="81" t="n">
        <v>6</v>
      </c>
      <c r="B227" s="94"/>
      <c r="C227" s="15" t="str">
        <f aca="false">X194</f>
        <v>Spiller 14</v>
      </c>
      <c r="D227" s="95" t="n">
        <f aca="false">Y194</f>
        <v>19</v>
      </c>
      <c r="E227" s="29" t="n">
        <f aca="false">Z194</f>
        <v>-14</v>
      </c>
      <c r="F227" s="82" t="n">
        <v>53</v>
      </c>
      <c r="G227" s="15" t="n">
        <f aca="false">F227-AVERAGE(F$225:F$228)</f>
        <v>10</v>
      </c>
      <c r="H227" s="55" t="n">
        <f aca="false">RANK(F227,F$225:F$228)</f>
        <v>2</v>
      </c>
      <c r="I227" s="29" t="n">
        <f aca="false">$F$202*IF(H227=1,10,IF(H227=2,6,IF(H227=3,3,1)))</f>
        <v>7.5</v>
      </c>
      <c r="J227" s="60" t="n">
        <v>2</v>
      </c>
      <c r="K227" s="61" t="n">
        <v>7.5</v>
      </c>
      <c r="M227" s="55" t="n">
        <f aca="false">D227+K227</f>
        <v>26.5</v>
      </c>
      <c r="N227" s="29" t="n">
        <f aca="false">E227+G227</f>
        <v>-4</v>
      </c>
      <c r="O227" s="15" t="n">
        <f aca="false">20+RANK(M227,M$225:M$228,0)</f>
        <v>22</v>
      </c>
      <c r="P227" s="61" t="n">
        <v>22</v>
      </c>
      <c r="Q227" s="4"/>
      <c r="R227" s="55" t="n">
        <f aca="false">P227</f>
        <v>22</v>
      </c>
      <c r="S227" s="59" t="str">
        <f aca="false">C227</f>
        <v>Spiller 14</v>
      </c>
      <c r="T227" s="59" t="n">
        <f aca="false">M227</f>
        <v>26.5</v>
      </c>
      <c r="U227" s="29" t="n">
        <f aca="false">N227</f>
        <v>-4</v>
      </c>
      <c r="W227" s="64" t="n">
        <v>23</v>
      </c>
      <c r="X227" s="63" t="s">
        <v>18</v>
      </c>
      <c r="Y227" s="96" t="n">
        <v>22.75</v>
      </c>
      <c r="Z227" s="96" t="n">
        <v>-23.75</v>
      </c>
      <c r="AA227" s="93"/>
      <c r="AD227" s="4"/>
    </row>
    <row r="228" customFormat="false" ht="14.25" hidden="false" customHeight="false" outlineLevel="0" collapsed="false">
      <c r="A228" s="84" t="n">
        <v>6</v>
      </c>
      <c r="B228" s="94"/>
      <c r="C228" s="23" t="str">
        <f aca="false">X195</f>
        <v>Spiller 08</v>
      </c>
      <c r="D228" s="97" t="n">
        <f aca="false">Y195</f>
        <v>19</v>
      </c>
      <c r="E228" s="31" t="n">
        <f aca="false">Z195</f>
        <v>-16.75</v>
      </c>
      <c r="F228" s="85" t="n">
        <v>36</v>
      </c>
      <c r="G228" s="23" t="n">
        <f aca="false">F228-AVERAGE(F$225:F$228)</f>
        <v>-7</v>
      </c>
      <c r="H228" s="68" t="n">
        <f aca="false">RANK(F228,F$225:F$228)</f>
        <v>3</v>
      </c>
      <c r="I228" s="31" t="n">
        <f aca="false">$F$202*IF(H228=1,10,IF(H228=2,6,IF(H228=3,3,1)))</f>
        <v>3.75</v>
      </c>
      <c r="J228" s="71" t="n">
        <v>3</v>
      </c>
      <c r="K228" s="72" t="n">
        <v>3.75</v>
      </c>
      <c r="M228" s="68" t="n">
        <f aca="false">D228+K228</f>
        <v>22.75</v>
      </c>
      <c r="N228" s="31" t="n">
        <f aca="false">E228+G228</f>
        <v>-23.75</v>
      </c>
      <c r="O228" s="23" t="n">
        <f aca="false">20+RANK(M228,M$225:M$228,0)</f>
        <v>23</v>
      </c>
      <c r="P228" s="72" t="n">
        <v>23</v>
      </c>
      <c r="Q228" s="4"/>
      <c r="R228" s="68" t="n">
        <f aca="false">P228</f>
        <v>23</v>
      </c>
      <c r="S228" s="70" t="str">
        <f aca="false">C228</f>
        <v>Spiller 08</v>
      </c>
      <c r="T228" s="70" t="n">
        <f aca="false">M228</f>
        <v>22.75</v>
      </c>
      <c r="U228" s="31" t="n">
        <f aca="false">N228</f>
        <v>-23.75</v>
      </c>
      <c r="W228" s="75" t="n">
        <v>24</v>
      </c>
      <c r="X228" s="74" t="s">
        <v>11</v>
      </c>
      <c r="Y228" s="98" t="n">
        <v>20.25</v>
      </c>
      <c r="Z228" s="98" t="n">
        <v>-17.5</v>
      </c>
      <c r="AA228" s="93"/>
      <c r="AD228" s="4"/>
    </row>
    <row r="229" customFormat="false" ht="14.25" hidden="false" customHeight="false" outlineLevel="0" collapsed="false">
      <c r="A229" s="81" t="n">
        <v>7</v>
      </c>
      <c r="B229" s="94"/>
      <c r="C229" s="15" t="str">
        <f aca="false">X196</f>
        <v>Spiller 10</v>
      </c>
      <c r="D229" s="95" t="n">
        <f aca="false">Y196</f>
        <v>19</v>
      </c>
      <c r="E229" s="29" t="n">
        <f aca="false">Z196</f>
        <v>-23</v>
      </c>
      <c r="F229" s="82" t="n">
        <v>25</v>
      </c>
      <c r="G229" s="15" t="n">
        <f aca="false">F229-AVERAGE(F$229:F$232)</f>
        <v>-7.25</v>
      </c>
      <c r="H229" s="55" t="n">
        <f aca="false">RANK(F229,F$229:F$232)</f>
        <v>4</v>
      </c>
      <c r="I229" s="29" t="n">
        <f aca="false">$F$202*IF(H229=1,10,IF(H229=2,6,IF(H229=3,3,1)))</f>
        <v>1.25</v>
      </c>
      <c r="J229" s="60" t="n">
        <v>4</v>
      </c>
      <c r="K229" s="61" t="n">
        <v>1.25</v>
      </c>
      <c r="M229" s="55" t="n">
        <f aca="false">D229+K229</f>
        <v>20.25</v>
      </c>
      <c r="N229" s="29" t="n">
        <f aca="false">E229+G229</f>
        <v>-30.25</v>
      </c>
      <c r="O229" s="15" t="n">
        <f aca="false">24+RANK(M229,M$229:M$232,0)</f>
        <v>28</v>
      </c>
      <c r="P229" s="61" t="n">
        <v>28</v>
      </c>
      <c r="Q229" s="4"/>
      <c r="R229" s="55" t="n">
        <f aca="false">P229</f>
        <v>28</v>
      </c>
      <c r="S229" s="59" t="str">
        <f aca="false">C229</f>
        <v>Spiller 10</v>
      </c>
      <c r="T229" s="59" t="n">
        <f aca="false">M229</f>
        <v>20.25</v>
      </c>
      <c r="U229" s="29" t="n">
        <f aca="false">N229</f>
        <v>-30.25</v>
      </c>
      <c r="W229" s="64" t="n">
        <v>25</v>
      </c>
      <c r="X229" s="63" t="s">
        <v>21</v>
      </c>
      <c r="Y229" s="96" t="n">
        <v>28.5</v>
      </c>
      <c r="Z229" s="96" t="n">
        <v>-20.75</v>
      </c>
      <c r="AA229" s="93"/>
      <c r="AD229" s="4"/>
    </row>
    <row r="230" customFormat="false" ht="14.25" hidden="false" customHeight="false" outlineLevel="0" collapsed="false">
      <c r="A230" s="81" t="n">
        <v>7</v>
      </c>
      <c r="B230" s="94"/>
      <c r="C230" s="15" t="str">
        <f aca="false">X197</f>
        <v>Spiller 06</v>
      </c>
      <c r="D230" s="95" t="n">
        <f aca="false">Y197</f>
        <v>17</v>
      </c>
      <c r="E230" s="29" t="n">
        <f aca="false">Z197</f>
        <v>-35</v>
      </c>
      <c r="F230" s="82" t="n">
        <v>34</v>
      </c>
      <c r="G230" s="15" t="n">
        <f aca="false">F230-AVERAGE(F$229:F$232)</f>
        <v>1.75</v>
      </c>
      <c r="H230" s="55" t="n">
        <f aca="false">RANK(F230,F$229:F$232)</f>
        <v>2</v>
      </c>
      <c r="I230" s="29" t="n">
        <f aca="false">$F$202*IF(H230=1,10,IF(H230=2,6,IF(H230=3,3,1)))</f>
        <v>7.5</v>
      </c>
      <c r="J230" s="60" t="n">
        <v>2</v>
      </c>
      <c r="K230" s="61" t="n">
        <v>7.5</v>
      </c>
      <c r="M230" s="55" t="n">
        <f aca="false">D230+K230</f>
        <v>24.5</v>
      </c>
      <c r="N230" s="29" t="n">
        <f aca="false">E230+G230</f>
        <v>-33.25</v>
      </c>
      <c r="O230" s="15" t="n">
        <f aca="false">24+RANK(M230,M$229:M$232,0)</f>
        <v>26</v>
      </c>
      <c r="P230" s="61" t="n">
        <v>26</v>
      </c>
      <c r="Q230" s="4"/>
      <c r="R230" s="55" t="n">
        <f aca="false">P230</f>
        <v>26</v>
      </c>
      <c r="S230" s="59" t="str">
        <f aca="false">C230</f>
        <v>Spiller 06</v>
      </c>
      <c r="T230" s="59" t="n">
        <f aca="false">M230</f>
        <v>24.5</v>
      </c>
      <c r="U230" s="29" t="n">
        <f aca="false">N230</f>
        <v>-33.25</v>
      </c>
      <c r="W230" s="64" t="n">
        <v>26</v>
      </c>
      <c r="X230" s="63" t="s">
        <v>19</v>
      </c>
      <c r="Y230" s="96" t="n">
        <v>24.5</v>
      </c>
      <c r="Z230" s="96" t="n">
        <v>-33.25</v>
      </c>
      <c r="AA230" s="93"/>
      <c r="AD230" s="4"/>
    </row>
    <row r="231" customFormat="false" ht="14.25" hidden="false" customHeight="false" outlineLevel="0" collapsed="false">
      <c r="A231" s="81" t="n">
        <v>7</v>
      </c>
      <c r="B231" s="94"/>
      <c r="C231" s="15" t="str">
        <f aca="false">X198</f>
        <v>Spiller 07</v>
      </c>
      <c r="D231" s="95" t="n">
        <f aca="false">Y198</f>
        <v>16</v>
      </c>
      <c r="E231" s="29" t="n">
        <f aca="false">Z198</f>
        <v>-24.5</v>
      </c>
      <c r="F231" s="82" t="n">
        <v>36</v>
      </c>
      <c r="G231" s="15" t="n">
        <f aca="false">F231-AVERAGE(F$229:F$232)</f>
        <v>3.75</v>
      </c>
      <c r="H231" s="55" t="n">
        <f aca="false">RANK(F231,F$229:F$232)</f>
        <v>1</v>
      </c>
      <c r="I231" s="29" t="n">
        <f aca="false">$F$202*IF(H231=1,10,IF(H231=2,6,IF(H231=3,3,1)))</f>
        <v>12.5</v>
      </c>
      <c r="J231" s="60" t="n">
        <v>1</v>
      </c>
      <c r="K231" s="61" t="n">
        <v>12.5</v>
      </c>
      <c r="M231" s="55" t="n">
        <f aca="false">D231+K231</f>
        <v>28.5</v>
      </c>
      <c r="N231" s="29" t="n">
        <f aca="false">E231+G231</f>
        <v>-20.75</v>
      </c>
      <c r="O231" s="15" t="n">
        <f aca="false">24+RANK(M231,M$229:M$232,0)</f>
        <v>25</v>
      </c>
      <c r="P231" s="61" t="n">
        <v>25</v>
      </c>
      <c r="Q231" s="4"/>
      <c r="R231" s="55" t="n">
        <f aca="false">P231</f>
        <v>25</v>
      </c>
      <c r="S231" s="59" t="str">
        <f aca="false">C231</f>
        <v>Spiller 07</v>
      </c>
      <c r="T231" s="59" t="n">
        <f aca="false">M231</f>
        <v>28.5</v>
      </c>
      <c r="U231" s="29" t="n">
        <f aca="false">N231</f>
        <v>-20.75</v>
      </c>
      <c r="W231" s="64" t="n">
        <v>27</v>
      </c>
      <c r="X231" s="63" t="s">
        <v>38</v>
      </c>
      <c r="Y231" s="96" t="n">
        <v>20.5</v>
      </c>
      <c r="Z231" s="96" t="n">
        <v>-23.75</v>
      </c>
      <c r="AA231" s="93"/>
      <c r="AD231" s="4"/>
    </row>
    <row r="232" customFormat="false" ht="14.25" hidden="false" customHeight="false" outlineLevel="0" collapsed="false">
      <c r="A232" s="67" t="n">
        <v>7</v>
      </c>
      <c r="B232" s="99"/>
      <c r="C232" s="23" t="str">
        <f aca="false">X199</f>
        <v>Spiller 26</v>
      </c>
      <c r="D232" s="97" t="n">
        <f aca="false">Y199</f>
        <v>13</v>
      </c>
      <c r="E232" s="31" t="n">
        <f aca="false">Z199</f>
        <v>-25.5</v>
      </c>
      <c r="F232" s="85" t="n">
        <v>34</v>
      </c>
      <c r="G232" s="23" t="n">
        <f aca="false">F232-AVERAGE(F$229:F$232)</f>
        <v>1.75</v>
      </c>
      <c r="H232" s="68" t="n">
        <f aca="false">RANK(F232,F$229:F$232)</f>
        <v>2</v>
      </c>
      <c r="I232" s="31" t="n">
        <f aca="false">$F$202*IF(H232=1,10,IF(H232=2,6,IF(H232=3,3,1)))</f>
        <v>7.5</v>
      </c>
      <c r="J232" s="71" t="n">
        <v>2</v>
      </c>
      <c r="K232" s="72" t="n">
        <v>7.5</v>
      </c>
      <c r="M232" s="68" t="n">
        <f aca="false">D232+K232</f>
        <v>20.5</v>
      </c>
      <c r="N232" s="31" t="n">
        <f aca="false">E232+G232</f>
        <v>-23.75</v>
      </c>
      <c r="O232" s="23" t="n">
        <f aca="false">24+RANK(M232,M$229:M$232,0)</f>
        <v>27</v>
      </c>
      <c r="P232" s="72" t="n">
        <v>27</v>
      </c>
      <c r="Q232" s="4"/>
      <c r="R232" s="68" t="n">
        <f aca="false">P232</f>
        <v>27</v>
      </c>
      <c r="S232" s="70" t="str">
        <f aca="false">C232</f>
        <v>Spiller 26</v>
      </c>
      <c r="T232" s="70" t="n">
        <f aca="false">M232</f>
        <v>20.5</v>
      </c>
      <c r="U232" s="31" t="n">
        <f aca="false">N232</f>
        <v>-23.75</v>
      </c>
      <c r="W232" s="75" t="n">
        <v>28</v>
      </c>
      <c r="X232" s="74" t="s">
        <v>20</v>
      </c>
      <c r="Y232" s="98" t="n">
        <v>20.25</v>
      </c>
      <c r="Z232" s="77" t="n">
        <v>-30.25</v>
      </c>
      <c r="AB232" s="4"/>
      <c r="AC232" s="4"/>
      <c r="AD232" s="4"/>
      <c r="AE232" s="4"/>
    </row>
    <row r="235" customFormat="false" ht="14.25" hidden="false" customHeight="false" outlineLevel="0" collapsed="false">
      <c r="A235" s="100" t="s">
        <v>144</v>
      </c>
      <c r="B235" s="100"/>
    </row>
    <row r="236" customFormat="false" ht="14.25" hidden="false" customHeight="false" outlineLevel="0" collapsed="false">
      <c r="A236" s="3" t="s">
        <v>145</v>
      </c>
    </row>
    <row r="237" customFormat="false" ht="14.25" hidden="false" customHeight="false" outlineLevel="0" collapsed="false">
      <c r="A237" s="101" t="s">
        <v>146</v>
      </c>
      <c r="B237" s="101" t="s">
        <v>7</v>
      </c>
      <c r="C237" s="101" t="s">
        <v>147</v>
      </c>
      <c r="D237" s="101" t="s">
        <v>148</v>
      </c>
    </row>
    <row r="238" customFormat="false" ht="14.25" hidden="false" customHeight="false" outlineLevel="0" collapsed="false">
      <c r="A238" s="52" t="n">
        <v>1</v>
      </c>
      <c r="B238" s="51" t="s">
        <v>30</v>
      </c>
      <c r="C238" s="92" t="n">
        <v>50.5</v>
      </c>
      <c r="D238" s="54" t="n">
        <v>37.25</v>
      </c>
    </row>
    <row r="239" customFormat="false" ht="14.25" hidden="false" customHeight="false" outlineLevel="0" collapsed="false">
      <c r="A239" s="64" t="n">
        <v>2</v>
      </c>
      <c r="B239" s="63" t="s">
        <v>26</v>
      </c>
      <c r="C239" s="96" t="n">
        <v>50.5</v>
      </c>
      <c r="D239" s="66" t="n">
        <v>20</v>
      </c>
    </row>
    <row r="240" customFormat="false" ht="14.25" hidden="false" customHeight="false" outlineLevel="0" collapsed="false">
      <c r="A240" s="64" t="n">
        <v>3</v>
      </c>
      <c r="B240" s="63" t="s">
        <v>12</v>
      </c>
      <c r="C240" s="96" t="n">
        <v>44.5</v>
      </c>
      <c r="D240" s="66" t="n">
        <v>34.75</v>
      </c>
    </row>
    <row r="241" customFormat="false" ht="14.25" hidden="false" customHeight="false" outlineLevel="0" collapsed="false">
      <c r="A241" s="75" t="n">
        <v>4</v>
      </c>
      <c r="B241" s="74" t="s">
        <v>14</v>
      </c>
      <c r="C241" s="98" t="n">
        <v>39.25</v>
      </c>
      <c r="D241" s="77" t="n">
        <v>22</v>
      </c>
    </row>
    <row r="242" customFormat="false" ht="14.25" hidden="false" customHeight="false" outlineLevel="0" collapsed="false">
      <c r="A242" s="64" t="n">
        <v>5</v>
      </c>
      <c r="B242" s="63" t="s">
        <v>15</v>
      </c>
      <c r="C242" s="96" t="n">
        <v>45.5</v>
      </c>
      <c r="D242" s="66" t="n">
        <v>24.75</v>
      </c>
    </row>
    <row r="243" customFormat="false" ht="14.25" hidden="false" customHeight="false" outlineLevel="0" collapsed="false">
      <c r="A243" s="64" t="n">
        <v>6</v>
      </c>
      <c r="B243" s="63" t="s">
        <v>25</v>
      </c>
      <c r="C243" s="96" t="n">
        <v>40.75</v>
      </c>
      <c r="D243" s="66" t="n">
        <v>8.5</v>
      </c>
    </row>
    <row r="244" customFormat="false" ht="14.25" hidden="false" customHeight="false" outlineLevel="0" collapsed="false">
      <c r="A244" s="64" t="n">
        <v>7</v>
      </c>
      <c r="B244" s="63" t="s">
        <v>35</v>
      </c>
      <c r="C244" s="96" t="n">
        <v>39.5</v>
      </c>
      <c r="D244" s="66" t="n">
        <v>2</v>
      </c>
    </row>
    <row r="245" customFormat="false" ht="14.25" hidden="false" customHeight="false" outlineLevel="0" collapsed="false">
      <c r="A245" s="75" t="n">
        <v>8</v>
      </c>
      <c r="B245" s="74" t="s">
        <v>36</v>
      </c>
      <c r="C245" s="98" t="n">
        <v>33.25</v>
      </c>
      <c r="D245" s="77" t="n">
        <v>4</v>
      </c>
    </row>
    <row r="246" customFormat="false" ht="14.25" hidden="false" customHeight="false" outlineLevel="0" collapsed="false">
      <c r="A246" s="64" t="n">
        <v>9</v>
      </c>
      <c r="B246" s="63" t="s">
        <v>33</v>
      </c>
      <c r="C246" s="96" t="n">
        <v>42.5</v>
      </c>
      <c r="D246" s="66" t="n">
        <v>12.5</v>
      </c>
    </row>
    <row r="247" customFormat="false" ht="14.25" hidden="false" customHeight="false" outlineLevel="0" collapsed="false">
      <c r="A247" s="64" t="n">
        <v>10</v>
      </c>
      <c r="B247" s="63" t="s">
        <v>32</v>
      </c>
      <c r="C247" s="96" t="n">
        <v>38.5</v>
      </c>
      <c r="D247" s="66" t="n">
        <v>24.25</v>
      </c>
    </row>
    <row r="248" customFormat="false" ht="14.25" hidden="false" customHeight="false" outlineLevel="0" collapsed="false">
      <c r="A248" s="64" t="n">
        <v>11</v>
      </c>
      <c r="B248" s="63" t="s">
        <v>31</v>
      </c>
      <c r="C248" s="96" t="n">
        <v>32.75</v>
      </c>
      <c r="D248" s="66" t="n">
        <v>7.75</v>
      </c>
    </row>
    <row r="249" customFormat="false" ht="14.25" hidden="false" customHeight="false" outlineLevel="0" collapsed="false">
      <c r="A249" s="75" t="n">
        <v>12</v>
      </c>
      <c r="B249" s="74" t="s">
        <v>37</v>
      </c>
      <c r="C249" s="98" t="n">
        <v>29.25</v>
      </c>
      <c r="D249" s="77" t="n">
        <v>7.5</v>
      </c>
    </row>
    <row r="250" customFormat="false" ht="14.25" hidden="false" customHeight="false" outlineLevel="0" collapsed="false">
      <c r="A250" s="64" t="n">
        <v>13</v>
      </c>
      <c r="B250" s="63" t="s">
        <v>22</v>
      </c>
      <c r="C250" s="96" t="n">
        <v>35.5</v>
      </c>
      <c r="D250" s="66" t="n">
        <v>2</v>
      </c>
    </row>
    <row r="251" customFormat="false" ht="14.25" hidden="false" customHeight="false" outlineLevel="0" collapsed="false">
      <c r="A251" s="64" t="n">
        <v>14</v>
      </c>
      <c r="B251" s="63" t="s">
        <v>24</v>
      </c>
      <c r="C251" s="96" t="n">
        <v>30.5</v>
      </c>
      <c r="D251" s="66" t="n">
        <v>5.5</v>
      </c>
    </row>
    <row r="252" customFormat="false" ht="14.25" hidden="false" customHeight="false" outlineLevel="0" collapsed="false">
      <c r="A252" s="64" t="n">
        <v>15</v>
      </c>
      <c r="B252" s="63" t="s">
        <v>29</v>
      </c>
      <c r="C252" s="96" t="n">
        <v>29.25</v>
      </c>
      <c r="D252" s="66" t="n">
        <v>-8</v>
      </c>
    </row>
    <row r="253" customFormat="false" ht="14.25" hidden="false" customHeight="false" outlineLevel="0" collapsed="false">
      <c r="A253" s="75" t="n">
        <v>16</v>
      </c>
      <c r="B253" s="74" t="s">
        <v>23</v>
      </c>
      <c r="C253" s="98" t="n">
        <v>26.75</v>
      </c>
      <c r="D253" s="77" t="n">
        <v>-5.25</v>
      </c>
    </row>
    <row r="254" customFormat="false" ht="14.25" hidden="false" customHeight="false" outlineLevel="0" collapsed="false">
      <c r="A254" s="64" t="n">
        <v>17</v>
      </c>
      <c r="B254" s="63" t="s">
        <v>28</v>
      </c>
      <c r="C254" s="96" t="n">
        <v>33.5</v>
      </c>
      <c r="D254" s="66" t="n">
        <v>-18</v>
      </c>
    </row>
    <row r="255" customFormat="false" ht="14.25" hidden="false" customHeight="false" outlineLevel="0" collapsed="false">
      <c r="A255" s="64" t="n">
        <v>18</v>
      </c>
      <c r="B255" s="63" t="s">
        <v>34</v>
      </c>
      <c r="C255" s="96" t="n">
        <v>30.5</v>
      </c>
      <c r="D255" s="66" t="n">
        <v>5.75</v>
      </c>
    </row>
    <row r="256" customFormat="false" ht="14.25" hidden="false" customHeight="false" outlineLevel="0" collapsed="false">
      <c r="A256" s="64" t="n">
        <v>19</v>
      </c>
      <c r="B256" s="63" t="s">
        <v>16</v>
      </c>
      <c r="C256" s="96" t="n">
        <v>24.75</v>
      </c>
      <c r="D256" s="66" t="n">
        <v>-25.5</v>
      </c>
    </row>
    <row r="257" customFormat="false" ht="14.25" hidden="false" customHeight="false" outlineLevel="0" collapsed="false">
      <c r="A257" s="75" t="n">
        <v>20</v>
      </c>
      <c r="B257" s="74" t="s">
        <v>13</v>
      </c>
      <c r="C257" s="98" t="n">
        <v>22.25</v>
      </c>
      <c r="D257" s="77" t="n">
        <v>-12.5</v>
      </c>
    </row>
    <row r="258" customFormat="false" ht="14.25" hidden="false" customHeight="false" outlineLevel="0" collapsed="false">
      <c r="A258" s="64" t="n">
        <v>21</v>
      </c>
      <c r="B258" s="63" t="s">
        <v>17</v>
      </c>
      <c r="C258" s="96" t="n">
        <v>32.5</v>
      </c>
      <c r="D258" s="66" t="n">
        <v>4</v>
      </c>
    </row>
    <row r="259" customFormat="false" ht="14.25" hidden="false" customHeight="false" outlineLevel="0" collapsed="false">
      <c r="A259" s="64" t="n">
        <v>22</v>
      </c>
      <c r="B259" s="63" t="s">
        <v>27</v>
      </c>
      <c r="C259" s="96" t="n">
        <v>26.5</v>
      </c>
      <c r="D259" s="66" t="n">
        <v>-4</v>
      </c>
    </row>
    <row r="260" customFormat="false" ht="14.25" hidden="false" customHeight="false" outlineLevel="0" collapsed="false">
      <c r="A260" s="64" t="n">
        <v>23</v>
      </c>
      <c r="B260" s="63" t="s">
        <v>18</v>
      </c>
      <c r="C260" s="96" t="n">
        <v>22.75</v>
      </c>
      <c r="D260" s="66" t="n">
        <v>-23.75</v>
      </c>
    </row>
    <row r="261" customFormat="false" ht="14.25" hidden="false" customHeight="false" outlineLevel="0" collapsed="false">
      <c r="A261" s="75" t="n">
        <v>24</v>
      </c>
      <c r="B261" s="74" t="s">
        <v>11</v>
      </c>
      <c r="C261" s="98" t="n">
        <v>20.25</v>
      </c>
      <c r="D261" s="77" t="n">
        <v>-17.5</v>
      </c>
    </row>
    <row r="262" customFormat="false" ht="14.25" hidden="false" customHeight="false" outlineLevel="0" collapsed="false">
      <c r="A262" s="64" t="n">
        <v>25</v>
      </c>
      <c r="B262" s="63" t="s">
        <v>21</v>
      </c>
      <c r="C262" s="96" t="n">
        <v>28.5</v>
      </c>
      <c r="D262" s="66" t="n">
        <v>-20.75</v>
      </c>
    </row>
    <row r="263" customFormat="false" ht="14.25" hidden="false" customHeight="false" outlineLevel="0" collapsed="false">
      <c r="A263" s="64" t="n">
        <v>26</v>
      </c>
      <c r="B263" s="63" t="s">
        <v>19</v>
      </c>
      <c r="C263" s="96" t="n">
        <v>24.5</v>
      </c>
      <c r="D263" s="66" t="n">
        <v>-33.25</v>
      </c>
    </row>
    <row r="264" customFormat="false" ht="14.25" hidden="false" customHeight="false" outlineLevel="0" collapsed="false">
      <c r="A264" s="64" t="n">
        <v>27</v>
      </c>
      <c r="B264" s="63" t="s">
        <v>38</v>
      </c>
      <c r="C264" s="96" t="n">
        <v>20.5</v>
      </c>
      <c r="D264" s="66" t="n">
        <v>-23.75</v>
      </c>
    </row>
    <row r="265" customFormat="false" ht="14.25" hidden="false" customHeight="false" outlineLevel="0" collapsed="false">
      <c r="A265" s="75" t="n">
        <v>28</v>
      </c>
      <c r="B265" s="74" t="s">
        <v>20</v>
      </c>
      <c r="C265" s="98" t="n">
        <v>20.25</v>
      </c>
      <c r="D265" s="77" t="n">
        <v>-30.25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.89"/>
    <col collapsed="false" customWidth="true" hidden="false" outlineLevel="0" max="3" min="3" style="0" width="10.88"/>
    <col collapsed="false" customWidth="true" hidden="false" outlineLevel="0" max="4" min="4" style="0" width="11.44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02" t="s">
        <v>149</v>
      </c>
      <c r="B1" s="103" t="s">
        <v>150</v>
      </c>
      <c r="C1" s="103" t="s">
        <v>151</v>
      </c>
      <c r="D1" s="103" t="s">
        <v>152</v>
      </c>
      <c r="E1" s="103" t="s">
        <v>153</v>
      </c>
      <c r="F1" s="103" t="s">
        <v>154</v>
      </c>
    </row>
    <row r="2" customFormat="false" ht="15" hidden="false" customHeight="false" outlineLevel="0" collapsed="false">
      <c r="A2" s="4" t="n">
        <v>1</v>
      </c>
      <c r="B2" s="104" t="s">
        <v>20</v>
      </c>
      <c r="C2" s="104" t="s">
        <v>24</v>
      </c>
      <c r="D2" s="104" t="s">
        <v>20</v>
      </c>
      <c r="E2" s="104" t="s">
        <v>25</v>
      </c>
      <c r="F2" s="104" t="s">
        <v>14</v>
      </c>
    </row>
    <row r="3" customFormat="false" ht="15" hidden="false" customHeight="false" outlineLevel="0" collapsed="false">
      <c r="A3" s="4" t="n">
        <v>1</v>
      </c>
      <c r="B3" s="105" t="s">
        <v>19</v>
      </c>
      <c r="C3" s="105" t="s">
        <v>32</v>
      </c>
      <c r="D3" s="105" t="s">
        <v>34</v>
      </c>
      <c r="E3" s="105" t="s">
        <v>19</v>
      </c>
      <c r="F3" s="105" t="s">
        <v>36</v>
      </c>
    </row>
    <row r="4" customFormat="false" ht="15" hidden="false" customHeight="false" outlineLevel="0" collapsed="false">
      <c r="A4" s="4" t="n">
        <v>1</v>
      </c>
      <c r="B4" s="105" t="s">
        <v>36</v>
      </c>
      <c r="C4" s="105" t="s">
        <v>36</v>
      </c>
      <c r="D4" s="105" t="s">
        <v>37</v>
      </c>
      <c r="E4" s="105" t="s">
        <v>22</v>
      </c>
      <c r="F4" s="105" t="s">
        <v>12</v>
      </c>
    </row>
    <row r="5" customFormat="false" ht="15" hidden="false" customHeight="false" outlineLevel="0" collapsed="false">
      <c r="A5" s="67" t="n">
        <v>1</v>
      </c>
      <c r="B5" s="106" t="s">
        <v>24</v>
      </c>
      <c r="C5" s="106" t="s">
        <v>28</v>
      </c>
      <c r="D5" s="106" t="s">
        <v>35</v>
      </c>
      <c r="E5" s="106" t="s">
        <v>36</v>
      </c>
      <c r="F5" s="106" t="s">
        <v>22</v>
      </c>
    </row>
    <row r="6" customFormat="false" ht="15" hidden="false" customHeight="false" outlineLevel="0" collapsed="false">
      <c r="A6" s="107" t="n">
        <v>2</v>
      </c>
      <c r="B6" s="108" t="s">
        <v>18</v>
      </c>
      <c r="C6" s="108" t="s">
        <v>22</v>
      </c>
      <c r="D6" s="108" t="s">
        <v>33</v>
      </c>
      <c r="E6" s="108" t="s">
        <v>26</v>
      </c>
      <c r="F6" s="108" t="s">
        <v>25</v>
      </c>
    </row>
    <row r="7" customFormat="false" ht="15" hidden="false" customHeight="false" outlineLevel="0" collapsed="false">
      <c r="A7" s="107" t="n">
        <v>2</v>
      </c>
      <c r="B7" s="109" t="s">
        <v>23</v>
      </c>
      <c r="C7" s="109" t="s">
        <v>12</v>
      </c>
      <c r="D7" s="109" t="s">
        <v>36</v>
      </c>
      <c r="E7" s="109" t="s">
        <v>38</v>
      </c>
      <c r="F7" s="109" t="s">
        <v>16</v>
      </c>
    </row>
    <row r="8" customFormat="false" ht="15" hidden="false" customHeight="false" outlineLevel="0" collapsed="false">
      <c r="A8" s="107" t="n">
        <v>2</v>
      </c>
      <c r="B8" s="109" t="s">
        <v>30</v>
      </c>
      <c r="C8" s="109" t="s">
        <v>35</v>
      </c>
      <c r="D8" s="109" t="s">
        <v>21</v>
      </c>
      <c r="E8" s="109" t="s">
        <v>20</v>
      </c>
      <c r="F8" s="109" t="s">
        <v>20</v>
      </c>
    </row>
    <row r="9" customFormat="false" ht="15" hidden="false" customHeight="false" outlineLevel="0" collapsed="false">
      <c r="A9" s="110" t="n">
        <v>2</v>
      </c>
      <c r="B9" s="111" t="s">
        <v>34</v>
      </c>
      <c r="C9" s="111" t="s">
        <v>13</v>
      </c>
      <c r="D9" s="111" t="s">
        <v>31</v>
      </c>
      <c r="E9" s="111" t="s">
        <v>30</v>
      </c>
      <c r="F9" s="111" t="s">
        <v>37</v>
      </c>
    </row>
    <row r="10" customFormat="false" ht="15" hidden="false" customHeight="false" outlineLevel="0" collapsed="false">
      <c r="A10" s="4" t="n">
        <v>3</v>
      </c>
      <c r="B10" s="104" t="s">
        <v>37</v>
      </c>
      <c r="C10" s="104" t="s">
        <v>11</v>
      </c>
      <c r="D10" s="104" t="s">
        <v>11</v>
      </c>
      <c r="E10" s="104" t="s">
        <v>35</v>
      </c>
      <c r="F10" s="104" t="s">
        <v>29</v>
      </c>
    </row>
    <row r="11" customFormat="false" ht="15" hidden="false" customHeight="false" outlineLevel="0" collapsed="false">
      <c r="A11" s="4" t="n">
        <v>3</v>
      </c>
      <c r="B11" s="105" t="s">
        <v>26</v>
      </c>
      <c r="C11" s="105" t="s">
        <v>21</v>
      </c>
      <c r="D11" s="105" t="s">
        <v>16</v>
      </c>
      <c r="E11" s="105" t="s">
        <v>16</v>
      </c>
      <c r="F11" s="105" t="s">
        <v>32</v>
      </c>
    </row>
    <row r="12" customFormat="false" ht="15" hidden="false" customHeight="false" outlineLevel="0" collapsed="false">
      <c r="A12" s="4" t="n">
        <v>3</v>
      </c>
      <c r="B12" s="105" t="s">
        <v>27</v>
      </c>
      <c r="C12" s="105" t="s">
        <v>18</v>
      </c>
      <c r="D12" s="105" t="s">
        <v>17</v>
      </c>
      <c r="E12" s="105" t="s">
        <v>32</v>
      </c>
      <c r="F12" s="105" t="s">
        <v>19</v>
      </c>
    </row>
    <row r="13" customFormat="false" ht="15" hidden="false" customHeight="false" outlineLevel="0" collapsed="false">
      <c r="A13" s="67" t="n">
        <v>3</v>
      </c>
      <c r="B13" s="106" t="s">
        <v>38</v>
      </c>
      <c r="C13" s="106" t="s">
        <v>14</v>
      </c>
      <c r="D13" s="106" t="s">
        <v>25</v>
      </c>
      <c r="E13" s="106" t="s">
        <v>14</v>
      </c>
      <c r="F13" s="106" t="s">
        <v>27</v>
      </c>
    </row>
    <row r="14" customFormat="false" ht="15" hidden="false" customHeight="false" outlineLevel="0" collapsed="false">
      <c r="A14" s="107" t="n">
        <v>4</v>
      </c>
      <c r="B14" s="108" t="s">
        <v>31</v>
      </c>
      <c r="C14" s="108" t="s">
        <v>19</v>
      </c>
      <c r="D14" s="108" t="s">
        <v>23</v>
      </c>
      <c r="E14" s="108" t="s">
        <v>18</v>
      </c>
      <c r="F14" s="108" t="s">
        <v>26</v>
      </c>
    </row>
    <row r="15" customFormat="false" ht="15" hidden="false" customHeight="false" outlineLevel="0" collapsed="false">
      <c r="A15" s="107" t="n">
        <v>4</v>
      </c>
      <c r="B15" s="109" t="s">
        <v>14</v>
      </c>
      <c r="C15" s="109" t="s">
        <v>29</v>
      </c>
      <c r="D15" s="109" t="s">
        <v>13</v>
      </c>
      <c r="E15" s="109" t="s">
        <v>27</v>
      </c>
      <c r="F15" s="109" t="s">
        <v>17</v>
      </c>
    </row>
    <row r="16" customFormat="false" ht="15" hidden="false" customHeight="false" outlineLevel="0" collapsed="false">
      <c r="A16" s="107" t="n">
        <v>4</v>
      </c>
      <c r="B16" s="109" t="s">
        <v>11</v>
      </c>
      <c r="C16" s="109" t="s">
        <v>23</v>
      </c>
      <c r="D16" s="109" t="s">
        <v>15</v>
      </c>
      <c r="E16" s="109" t="s">
        <v>13</v>
      </c>
      <c r="F16" s="109" t="s">
        <v>13</v>
      </c>
    </row>
    <row r="17" customFormat="false" ht="15" hidden="false" customHeight="false" outlineLevel="0" collapsed="false">
      <c r="A17" s="110" t="n">
        <v>4</v>
      </c>
      <c r="B17" s="111" t="s">
        <v>21</v>
      </c>
      <c r="C17" s="111" t="s">
        <v>27</v>
      </c>
      <c r="D17" s="111" t="s">
        <v>18</v>
      </c>
      <c r="E17" s="111" t="s">
        <v>17</v>
      </c>
      <c r="F17" s="111" t="s">
        <v>18</v>
      </c>
    </row>
    <row r="18" customFormat="false" ht="15" hidden="false" customHeight="false" outlineLevel="0" collapsed="false">
      <c r="A18" s="4" t="n">
        <v>5</v>
      </c>
      <c r="B18" s="104" t="s">
        <v>25</v>
      </c>
      <c r="C18" s="104" t="s">
        <v>26</v>
      </c>
      <c r="D18" s="104" t="s">
        <v>38</v>
      </c>
      <c r="E18" s="104" t="s">
        <v>31</v>
      </c>
      <c r="F18" s="104" t="s">
        <v>15</v>
      </c>
    </row>
    <row r="19" customFormat="false" ht="15" hidden="false" customHeight="false" outlineLevel="0" collapsed="false">
      <c r="A19" s="4" t="n">
        <v>5</v>
      </c>
      <c r="B19" s="105" t="s">
        <v>22</v>
      </c>
      <c r="C19" s="105" t="s">
        <v>17</v>
      </c>
      <c r="D19" s="105" t="s">
        <v>28</v>
      </c>
      <c r="E19" s="105" t="s">
        <v>33</v>
      </c>
      <c r="F19" s="105" t="s">
        <v>33</v>
      </c>
    </row>
    <row r="20" customFormat="false" ht="15" hidden="false" customHeight="false" outlineLevel="0" collapsed="false">
      <c r="A20" s="4" t="n">
        <v>5</v>
      </c>
      <c r="B20" s="105" t="s">
        <v>33</v>
      </c>
      <c r="C20" s="105" t="s">
        <v>37</v>
      </c>
      <c r="D20" s="105" t="s">
        <v>14</v>
      </c>
      <c r="E20" s="105" t="s">
        <v>37</v>
      </c>
      <c r="F20" s="105" t="s">
        <v>35</v>
      </c>
    </row>
    <row r="21" customFormat="false" ht="15" hidden="false" customHeight="false" outlineLevel="0" collapsed="false">
      <c r="A21" s="67" t="n">
        <v>5</v>
      </c>
      <c r="B21" s="106" t="s">
        <v>28</v>
      </c>
      <c r="C21" s="106" t="s">
        <v>34</v>
      </c>
      <c r="D21" s="106" t="s">
        <v>22</v>
      </c>
      <c r="E21" s="106" t="s">
        <v>24</v>
      </c>
      <c r="F21" s="106" t="s">
        <v>30</v>
      </c>
    </row>
    <row r="22" customFormat="false" ht="15" hidden="false" customHeight="false" outlineLevel="0" collapsed="false">
      <c r="A22" s="107" t="n">
        <v>6</v>
      </c>
      <c r="B22" s="108" t="s">
        <v>17</v>
      </c>
      <c r="C22" s="108" t="s">
        <v>38</v>
      </c>
      <c r="D22" s="108" t="s">
        <v>26</v>
      </c>
      <c r="E22" s="108" t="s">
        <v>12</v>
      </c>
      <c r="F22" s="108" t="s">
        <v>28</v>
      </c>
    </row>
    <row r="23" customFormat="false" ht="15" hidden="false" customHeight="false" outlineLevel="0" collapsed="false">
      <c r="A23" s="107" t="n">
        <v>6</v>
      </c>
      <c r="B23" s="109" t="s">
        <v>32</v>
      </c>
      <c r="C23" s="109" t="s">
        <v>30</v>
      </c>
      <c r="D23" s="109" t="s">
        <v>27</v>
      </c>
      <c r="E23" s="109" t="s">
        <v>29</v>
      </c>
      <c r="F23" s="109" t="s">
        <v>34</v>
      </c>
    </row>
    <row r="24" customFormat="false" ht="15" hidden="false" customHeight="false" outlineLevel="0" collapsed="false">
      <c r="A24" s="107" t="n">
        <v>6</v>
      </c>
      <c r="B24" s="109" t="s">
        <v>15</v>
      </c>
      <c r="C24" s="109" t="s">
        <v>16</v>
      </c>
      <c r="D24" s="109" t="s">
        <v>12</v>
      </c>
      <c r="E24" s="109" t="s">
        <v>23</v>
      </c>
      <c r="F24" s="109" t="s">
        <v>21</v>
      </c>
    </row>
    <row r="25" customFormat="false" ht="15" hidden="false" customHeight="false" outlineLevel="0" collapsed="false">
      <c r="A25" s="110" t="n">
        <v>6</v>
      </c>
      <c r="B25" s="111" t="s">
        <v>13</v>
      </c>
      <c r="C25" s="111" t="s">
        <v>31</v>
      </c>
      <c r="D25" s="111" t="s">
        <v>24</v>
      </c>
      <c r="E25" s="111" t="s">
        <v>21</v>
      </c>
      <c r="F25" s="111" t="s">
        <v>23</v>
      </c>
    </row>
    <row r="26" customFormat="false" ht="15" hidden="false" customHeight="false" outlineLevel="0" collapsed="false">
      <c r="A26" s="4" t="n">
        <v>7</v>
      </c>
      <c r="B26" s="104" t="s">
        <v>35</v>
      </c>
      <c r="C26" s="104" t="s">
        <v>25</v>
      </c>
      <c r="D26" s="104" t="s">
        <v>32</v>
      </c>
      <c r="E26" s="104" t="s">
        <v>15</v>
      </c>
      <c r="F26" s="104" t="s">
        <v>31</v>
      </c>
    </row>
    <row r="27" customFormat="false" ht="15" hidden="false" customHeight="false" outlineLevel="0" collapsed="false">
      <c r="A27" s="4" t="n">
        <v>7</v>
      </c>
      <c r="B27" s="105" t="s">
        <v>29</v>
      </c>
      <c r="C27" s="105" t="s">
        <v>20</v>
      </c>
      <c r="D27" s="105" t="s">
        <v>29</v>
      </c>
      <c r="E27" s="105" t="s">
        <v>11</v>
      </c>
      <c r="F27" s="105" t="s">
        <v>24</v>
      </c>
    </row>
    <row r="28" customFormat="false" ht="15" hidden="false" customHeight="false" outlineLevel="0" collapsed="false">
      <c r="A28" s="4" t="n">
        <v>7</v>
      </c>
      <c r="B28" s="105" t="s">
        <v>12</v>
      </c>
      <c r="C28" s="105" t="s">
        <v>33</v>
      </c>
      <c r="D28" s="105" t="s">
        <v>30</v>
      </c>
      <c r="E28" s="105" t="s">
        <v>34</v>
      </c>
      <c r="F28" s="105" t="s">
        <v>38</v>
      </c>
    </row>
    <row r="29" customFormat="false" ht="15" hidden="false" customHeight="false" outlineLevel="0" collapsed="false">
      <c r="A29" s="67" t="n">
        <v>7</v>
      </c>
      <c r="B29" s="106" t="s">
        <v>16</v>
      </c>
      <c r="C29" s="106" t="s">
        <v>15</v>
      </c>
      <c r="D29" s="106" t="s">
        <v>19</v>
      </c>
      <c r="E29" s="106" t="s">
        <v>28</v>
      </c>
      <c r="F29" s="10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2014-10-27T08:07:38Z</dcterms:created>
  <dc:creator>Agricola Explorer</dc:creator>
  <dc:description/>
  <dc:language>en-US</dc:language>
  <cp:lastModifiedBy>Agricola Explorer</cp:lastModifiedBy>
  <cp:lastPrinted>2018-02-07T06:56:09Z</cp:lastPrinted>
  <dcterms:modified xsi:type="dcterms:W3CDTF">2026-10-12T08:54:56Z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